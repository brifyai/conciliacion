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uotas y Otros por pagar" sheetId="1" state="hidden" r:id="rId3"/>
    <sheet name="FI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<sst xmlns="http://schemas.openxmlformats.org/spreadsheetml/2006/main" count="6338" uniqueCount="339">
  <si>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</si>
  <si>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</si>
  <si>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</si>
  <si>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</si>
  <si>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</si>
  <si>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</si>
  <si>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</si>
  <si>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CUOTAS BANCOS</t>
  </si>
  <si>
    <t xml:space="preserve">P</t>
  </si>
  <si>
    <t xml:space="preserve">p</t>
  </si>
  <si>
    <t xml:space="preserve">OTROS</t>
  </si>
  <si>
    <t xml:space="preserve">Arriendo</t>
  </si>
  <si>
    <t xml:space="preserve">Boletas por pagar</t>
  </si>
  <si>
    <t xml:space="preserve">Telefonica</t>
  </si>
  <si>
    <t xml:space="preserve">Entel</t>
  </si>
  <si>
    <t xml:space="preserve">Prestamo BCI </t>
  </si>
  <si>
    <t xml:space="preserve">Prestamo Santander </t>
  </si>
  <si>
    <t xml:space="preserve">Prestamo TC Santander</t>
  </si>
  <si>
    <t xml:space="preserve">Enel</t>
  </si>
  <si>
    <t xml:space="preserve">Gasto Comun</t>
  </si>
  <si>
    <t xml:space="preserve">Consultoria</t>
  </si>
  <si>
    <t xml:space="preserve">US250 PORTUGAL</t>
  </si>
  <si>
    <t xml:space="preserve">IVA-PPM</t>
  </si>
  <si>
    <t xml:space="preserve">Finiquitos </t>
  </si>
  <si>
    <t xml:space="preserve">Remuneraciones</t>
  </si>
  <si>
    <t xml:space="preserve">Leyes Sociales</t>
  </si>
  <si>
    <t xml:space="preserve">Asesorias SERGIO Karmy</t>
  </si>
  <si>
    <t xml:space="preserve">Cargos en cta cte</t>
  </si>
  <si>
    <t xml:space="preserve">Mant PADD</t>
  </si>
  <si>
    <t xml:space="preserve">Prestamo personal MARB</t>
  </si>
  <si>
    <t xml:space="preserve">RUT</t>
  </si>
  <si>
    <t xml:space="preserve">PROVEEDOR</t>
  </si>
  <si>
    <t xml:space="preserve">TIPO DOC</t>
  </si>
  <si>
    <t xml:space="preserve">FACTURA</t>
  </si>
  <si>
    <t xml:space="preserve">CONCATENADO</t>
  </si>
  <si>
    <t xml:space="preserve">EMI</t>
  </si>
  <si>
    <t xml:space="preserve">VCTO</t>
  </si>
  <si>
    <t xml:space="preserve">DIAS VENC.</t>
  </si>
  <si>
    <t xml:space="preserve">VENCIMIENTO</t>
  </si>
  <si>
    <t xml:space="preserve">TIPO</t>
  </si>
  <si>
    <t xml:space="preserve">ESTADO</t>
  </si>
  <si>
    <t xml:space="preserve">LIBRO DEL MES</t>
  </si>
  <si>
    <t xml:space="preserve">AÑO FACT</t>
  </si>
  <si>
    <t xml:space="preserve">AÑO CAMPAÑA</t>
  </si>
  <si>
    <t xml:space="preserve">MES CAMPAÑA</t>
  </si>
  <si>
    <t xml:space="preserve">PERIODO CAMPAÑA</t>
  </si>
  <si>
    <t xml:space="preserve">CLIENTE</t>
  </si>
  <si>
    <t xml:space="preserve">DOC PDF</t>
  </si>
  <si>
    <t xml:space="preserve">EXENTO</t>
  </si>
  <si>
    <t xml:space="preserve">NETO</t>
  </si>
  <si>
    <t xml:space="preserve">IVA RECUP</t>
  </si>
  <si>
    <t xml:space="preserve">IVA NR</t>
  </si>
  <si>
    <t xml:space="preserve">TOTAL</t>
  </si>
  <si>
    <t xml:space="preserve">P1</t>
  </si>
  <si>
    <t xml:space="preserve">P2</t>
  </si>
  <si>
    <t xml:space="preserve">P3</t>
  </si>
  <si>
    <t xml:space="preserve">P4</t>
  </si>
  <si>
    <t xml:space="preserve">SALDO FALTANTE</t>
  </si>
  <si>
    <t xml:space="preserve">TOTAL PAGOS</t>
  </si>
  <si>
    <t xml:space="preserve">SALDO</t>
  </si>
  <si>
    <t xml:space="preserve">ESTADO2</t>
  </si>
  <si>
    <t xml:space="preserve">FACTORING</t>
  </si>
  <si>
    <t xml:space="preserve">PAGADO CON</t>
  </si>
  <si>
    <t xml:space="preserve">FECHA PAGO / ABONO</t>
  </si>
  <si>
    <t xml:space="preserve">Mes Pago</t>
  </si>
  <si>
    <t xml:space="preserve">Año Pago</t>
  </si>
  <si>
    <t xml:space="preserve">NOTA</t>
  </si>
  <si>
    <t xml:space="preserve">76453707-6</t>
  </si>
  <si>
    <t xml:space="preserve">DUEMINT SPA</t>
  </si>
  <si>
    <t xml:space="preserve">Factura Electronica</t>
  </si>
  <si>
    <t xml:space="preserve">PROVEEDOR </t>
  </si>
  <si>
    <t xml:space="preserve">ENVIAR A RICARDO</t>
  </si>
  <si>
    <t xml:space="preserve">ENERO</t>
  </si>
  <si>
    <t xml:space="preserve">ORIGEN COMUNICACIONES</t>
  </si>
  <si>
    <t xml:space="preserve">SI</t>
  </si>
  <si>
    <t xml:space="preserve">76744663-2</t>
  </si>
  <si>
    <t xml:space="preserve">INVERSIONES ON-MEDIA CHILE SPA</t>
  </si>
  <si>
    <t xml:space="preserve">TFCIA BCI</t>
  </si>
  <si>
    <t xml:space="preserve">96516560-6</t>
  </si>
  <si>
    <t xml:space="preserve">BIO BIO COMUNICACIONES S.A.</t>
  </si>
  <si>
    <t xml:space="preserve">MEDIOS</t>
  </si>
  <si>
    <t xml:space="preserve">ACEPTADA</t>
  </si>
  <si>
    <t xml:space="preserve">SUB. DE LAS CULTURAS Y ARTES</t>
  </si>
  <si>
    <t xml:space="preserve">65018149-2</t>
  </si>
  <si>
    <t xml:space="preserve">ASOCIACION GREMIAL DE CANALES REGIONALES DE TELEVISION DE SENAL ABIERT</t>
  </si>
  <si>
    <t xml:space="preserve">96539380-3</t>
  </si>
  <si>
    <t xml:space="preserve">EDICIONES FINANCIERAS S.A.</t>
  </si>
  <si>
    <t xml:space="preserve">ASOCIACION DE AFP</t>
  </si>
  <si>
    <t xml:space="preserve">96721110-9</t>
  </si>
  <si>
    <t xml:space="preserve">VerificaciÃ³n e Inversiones Publicitarias SpA</t>
  </si>
  <si>
    <t xml:space="preserve">76984948-3</t>
  </si>
  <si>
    <t xml:space="preserve">CONECCIONLINEAL PUBLICIDAD Y MARKETING SPA</t>
  </si>
  <si>
    <t xml:space="preserve">MTS</t>
  </si>
  <si>
    <t xml:space="preserve">77278997-1</t>
  </si>
  <si>
    <t xml:space="preserve">CHILE 4 SPA</t>
  </si>
  <si>
    <t xml:space="preserve">77199950-6</t>
  </si>
  <si>
    <t xml:space="preserve">TABACH Y SALAS LIMITADA</t>
  </si>
  <si>
    <t xml:space="preserve">QUANTUM INTEGRAL</t>
  </si>
  <si>
    <t xml:space="preserve">04-04-2026  y 22-4-2026  y 30-4-2026 y 19-6-2026</t>
  </si>
  <si>
    <t xml:space="preserve">77482361-1</t>
  </si>
  <si>
    <t xml:space="preserve">INNOVATIVE CHILE SPA</t>
  </si>
  <si>
    <t xml:space="preserve">97006000-6</t>
  </si>
  <si>
    <t xml:space="preserve">BANCO DE CREDITO E INVERSIONES</t>
  </si>
  <si>
    <t xml:space="preserve">76590840-K</t>
  </si>
  <si>
    <t xml:space="preserve">ZURICH SANTANDER SEGUROS GENERALES CHILE S</t>
  </si>
  <si>
    <t xml:space="preserve">CONSTRUMART</t>
  </si>
  <si>
    <t xml:space="preserve">77903221-3</t>
  </si>
  <si>
    <t xml:space="preserve">CHILE MINERO SPA</t>
  </si>
  <si>
    <t xml:space="preserve">TECK</t>
  </si>
  <si>
    <t xml:space="preserve">76091612-9</t>
  </si>
  <si>
    <t xml:space="preserve">ALTA ESFERA COMUNICACIONES LIMITADA</t>
  </si>
  <si>
    <t xml:space="preserve">GRUPO LAGOS</t>
  </si>
  <si>
    <t xml:space="preserve">71614000-8</t>
  </si>
  <si>
    <t xml:space="preserve">Universidad de los Andes</t>
  </si>
  <si>
    <t xml:space="preserve">RECHAZADA</t>
  </si>
  <si>
    <t xml:space="preserve">BABYROSEN</t>
  </si>
  <si>
    <t xml:space="preserve">77954644-6</t>
  </si>
  <si>
    <t xml:space="preserve">WAPA MARKETING Y COMUNICACIONES LIMITADA.</t>
  </si>
  <si>
    <t xml:space="preserve">76425938-6</t>
  </si>
  <si>
    <t xml:space="preserve">Mediared SpA</t>
  </si>
  <si>
    <t xml:space="preserve">N/A</t>
  </si>
  <si>
    <t xml:space="preserve">76166681-9</t>
  </si>
  <si>
    <t xml:space="preserve">HS CHILE SPA</t>
  </si>
  <si>
    <t xml:space="preserve">TANAX</t>
  </si>
  <si>
    <t xml:space="preserve">NULA</t>
  </si>
  <si>
    <t xml:space="preserve">Nota de Credito Electronica</t>
  </si>
  <si>
    <t xml:space="preserve">ANULA</t>
  </si>
  <si>
    <t xml:space="preserve">84364100-8</t>
  </si>
  <si>
    <t xml:space="preserve">Publicidad Exterior Publivia SpA</t>
  </si>
  <si>
    <t xml:space="preserve">ANULA FACT 5891</t>
  </si>
  <si>
    <t xml:space="preserve">SAN JORGE</t>
  </si>
  <si>
    <t xml:space="preserve">78921690-8</t>
  </si>
  <si>
    <t xml:space="preserve">WOM S.A.</t>
  </si>
  <si>
    <t xml:space="preserve">52004666-6</t>
  </si>
  <si>
    <t xml:space="preserve">IQUIQUE TELEVISION PRODUCCIONES TELEVISIVAS Y EVENTOS LIMITADA</t>
  </si>
  <si>
    <t xml:space="preserve">76257507-8</t>
  </si>
  <si>
    <t xml:space="preserve">OPERACIONES DE RADIO EL CONQUISTADOR LIMITADA</t>
  </si>
  <si>
    <t xml:space="preserve">77662837-9</t>
  </si>
  <si>
    <t xml:space="preserve">POWER ID DIGITAL LIMITADA</t>
  </si>
  <si>
    <t xml:space="preserve">76126782-5</t>
  </si>
  <si>
    <t xml:space="preserve">VISUAL MEDIA LTDA.</t>
  </si>
  <si>
    <t xml:space="preserve">76872917-4</t>
  </si>
  <si>
    <t xml:space="preserve">COMUNICACIONES SERGIO ARMANDO MONTIVERO BRUNA E.I.R.L.</t>
  </si>
  <si>
    <t xml:space="preserve">76631768-5</t>
  </si>
  <si>
    <t xml:space="preserve">PATRICIO FÃ‰LIX MEZA FLORES,  E.I.R.L.</t>
  </si>
  <si>
    <t xml:space="preserve">77131718-9</t>
  </si>
  <si>
    <t xml:space="preserve">COMUNICACIONES LA HUAYCA SPA</t>
  </si>
  <si>
    <t xml:space="preserve">80314100-2</t>
  </si>
  <si>
    <t xml:space="preserve">EMPRESA PUBLICITARIA ANEPCO SPA</t>
  </si>
  <si>
    <t xml:space="preserve">78042909-7</t>
  </si>
  <si>
    <t xml:space="preserve">TIERRA DE DRAGONES SPA</t>
  </si>
  <si>
    <t xml:space="preserve">70938800-2</t>
  </si>
  <si>
    <t xml:space="preserve">CORP MUNICIPAL DE DESARROLLO SOCIAL DE IQUIQUE</t>
  </si>
  <si>
    <t xml:space="preserve">77176333-2</t>
  </si>
  <si>
    <t xml:space="preserve">MARKETING, PUBLICIDAD E INFORMÃTICA GRUPO 4 LIMITADA</t>
  </si>
  <si>
    <t xml:space="preserve">76574832-1</t>
  </si>
  <si>
    <t xml:space="preserve">DANTE INTERACTIVE PUBLICIDAD COMPUTACION Y MARKETING SPA</t>
  </si>
  <si>
    <t xml:space="preserve">76617260-1</t>
  </si>
  <si>
    <t xml:space="preserve">IMPORTADORA Y COMERCIALIZADORA GREPSA LTDA</t>
  </si>
  <si>
    <t xml:space="preserve">81689800-5</t>
  </si>
  <si>
    <t xml:space="preserve">TVN</t>
  </si>
  <si>
    <t xml:space="preserve">UNIV. CATOLICA</t>
  </si>
  <si>
    <t xml:space="preserve">76808030-5</t>
  </si>
  <si>
    <t xml:space="preserve">MEDIASTREAM SPA</t>
  </si>
  <si>
    <t xml:space="preserve">77983786-6</t>
  </si>
  <si>
    <t xml:space="preserve">COMUNICACIONES HDR SPA</t>
  </si>
  <si>
    <t xml:space="preserve">76564873-4</t>
  </si>
  <si>
    <t xml:space="preserve">SERVICIOS DE PRODUCCIÃ“N CRISTIAN MARCELO LABBÃ‰ VENEGAS E.I.R.L.</t>
  </si>
  <si>
    <t xml:space="preserve">CERESITA</t>
  </si>
  <si>
    <t xml:space="preserve">78319760-K</t>
  </si>
  <si>
    <t xml:space="preserve">SOC. RADIO DIFUSORA F.M 102 LTDA.</t>
  </si>
  <si>
    <t xml:space="preserve">76279899-9</t>
  </si>
  <si>
    <t xml:space="preserve">COMUNICACIONES BRAVA SOCIEDAD ANONIMA</t>
  </si>
  <si>
    <t xml:space="preserve">76454512-5</t>
  </si>
  <si>
    <t xml:space="preserve">MEDIA 23 SPA.</t>
  </si>
  <si>
    <t xml:space="preserve">77837600-8</t>
  </si>
  <si>
    <t xml:space="preserve">COMUNICACIONES SAN ANDRES LIMITADA</t>
  </si>
  <si>
    <t xml:space="preserve">84383200-8</t>
  </si>
  <si>
    <t xml:space="preserve">GLOBAL MEDIA SPA</t>
  </si>
  <si>
    <t xml:space="preserve">FIT FORMULA</t>
  </si>
  <si>
    <t xml:space="preserve">NULA NC 3702</t>
  </si>
  <si>
    <t xml:space="preserve">96810030-0</t>
  </si>
  <si>
    <t xml:space="preserve">RDF MEDIA SPA</t>
  </si>
  <si>
    <t xml:space="preserve">COLBUN</t>
  </si>
  <si>
    <t xml:space="preserve">UNIV. DE TALCA</t>
  </si>
  <si>
    <t xml:space="preserve">79947310-0</t>
  </si>
  <si>
    <t xml:space="preserve">PRISA MEDIA CHILE S.A.</t>
  </si>
  <si>
    <t xml:space="preserve">TANAX (ORIGEN)</t>
  </si>
  <si>
    <t xml:space="preserve">CONSTRUMART (ORIGEN)</t>
  </si>
  <si>
    <t xml:space="preserve">GRUPO LAGOS (ORIGEN)</t>
  </si>
  <si>
    <t xml:space="preserve">TECK (ORIGEN)</t>
  </si>
  <si>
    <t xml:space="preserve">94795000-2</t>
  </si>
  <si>
    <t xml:space="preserve">CIA.CHILENA DE COMUNICACIONES S.A.</t>
  </si>
  <si>
    <t xml:space="preserve">BOREAL</t>
  </si>
  <si>
    <t xml:space="preserve">DE VICENTE PLASTICOS</t>
  </si>
  <si>
    <t xml:space="preserve">5345224-8</t>
  </si>
  <si>
    <t xml:space="preserve">RICARDO JOSE JESUS ROJAS NAVARRETE</t>
  </si>
  <si>
    <t xml:space="preserve">96800570-7</t>
  </si>
  <si>
    <t xml:space="preserve">ENEL DISTRIBUCIÃ“N CHILE S.A</t>
  </si>
  <si>
    <t xml:space="preserve">96945160-3</t>
  </si>
  <si>
    <t xml:space="preserve">YES SOCIEDAD ANONIMA</t>
  </si>
  <si>
    <t xml:space="preserve">76394590-1</t>
  </si>
  <si>
    <t xml:space="preserve">SERVICIOS PUBLICITARIOS PUBLIVISION LIMITADA</t>
  </si>
  <si>
    <t xml:space="preserve">76634948-K</t>
  </si>
  <si>
    <t xml:space="preserve">MEDIOS REGIONALES MI VOZ S.A.</t>
  </si>
  <si>
    <t xml:space="preserve">76869338-2</t>
  </si>
  <si>
    <t xml:space="preserve">ZANCO SPA</t>
  </si>
  <si>
    <t xml:space="preserve">76503821-9</t>
  </si>
  <si>
    <t xml:space="preserve">COOL PUBLICIDAD SPA</t>
  </si>
  <si>
    <t xml:space="preserve">ANULA FACT 37424</t>
  </si>
  <si>
    <t xml:space="preserve">78794060-9</t>
  </si>
  <si>
    <t xml:space="preserve">MEGAMEDIA RADIO S.A.</t>
  </si>
  <si>
    <t xml:space="preserve">INSINGNI</t>
  </si>
  <si>
    <t xml:space="preserve">CRUCE Y DIF</t>
  </si>
  <si>
    <t xml:space="preserve">89673600-0</t>
  </si>
  <si>
    <t xml:space="preserve">NUNEZ Y COMPANIA LIMITADA</t>
  </si>
  <si>
    <t xml:space="preserve">NULA NC 558</t>
  </si>
  <si>
    <t xml:space="preserve">76058347-2</t>
  </si>
  <si>
    <t xml:space="preserve">COMERCIALIZADORA GC SA</t>
  </si>
  <si>
    <t xml:space="preserve">76115132-0</t>
  </si>
  <si>
    <t xml:space="preserve">CANAL 13 SpA.</t>
  </si>
  <si>
    <t xml:space="preserve">76660828-0</t>
  </si>
  <si>
    <t xml:space="preserve">AGENCIA PUNTUAL SPA</t>
  </si>
  <si>
    <t xml:space="preserve">12-06-2026, se abona fact 4791 y 4970</t>
  </si>
  <si>
    <t xml:space="preserve">24-4-2026   PAGO A EVERGREEN NUEVA CUENTA</t>
  </si>
  <si>
    <t xml:space="preserve">77649910-2</t>
  </si>
  <si>
    <t xml:space="preserve">AYSEN COMUNICACIONES LIMITADA</t>
  </si>
  <si>
    <t xml:space="preserve">77549724-6</t>
  </si>
  <si>
    <t xml:space="preserve">YHC CONSULTORES LIMITADA</t>
  </si>
  <si>
    <t xml:space="preserve">Factura Exenta Electronica</t>
  </si>
  <si>
    <t xml:space="preserve">ANULA FACT 4535</t>
  </si>
  <si>
    <t xml:space="preserve">99538470-1</t>
  </si>
  <si>
    <t xml:space="preserve">PORTALES DE NEGOCIOS S.A</t>
  </si>
  <si>
    <t xml:space="preserve">go capital</t>
  </si>
  <si>
    <t xml:space="preserve">77022910-3</t>
  </si>
  <si>
    <t xml:space="preserve">MASSIVA  S.A.</t>
  </si>
  <si>
    <t xml:space="preserve">96669520-K</t>
  </si>
  <si>
    <t xml:space="preserve">Red De Television Chilevision SA</t>
  </si>
  <si>
    <t xml:space="preserve">77688283-6</t>
  </si>
  <si>
    <t xml:space="preserve">SOCIEDAD DE PROFESIONALES YY LIMITADA</t>
  </si>
  <si>
    <t xml:space="preserve">97036000-K</t>
  </si>
  <si>
    <t xml:space="preserve">Santander - Chile</t>
  </si>
  <si>
    <t xml:space="preserve">90193000-7</t>
  </si>
  <si>
    <t xml:space="preserve">Empresa El Mercurio S.A.P.</t>
  </si>
  <si>
    <t xml:space="preserve">LA DEHESA COMERCIO</t>
  </si>
  <si>
    <t xml:space="preserve">PAGADA</t>
  </si>
  <si>
    <t xml:space="preserve">directa</t>
  </si>
  <si>
    <t xml:space="preserve">PARQUE RECUERDO</t>
  </si>
  <si>
    <t xml:space="preserve">FEBRERO</t>
  </si>
  <si>
    <t xml:space="preserve">84295700-1</t>
  </si>
  <si>
    <t xml:space="preserve">Empresa Periodistica El Norte S.A.</t>
  </si>
  <si>
    <t xml:space="preserve">vision</t>
  </si>
  <si>
    <t xml:space="preserve">76137670-5</t>
  </si>
  <si>
    <t xml:space="preserve">SOC DE COMUNICACIONES DEL SUR LTDA</t>
  </si>
  <si>
    <t xml:space="preserve">78269440-5</t>
  </si>
  <si>
    <t xml:space="preserve">COMUNICACIONES C Y V S A</t>
  </si>
  <si>
    <t xml:space="preserve">ANULA FACT 13080</t>
  </si>
  <si>
    <t xml:space="preserve">77961978-8</t>
  </si>
  <si>
    <t xml:space="preserve">AGENCIA MASTER SPA</t>
  </si>
  <si>
    <t xml:space="preserve">06-03-2026 y 13-03-2026</t>
  </si>
  <si>
    <t xml:space="preserve">anulada nc 4748</t>
  </si>
  <si>
    <t xml:space="preserve">PRIMUS</t>
  </si>
  <si>
    <t xml:space="preserve">76215078-6</t>
  </si>
  <si>
    <t xml:space="preserve">SOCIEDAD COMERCIAL FUTBOL SITES NETWORK CHILE LIMITADA</t>
  </si>
  <si>
    <t xml:space="preserve">FUNERARIA HOGAR DE CRISTO</t>
  </si>
  <si>
    <t xml:space="preserve">ROSEN</t>
  </si>
  <si>
    <t xml:space="preserve">Cordada </t>
  </si>
  <si>
    <t xml:space="preserve">fact nacional</t>
  </si>
  <si>
    <t xml:space="preserve">NULA NC 9245</t>
  </si>
  <si>
    <t xml:space="preserve">NULA NC 9246</t>
  </si>
  <si>
    <t xml:space="preserve">87161100-9</t>
  </si>
  <si>
    <t xml:space="preserve">DIRECTV Chile TelevisiÃƒÂ³n Limitada</t>
  </si>
  <si>
    <t xml:space="preserve">ANULA FACT 118309</t>
  </si>
  <si>
    <t xml:space="preserve">ANULA FACT 118310</t>
  </si>
  <si>
    <t xml:space="preserve">ORIGENCOMUNICACIONES</t>
  </si>
  <si>
    <t xml:space="preserve">76047103-8</t>
  </si>
  <si>
    <t xml:space="preserve">Gestion Regional de Medios S.A.</t>
  </si>
  <si>
    <t xml:space="preserve">MARZO</t>
  </si>
  <si>
    <t xml:space="preserve">VISION</t>
  </si>
  <si>
    <t xml:space="preserve">LA DEHESA COMERCIO </t>
  </si>
  <si>
    <t xml:space="preserve">76272641-6</t>
  </si>
  <si>
    <t xml:space="preserve">RECAP SPA</t>
  </si>
  <si>
    <t xml:space="preserve">96915690-3</t>
  </si>
  <si>
    <t xml:space="preserve">COMSCORE CHILE S.A</t>
  </si>
  <si>
    <t xml:space="preserve">76918443-0</t>
  </si>
  <si>
    <t xml:space="preserve">SOCIEDAD PRESTADORA DE SOLUCIONES SPA</t>
  </si>
  <si>
    <t xml:space="preserve">NULA NC 34</t>
  </si>
  <si>
    <t xml:space="preserve">ANULLA</t>
  </si>
  <si>
    <t xml:space="preserve">ANULA FACT 233</t>
  </si>
  <si>
    <t xml:space="preserve">ANULA FACT 15716885</t>
  </si>
  <si>
    <t xml:space="preserve">PARQUE DEL RECUERDO </t>
  </si>
  <si>
    <t xml:space="preserve">76213392-K</t>
  </si>
  <si>
    <t xml:space="preserve">Q MARKETING S.A</t>
  </si>
  <si>
    <t xml:space="preserve">VICENTE DE PLASTICOS</t>
  </si>
  <si>
    <t xml:space="preserve">82066500-7</t>
  </si>
  <si>
    <t xml:space="preserve">PRISA MEDIA CORP SpA</t>
  </si>
  <si>
    <t xml:space="preserve">SANTIAGO CFT</t>
  </si>
  <si>
    <t xml:space="preserve">80764900-0</t>
  </si>
  <si>
    <t xml:space="preserve">Antonio Puga S.A</t>
  </si>
  <si>
    <t xml:space="preserve">77165601-3</t>
  </si>
  <si>
    <t xml:space="preserve">QUMRAN SPA</t>
  </si>
  <si>
    <t xml:space="preserve">FINI</t>
  </si>
  <si>
    <t xml:space="preserve">VARIOS</t>
  </si>
  <si>
    <t xml:space="preserve">76587927-2</t>
  </si>
  <si>
    <t xml:space="preserve">GENESIS SPA</t>
  </si>
  <si>
    <t xml:space="preserve">NULA NC 98</t>
  </si>
  <si>
    <t xml:space="preserve">NULA NC 99</t>
  </si>
  <si>
    <t xml:space="preserve">ANULA FACT 1095</t>
  </si>
  <si>
    <t xml:space="preserve">ANULA FACT 1096</t>
  </si>
  <si>
    <t xml:space="preserve">ABRIL</t>
  </si>
  <si>
    <t xml:space="preserve">77199330-3</t>
  </si>
  <si>
    <t xml:space="preserve">ARMSTRONG Y ASOCIADOS SA</t>
  </si>
  <si>
    <t xml:space="preserve">OCTUBRE </t>
  </si>
  <si>
    <t xml:space="preserve">76857696-3</t>
  </si>
  <si>
    <t xml:space="preserve">POWER ID DIGITAL SPA</t>
  </si>
  <si>
    <t xml:space="preserve">WINTER</t>
  </si>
  <si>
    <t xml:space="preserve">LA ARAUCANA CCAF</t>
  </si>
  <si>
    <t xml:space="preserve">GARAGE71</t>
  </si>
  <si>
    <t xml:space="preserve">76877046-8</t>
  </si>
  <si>
    <t xml:space="preserve">PUBLICIDAD VIA PUBLICA CHILE SPA</t>
  </si>
  <si>
    <t xml:space="preserve">77765116-1</t>
  </si>
  <si>
    <t xml:space="preserve">Atera Media Group SPA</t>
  </si>
  <si>
    <t xml:space="preserve">RED DE ALIMENTOS</t>
  </si>
  <si>
    <t xml:space="preserve">PARQUE DEL RECUERDO</t>
  </si>
  <si>
    <t xml:space="preserve">96720830-2</t>
  </si>
  <si>
    <t xml:space="preserve">BCI FACTORING S.A.</t>
  </si>
  <si>
    <t xml:space="preserve">MAYO</t>
  </si>
  <si>
    <t xml:space="preserve">cargo cta cte</t>
  </si>
  <si>
    <t xml:space="preserve">soc proyeccion</t>
  </si>
  <si>
    <t xml:space="preserve">marb</t>
  </si>
  <si>
    <t xml:space="preserve">76680165-K</t>
  </si>
  <si>
    <t xml:space="preserve">PAUTA SPA</t>
  </si>
  <si>
    <t xml:space="preserve">MUNICIPALIDAD PROVIDENCIA</t>
  </si>
  <si>
    <t xml:space="preserve">reemb ricardo</t>
  </si>
  <si>
    <t xml:space="preserve">78016020-9</t>
  </si>
  <si>
    <t xml:space="preserve">TALLERES GRAFICOS VICTOR HUGO ROJAS LOPEZ HERMANOS Y COMPANIA LIMITADA</t>
  </si>
  <si>
    <t xml:space="preserve">PROVEERDOR</t>
  </si>
  <si>
    <t xml:space="preserve">76185964-1</t>
  </si>
  <si>
    <t xml:space="preserve">MEGAMEDIA S.A.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</si>
</sst>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#,##0"/>
    <numFmt numFmtId="167" formatCode="d/m/yyyy"/>
    <numFmt numFmtId="168" formatCode="dd/mm/yyyy"/>
    <numFmt numFmtId="169" formatCode="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rgb="FF9C6500"/>
      <name val="Calibri"/>
      <family val="2"/>
      <charset val="1"/>
    </font>
    <font>
      <sz val="12"/>
      <color theme="1"/>
      <name val="Calibri"/>
      <family val="2"/>
      <charset val="1"/>
    </font>
    <font>
      <sz val="18"/>
      <color theme="3"/>
      <name val="Cambria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name val="Rockwell"/>
      <family val="1"/>
      <charset val="1"/>
    </font>
    <font>
      <b val="true"/>
      <sz val="11"/>
      <color theme="1"/>
      <name val="Rockwell"/>
      <family val="1"/>
      <charset val="1"/>
    </font>
    <font>
      <b val="true"/>
      <sz val="11"/>
      <color theme="3" tint="0.3999"/>
      <name val="Rockwell"/>
      <family val="1"/>
      <charset val="1"/>
    </font>
    <font>
      <b val="true"/>
      <sz val="11"/>
      <color rgb="FFFF0000"/>
      <name val="Rockwell"/>
      <family val="1"/>
      <charset val="1"/>
    </font>
    <font>
      <b val="true"/>
      <sz val="12"/>
      <color theme="0"/>
      <name val="Aptos Narrow"/>
      <family val="2"/>
      <charset val="1"/>
    </font>
    <font>
      <b val="true"/>
      <sz val="12"/>
      <color theme="3" tint="0.3999"/>
      <name val="Aptos Narrow"/>
      <family val="2"/>
      <charset val="1"/>
    </font>
    <font>
      <b val="true"/>
      <sz val="12"/>
      <color theme="0"/>
      <name val="Rockwell"/>
      <family val="1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3" tint="0.3999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Aptos Narrow"/>
      <family val="2"/>
      <charset val="1"/>
    </font>
    <font>
      <b val="true"/>
      <sz val="11"/>
      <color theme="8" tint="-0.5"/>
      <name val="Calibri"/>
      <family val="2"/>
      <charset val="1"/>
    </font>
    <font>
      <b val="true"/>
      <i val="true"/>
      <sz val="11"/>
      <color theme="8" tint="-0.5"/>
      <name val="Calibri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Rockwell"/>
      <family val="1"/>
      <charset val="1"/>
    </font>
    <font>
      <sz val="11"/>
      <color theme="1"/>
      <name val="Rockwell"/>
      <family val="1"/>
      <charset val="1"/>
    </font>
    <font>
      <sz val="11"/>
      <color theme="3" tint="0.3999"/>
      <name val="Rockwell"/>
      <family val="1"/>
      <charset val="1"/>
    </font>
    <font>
      <sz val="11"/>
      <color rgb="FFFF0000"/>
      <name val="Rockwell"/>
      <family val="1"/>
      <charset val="1"/>
    </font>
  </fonts>
  <fills count="12">
    <fill>
      <patternFill patternType="none"/>
    </fill>
    <fill>
      <patternFill patternType="gray125"/>
    </fill>
    <fill>
      <patternFill patternType="solid">
        <fgColor theme="4" tint="0.3999"/>
        <bgColor rgb="FF93CDDD"/>
      </patternFill>
    </fill>
    <fill>
      <patternFill patternType="solid">
        <fgColor theme="5" tint="0.3999"/>
        <bgColor rgb="FFFF99CC"/>
      </patternFill>
    </fill>
    <fill>
      <patternFill patternType="solid">
        <fgColor theme="6" tint="0.3999"/>
        <bgColor rgb="FFCCCCFF"/>
      </patternFill>
    </fill>
    <fill>
      <patternFill patternType="solid">
        <fgColor theme="7" tint="0.3999"/>
        <bgColor rgb="FF95B3D7"/>
      </patternFill>
    </fill>
    <fill>
      <patternFill patternType="solid">
        <fgColor theme="8" tint="0.3999"/>
        <bgColor rgb="FF95B3D7"/>
      </patternFill>
    </fill>
    <fill>
      <patternFill patternType="solid">
        <fgColor theme="9" tint="0.3999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4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0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0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6" fillId="8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9" fillId="0" borderId="0" applyFont="true" applyBorder="false" applyAlignment="true" applyProtection="false">
      <alignment horizontal="left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6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5" fillId="1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2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9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1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9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6" fillId="9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9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3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2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60% - Énfasis1 2" xfId="20"/>
    <cellStyle name="60% - Énfasis1 3" xfId="21"/>
    <cellStyle name="60% - Énfasis2 2" xfId="22"/>
    <cellStyle name="60% - Énfasis2 3" xfId="23"/>
    <cellStyle name="60% - Énfasis3 2" xfId="24"/>
    <cellStyle name="60% - Énfasis3 3" xfId="25"/>
    <cellStyle name="60% - Énfasis4 2" xfId="26"/>
    <cellStyle name="60% - Énfasis4 3" xfId="27"/>
    <cellStyle name="60% - Énfasis5 2" xfId="28"/>
    <cellStyle name="60% - Énfasis5 3" xfId="29"/>
    <cellStyle name="60% - Énfasis6 2" xfId="30"/>
    <cellStyle name="60% - Énfasis6 3" xfId="31"/>
    <cellStyle name="Millares 2" xfId="32"/>
    <cellStyle name="Neutral 2" xfId="33"/>
    <cellStyle name="Neutral 3" xfId="34"/>
    <cellStyle name="Normal 2" xfId="35"/>
    <cellStyle name="Título 4" xfId="36"/>
    <cellStyle name="Campo de la tabla dinámica" xfId="37"/>
    <cellStyle name="Esquina de la tabla dinámica" xfId="38"/>
    <cellStyle name="Valor de la tabla dinámica" xfId="39"/>
    <cellStyle name="Categoría de la tabla dinámica" xfId="40"/>
    <cellStyle name="Título de la tabla dinámica" xfId="41"/>
    <cellStyle name="Resultado de la tabla dinámica" xfId="42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15968"/>
          <bgColor rgb="FF000000"/>
        </patternFill>
      </fill>
    </dxf>
    <dxf>
      <fill>
        <patternFill patternType="solid">
          <fgColor rgb="FF558ED5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500"/>
      <rgbColor rgb="FF800080"/>
      <rgbColor rgb="FF008080"/>
      <rgbColor rgb="FFC3D69B"/>
      <rgbColor rgb="FF808080"/>
      <rgbColor rgb="FF95B3D7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3CDDD"/>
      <rgbColor rgb="FFFF99CC"/>
      <rgbColor rgb="FFB3A2C7"/>
      <rgbColor rgb="FFFAC090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215968"/>
      <rgbColor rgb="FF339966"/>
      <rgbColor rgb="FF003300"/>
      <rgbColor rgb="FF333300"/>
      <rgbColor rgb="FF9C57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" displayName="Tabla" ref="A1:AK812" headerRowCount="1" totalsRowCount="0" totalsRowShown="0">
  <autoFilter ref="A1:AK812"/>
  <tableColumns count="37">
    <tableColumn id="1" name="RUT"/>
    <tableColumn id="2" name="PROVEEDOR"/>
    <tableColumn id="3" name="TIPO DOC"/>
    <tableColumn id="4" name="FACTURA"/>
    <tableColumn id="5" name="CONCATENADO"/>
    <tableColumn id="6" name="EMI"/>
    <tableColumn id="7" name="VCTO"/>
    <tableColumn id="8" name="DIAS VENC."/>
    <tableColumn id="9" name="VENCIMIENTO"/>
    <tableColumn id="10" name="TIPO"/>
    <tableColumn id="11" name="ESTADO"/>
    <tableColumn id="12" name="LIBRO DEL MES"/>
    <tableColumn id="13" name="AÑO FACT"/>
    <tableColumn id="14" name="AÑO CAMPAÑA"/>
    <tableColumn id="15" name="MES CAMPAÑA"/>
    <tableColumn id="16" name="PERIODO CAMPAÑA"/>
    <tableColumn id="17" name="CLIENTE"/>
    <tableColumn id="18" name="DOC PDF"/>
    <tableColumn id="19" name="EXENTO"/>
    <tableColumn id="20" name="NETO"/>
    <tableColumn id="21" name="IVA RECUP"/>
    <tableColumn id="22" name="IVA NR"/>
    <tableColumn id="23" name="TOTAL"/>
    <tableColumn id="24" name="P1"/>
    <tableColumn id="25" name="P2"/>
    <tableColumn id="26" name="P3"/>
    <tableColumn id="27" name="P4"/>
    <tableColumn id="28" name="SALDO FALTANTE"/>
    <tableColumn id="29" name="TOTAL PAGOS"/>
    <tableColumn id="30" name="SALDO"/>
    <tableColumn id="31" name="ESTADO2"/>
    <tableColumn id="32" name="FACTORING"/>
    <tableColumn id="33" name="PAGADO CON"/>
    <tableColumn id="34" name="FECHA PAGO / ABONO"/>
    <tableColumn id="35" name="Mes Pago"/>
    <tableColumn id="36" name="Año Pago"/>
    <tableColumn id="37" name="NOT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16" activeCellId="1" sqref="50:50 E16"/>
    </sheetView>
  </sheetViews>
  <sheetFormatPr defaultColWidth="11.5625" defaultRowHeight="14.25" customHeight="false" zeroHeight="false" outlineLevelRow="0" outlineLevelCol="0"/>
  <cols>
    <col collapsed="false" customWidth="true" hidden="false" outlineLevel="0" max="3" min="3" style="0" width="12.67"/>
  </cols>
  <sheetData>
    <row r="2" customFormat="false" ht="14.25" hidden="false" customHeight="false" outlineLevel="0" collapsed="false">
      <c r="D2" s="0" t="s">
        <v>0</v>
      </c>
      <c r="E2" s="0" t="s">
        <v>1</v>
      </c>
      <c r="F2" s="0" t="s">
        <v>2</v>
      </c>
      <c r="G2" s="0" t="s">
        <v>3</v>
      </c>
      <c r="H2" s="0" t="s">
        <v>4</v>
      </c>
      <c r="I2" s="0" t="s">
        <v>5</v>
      </c>
      <c r="J2" s="0" t="s">
        <v>6</v>
      </c>
    </row>
    <row r="3" customFormat="false" ht="14.25" hidden="false" customHeight="false" outlineLevel="0" collapsed="false">
      <c r="B3" s="0" t="s">
        <v>7</v>
      </c>
      <c r="D3" s="1" t="s">
        <v>8</v>
      </c>
      <c r="E3" s="1" t="s">
        <v>9</v>
      </c>
      <c r="F3" s="1" t="s">
        <v>9</v>
      </c>
      <c r="G3" s="1"/>
      <c r="H3" s="1"/>
      <c r="I3" s="1"/>
      <c r="J3" s="1"/>
    </row>
    <row r="4" customFormat="false" ht="14.25" hidden="false" customHeight="false" outlineLevel="0" collapsed="false">
      <c r="B4" s="0" t="s">
        <v>10</v>
      </c>
      <c r="D4" s="1" t="s">
        <v>8</v>
      </c>
      <c r="E4" s="1"/>
      <c r="F4" s="1"/>
      <c r="G4" s="1"/>
      <c r="H4" s="1"/>
      <c r="I4" s="1"/>
      <c r="J4" s="1"/>
    </row>
    <row r="5" customFormat="false" ht="14.25" hidden="false" customHeight="false" outlineLevel="0" collapsed="false">
      <c r="B5" s="2" t="s">
        <v>11</v>
      </c>
      <c r="D5" s="1" t="s">
        <v>8</v>
      </c>
      <c r="E5" s="1" t="s">
        <v>9</v>
      </c>
      <c r="F5" s="1"/>
      <c r="G5" s="1"/>
      <c r="H5" s="1"/>
      <c r="I5" s="1"/>
      <c r="J5" s="1"/>
    </row>
    <row r="6" customFormat="false" ht="14.25" hidden="false" customHeight="false" outlineLevel="0" collapsed="false">
      <c r="B6" s="2" t="s">
        <v>12</v>
      </c>
      <c r="D6" s="1" t="s">
        <v>8</v>
      </c>
      <c r="E6" s="1" t="s">
        <v>9</v>
      </c>
      <c r="F6" s="1"/>
      <c r="G6" s="1"/>
      <c r="H6" s="1"/>
      <c r="I6" s="1"/>
      <c r="J6" s="1"/>
    </row>
    <row r="7" customFormat="false" ht="14.25" hidden="false" customHeight="false" outlineLevel="0" collapsed="false">
      <c r="B7" s="2" t="s">
        <v>13</v>
      </c>
      <c r="D7" s="1" t="s">
        <v>8</v>
      </c>
      <c r="E7" s="1" t="s">
        <v>9</v>
      </c>
      <c r="F7" s="1"/>
      <c r="G7" s="1"/>
      <c r="H7" s="1"/>
      <c r="I7" s="1"/>
      <c r="J7" s="1"/>
    </row>
    <row r="8" customFormat="false" ht="14.25" hidden="false" customHeight="false" outlineLevel="0" collapsed="false">
      <c r="B8" s="2" t="s">
        <v>14</v>
      </c>
      <c r="D8" s="1" t="s">
        <v>8</v>
      </c>
      <c r="E8" s="1" t="s">
        <v>8</v>
      </c>
      <c r="F8" s="1" t="s">
        <v>8</v>
      </c>
      <c r="G8" s="1"/>
      <c r="H8" s="1"/>
      <c r="I8" s="1"/>
      <c r="J8" s="1"/>
    </row>
    <row r="9" customFormat="false" ht="14.25" hidden="false" customHeight="false" outlineLevel="0" collapsed="false">
      <c r="B9" s="2" t="s">
        <v>15</v>
      </c>
      <c r="D9" s="1" t="s">
        <v>8</v>
      </c>
      <c r="E9" s="1" t="s">
        <v>9</v>
      </c>
      <c r="F9" s="1"/>
      <c r="G9" s="1"/>
      <c r="H9" s="1"/>
      <c r="I9" s="1"/>
      <c r="J9" s="1"/>
    </row>
    <row r="10" customFormat="false" ht="14.25" hidden="false" customHeight="false" outlineLevel="0" collapsed="false">
      <c r="B10" s="2" t="s">
        <v>16</v>
      </c>
      <c r="D10" s="1" t="s">
        <v>8</v>
      </c>
      <c r="E10" s="1" t="s">
        <v>9</v>
      </c>
      <c r="F10" s="1"/>
      <c r="G10" s="1"/>
      <c r="H10" s="1"/>
      <c r="I10" s="1"/>
      <c r="J10" s="1"/>
    </row>
    <row r="11" customFormat="false" ht="14.25" hidden="false" customHeight="false" outlineLevel="0" collapsed="false">
      <c r="B11" s="2" t="s">
        <v>17</v>
      </c>
      <c r="D11" s="1" t="s">
        <v>8</v>
      </c>
      <c r="E11" s="1"/>
      <c r="F11" s="1"/>
      <c r="G11" s="1"/>
      <c r="H11" s="1"/>
      <c r="I11" s="1"/>
      <c r="J11" s="1"/>
    </row>
    <row r="12" customFormat="false" ht="14.25" hidden="false" customHeight="false" outlineLevel="0" collapsed="false">
      <c r="B12" s="2" t="s">
        <v>18</v>
      </c>
      <c r="D12" s="1" t="s">
        <v>8</v>
      </c>
      <c r="E12" s="1"/>
      <c r="F12" s="1"/>
      <c r="G12" s="1"/>
      <c r="H12" s="1"/>
      <c r="I12" s="1"/>
      <c r="J12" s="1"/>
    </row>
    <row r="13" customFormat="false" ht="14.25" hidden="false" customHeight="false" outlineLevel="0" collapsed="false">
      <c r="B13" s="2" t="s">
        <v>19</v>
      </c>
      <c r="D13" s="1" t="s">
        <v>8</v>
      </c>
      <c r="E13" s="1" t="s">
        <v>9</v>
      </c>
      <c r="F13" s="1"/>
      <c r="G13" s="1"/>
      <c r="H13" s="1"/>
      <c r="I13" s="1"/>
      <c r="J13" s="1"/>
    </row>
    <row r="14" customFormat="false" ht="14.25" hidden="false" customHeight="false" outlineLevel="0" collapsed="false">
      <c r="B14" s="2" t="s">
        <v>20</v>
      </c>
      <c r="D14" s="1" t="s">
        <v>8</v>
      </c>
      <c r="E14" s="1"/>
      <c r="F14" s="1"/>
      <c r="G14" s="1"/>
      <c r="H14" s="1"/>
      <c r="I14" s="1"/>
      <c r="J14" s="1"/>
    </row>
    <row r="15" customFormat="false" ht="14.25" hidden="false" customHeight="false" outlineLevel="0" collapsed="false">
      <c r="B15" s="2" t="s">
        <v>21</v>
      </c>
      <c r="D15" s="1" t="s">
        <v>8</v>
      </c>
      <c r="E15" s="1" t="s">
        <v>9</v>
      </c>
      <c r="F15" s="1"/>
      <c r="G15" s="1"/>
      <c r="H15" s="1"/>
      <c r="I15" s="1"/>
      <c r="J15" s="1"/>
    </row>
    <row r="16" customFormat="false" ht="14.25" hidden="false" customHeight="false" outlineLevel="0" collapsed="false">
      <c r="B16" s="2" t="s">
        <v>22</v>
      </c>
      <c r="D16" s="1" t="s">
        <v>8</v>
      </c>
      <c r="E16" s="1" t="s">
        <v>9</v>
      </c>
      <c r="F16" s="1"/>
      <c r="G16" s="1"/>
      <c r="H16" s="1"/>
      <c r="I16" s="1"/>
      <c r="J16" s="1"/>
    </row>
    <row r="17" customFormat="false" ht="14.25" hidden="false" customHeight="false" outlineLevel="0" collapsed="false">
      <c r="B17" s="2" t="s">
        <v>23</v>
      </c>
      <c r="D17" s="1" t="s">
        <v>8</v>
      </c>
      <c r="E17" s="1" t="s">
        <v>9</v>
      </c>
      <c r="F17" s="1"/>
      <c r="G17" s="1"/>
      <c r="H17" s="1"/>
      <c r="I17" s="1"/>
      <c r="J17" s="1"/>
    </row>
    <row r="18" customFormat="false" ht="14.25" hidden="false" customHeight="false" outlineLevel="0" collapsed="false">
      <c r="B18" s="2" t="s">
        <v>24</v>
      </c>
      <c r="D18" s="1" t="s">
        <v>8</v>
      </c>
      <c r="E18" s="1" t="s">
        <v>9</v>
      </c>
      <c r="F18" s="1"/>
      <c r="G18" s="1"/>
      <c r="H18" s="1"/>
      <c r="I18" s="1"/>
      <c r="J18" s="1"/>
    </row>
    <row r="19" customFormat="false" ht="14.25" hidden="false" customHeight="false" outlineLevel="0" collapsed="false">
      <c r="B19" s="2" t="s">
        <v>25</v>
      </c>
      <c r="D19" s="1" t="s">
        <v>8</v>
      </c>
      <c r="E19" s="1" t="s">
        <v>9</v>
      </c>
      <c r="F19" s="1"/>
      <c r="G19" s="1"/>
      <c r="H19" s="1"/>
      <c r="I19" s="1"/>
      <c r="J19" s="1"/>
    </row>
    <row r="20" customFormat="false" ht="14.25" hidden="false" customHeight="false" outlineLevel="0" collapsed="false">
      <c r="B20" s="2" t="s">
        <v>26</v>
      </c>
      <c r="D20" s="1" t="s">
        <v>8</v>
      </c>
      <c r="E20" s="1" t="s">
        <v>8</v>
      </c>
      <c r="F20" s="1"/>
      <c r="G20" s="1"/>
      <c r="H20" s="1"/>
      <c r="I20" s="1"/>
      <c r="J20" s="1"/>
    </row>
    <row r="21" customFormat="false" ht="14.25" hidden="false" customHeight="false" outlineLevel="0" collapsed="false">
      <c r="B21" s="2" t="s">
        <v>27</v>
      </c>
      <c r="D21" s="1" t="s">
        <v>8</v>
      </c>
      <c r="E21" s="1" t="s">
        <v>9</v>
      </c>
      <c r="F21" s="1"/>
      <c r="G21" s="1"/>
      <c r="H21" s="1"/>
      <c r="I21" s="1"/>
      <c r="J21" s="1"/>
    </row>
    <row r="22" customFormat="false" ht="14.25" hidden="false" customHeight="false" outlineLevel="0" collapsed="false">
      <c r="B22" s="2" t="s">
        <v>28</v>
      </c>
      <c r="D22" s="1" t="s">
        <v>8</v>
      </c>
      <c r="E22" s="1"/>
      <c r="F22" s="1"/>
      <c r="G22" s="1"/>
      <c r="H22" s="1"/>
      <c r="I22" s="1"/>
      <c r="J22" s="1"/>
    </row>
    <row r="23" customFormat="false" ht="14.25" hidden="false" customHeight="false" outlineLevel="0" collapsed="false">
      <c r="B23" s="2" t="s">
        <v>29</v>
      </c>
      <c r="D23" s="1"/>
      <c r="E23" s="1"/>
      <c r="F23" s="1"/>
      <c r="G23" s="1"/>
      <c r="H23" s="1"/>
      <c r="I23" s="1"/>
      <c r="J2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B3D7"/>
    <pageSetUpPr fitToPage="true"/>
  </sheetPr>
  <dimension ref="A1:CO1048576"/>
  <sheetViews>
    <sheetView showFormulas="false" showGridLines="false" showRowColHeaders="true" showZeros="true" rightToLeft="false" tabSelected="true" showOutlineSymbols="true" defaultGridColor="true" view="normal" topLeftCell="J4" colorId="64" zoomScale="79" zoomScaleNormal="79" zoomScalePageLayoutView="100" workbookViewId="0">
      <selection pane="topLeft" activeCell="J50" activeCellId="0" sqref="50:50"/>
    </sheetView>
  </sheetViews>
  <sheetFormatPr defaultColWidth="11.4453125" defaultRowHeight="14.25" customHeight="false" zeroHeight="false" outlineLevelRow="0" outlineLevelCol="0"/>
  <cols>
    <col collapsed="false" customWidth="true" hidden="false" outlineLevel="0" max="1" min="1" style="3" width="12.11"/>
    <col collapsed="false" customWidth="true" hidden="false" outlineLevel="0" max="2" min="2" style="3" width="42.67"/>
    <col collapsed="false" customWidth="true" hidden="false" outlineLevel="0" max="3" min="3" style="3" width="19.88"/>
    <col collapsed="false" customWidth="true" hidden="false" outlineLevel="0" max="4" min="4" style="4" width="14"/>
    <col collapsed="false" customWidth="true" hidden="false" outlineLevel="0" max="5" min="5" style="4" width="100.67"/>
    <col collapsed="false" customWidth="true" hidden="false" outlineLevel="0" max="6" min="6" style="4" width="15.44"/>
    <col collapsed="false" customWidth="true" hidden="false" outlineLevel="0" max="7" min="7" style="3" width="12"/>
    <col collapsed="false" customWidth="true" hidden="false" outlineLevel="0" max="8" min="8" style="3" width="11.89"/>
    <col collapsed="false" customWidth="true" hidden="false" outlineLevel="0" max="9" min="9" style="3" width="17.44"/>
    <col collapsed="false" customWidth="true" hidden="false" outlineLevel="0" max="10" min="10" style="3" width="16.22"/>
    <col collapsed="false" customWidth="true" hidden="false" outlineLevel="0" max="11" min="11" style="3" width="17.67"/>
    <col collapsed="false" customWidth="true" hidden="false" outlineLevel="0" max="12" min="12" style="3" width="21"/>
    <col collapsed="false" customWidth="true" hidden="false" outlineLevel="0" max="13" min="13" style="3" width="16"/>
    <col collapsed="false" customWidth="true" hidden="false" outlineLevel="0" max="14" min="14" style="3" width="16.22"/>
    <col collapsed="false" customWidth="true" hidden="false" outlineLevel="0" max="15" min="15" style="3" width="20.66"/>
    <col collapsed="false" customWidth="true" hidden="false" outlineLevel="0" max="16" min="16" style="3" width="19.56"/>
    <col collapsed="false" customWidth="true" hidden="false" outlineLevel="0" max="17" min="17" style="3" width="33.98"/>
    <col collapsed="false" customWidth="true" hidden="false" outlineLevel="0" max="18" min="18" style="3" width="15.5"/>
    <col collapsed="false" customWidth="true" hidden="false" outlineLevel="0" max="19" min="19" style="3" width="15.33"/>
    <col collapsed="false" customWidth="true" hidden="false" outlineLevel="0" max="20" min="20" style="3" width="14.21"/>
    <col collapsed="false" customWidth="true" hidden="false" outlineLevel="0" max="21" min="21" style="3" width="11.77"/>
    <col collapsed="false" customWidth="true" hidden="false" outlineLevel="0" max="22" min="22" style="3" width="8.34"/>
    <col collapsed="false" customWidth="true" hidden="false" outlineLevel="0" max="23" min="23" style="5" width="15"/>
    <col collapsed="false" customWidth="true" hidden="false" outlineLevel="0" max="24" min="24" style="6" width="12.22"/>
    <col collapsed="false" customWidth="true" hidden="false" outlineLevel="0" max="25" min="25" style="7" width="11.11"/>
    <col collapsed="false" customWidth="true" hidden="false" outlineLevel="0" max="27" min="26" style="7" width="10.88"/>
    <col collapsed="false" customWidth="true" hidden="false" outlineLevel="0" max="28" min="28" style="3" width="15.33"/>
    <col collapsed="false" customWidth="true" hidden="false" outlineLevel="0" max="29" min="29" style="8" width="15.44"/>
    <col collapsed="false" customWidth="true" hidden="false" outlineLevel="0" max="30" min="30" style="3" width="13"/>
    <col collapsed="false" customWidth="true" hidden="false" outlineLevel="0" max="31" min="31" style="3" width="13.34"/>
    <col collapsed="false" customWidth="true" hidden="false" outlineLevel="0" max="32" min="32" style="8" width="14.21"/>
    <col collapsed="false" customWidth="true" hidden="false" outlineLevel="0" max="33" min="33" style="3" width="14"/>
    <col collapsed="false" customWidth="true" hidden="false" outlineLevel="0" max="34" min="34" style="3" width="128.77"/>
    <col collapsed="false" customWidth="true" hidden="false" outlineLevel="0" max="35" min="35" style="3" width="13.77"/>
    <col collapsed="false" customWidth="true" hidden="false" outlineLevel="0" max="36" min="36" style="3" width="14.11"/>
    <col collapsed="false" customWidth="true" hidden="false" outlineLevel="0" max="37" min="37" style="3" width="88.56"/>
    <col collapsed="false" customWidth="false" hidden="false" outlineLevel="0" max="40" min="38" style="3" width="11.44"/>
    <col collapsed="false" customWidth="true" hidden="false" outlineLevel="0" max="41" min="41" style="3" width="20"/>
    <col collapsed="false" customWidth="false" hidden="false" outlineLevel="0" max="44" min="42" style="3" width="11.44"/>
    <col collapsed="false" customWidth="false" hidden="false" outlineLevel="0" max="46" min="45" style="9" width="11.44"/>
    <col collapsed="false" customWidth="false" hidden="false" outlineLevel="0" max="16384" min="47" style="3" width="11.44"/>
  </cols>
  <sheetData>
    <row r="1" s="15" customFormat="true" ht="15" hidden="false" customHeight="false" outlineLevel="0" collapsed="false">
      <c r="A1" s="10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1" t="s">
        <v>44</v>
      </c>
      <c r="P1" s="11" t="s">
        <v>45</v>
      </c>
      <c r="Q1" s="11" t="s">
        <v>46</v>
      </c>
      <c r="R1" s="11" t="s">
        <v>47</v>
      </c>
      <c r="S1" s="11" t="s">
        <v>48</v>
      </c>
      <c r="T1" s="11" t="s">
        <v>49</v>
      </c>
      <c r="U1" s="11" t="s">
        <v>50</v>
      </c>
      <c r="V1" s="11" t="s">
        <v>51</v>
      </c>
      <c r="W1" s="12" t="s">
        <v>52</v>
      </c>
      <c r="X1" s="13" t="s">
        <v>53</v>
      </c>
      <c r="Y1" s="13" t="s">
        <v>54</v>
      </c>
      <c r="Z1" s="13" t="s">
        <v>55</v>
      </c>
      <c r="AA1" s="13" t="s">
        <v>56</v>
      </c>
      <c r="AB1" s="11" t="s">
        <v>57</v>
      </c>
      <c r="AC1" s="11" t="s">
        <v>58</v>
      </c>
      <c r="AD1" s="11" t="s">
        <v>59</v>
      </c>
      <c r="AE1" s="11" t="s">
        <v>60</v>
      </c>
      <c r="AF1" s="11" t="s">
        <v>61</v>
      </c>
      <c r="AG1" s="11" t="s">
        <v>62</v>
      </c>
      <c r="AH1" s="14" t="s">
        <v>63</v>
      </c>
      <c r="AI1" s="14" t="s">
        <v>64</v>
      </c>
      <c r="AJ1" s="14" t="s">
        <v>65</v>
      </c>
      <c r="AK1" s="11" t="s">
        <v>66</v>
      </c>
      <c r="AR1" s="16"/>
      <c r="AS1" s="16"/>
    </row>
    <row r="2" s="8" customFormat="true" ht="14.25" hidden="false" customHeight="false" outlineLevel="0" collapsed="false">
      <c r="A2" s="17" t="s">
        <v>67</v>
      </c>
      <c r="B2" s="18" t="s">
        <v>68</v>
      </c>
      <c r="C2" s="18" t="s">
        <v>69</v>
      </c>
      <c r="D2" s="18" t="n">
        <v>53335</v>
      </c>
      <c r="E2" s="18" t="str">
        <f aca="false">+CONCATENATE(Tabla[[#This Row],[RUT]],Tabla[[#This Row],[PROVEEDOR]],Tabla[[#This Row],[FACTURA]])</f>
        <v>76453707-6DUEMINT SPA53335</v>
      </c>
      <c r="F2" s="19" t="n">
        <v>46023</v>
      </c>
      <c r="G2" s="19" t="n">
        <f aca="false">+F2+30</f>
        <v>46053</v>
      </c>
      <c r="H2" s="18" t="n">
        <f aca="true">+IF(AE2="PAGADA",0,TODAY()-G2)</f>
        <v>0</v>
      </c>
      <c r="I2" s="18" t="str">
        <f aca="false">+IF(H2&gt;180,"Atrasada",IF(H2&gt;150,"150 dias",IF(H2&gt;120,"120 dias",IF(H2&gt;90,"90 dias",IF(H2&gt;60,"60 dias",IF(H2&gt;30,"30 dias","Al Día"))))))</f>
        <v>Al Día</v>
      </c>
      <c r="J2" s="20" t="s">
        <v>70</v>
      </c>
      <c r="K2" s="21" t="s">
        <v>71</v>
      </c>
      <c r="L2" s="22" t="s">
        <v>72</v>
      </c>
      <c r="M2" s="18" t="n">
        <f aca="false">+YEAR(F2)</f>
        <v>2026</v>
      </c>
      <c r="N2" s="18" t="n">
        <v>2026</v>
      </c>
      <c r="O2" s="18" t="n">
        <v>1</v>
      </c>
      <c r="P2" s="18" t="str">
        <f aca="false">+CONCATENATE(Tabla[[#This Row],[MES CAMPAÑA]],"/",Tabla[[#This Row],[AÑO CAMPAÑA]])</f>
        <v>1/2026</v>
      </c>
      <c r="Q2" s="18" t="s">
        <v>73</v>
      </c>
      <c r="R2" s="18" t="s">
        <v>74</v>
      </c>
      <c r="S2" s="23" t="n">
        <v>0</v>
      </c>
      <c r="T2" s="23" t="n">
        <v>119195</v>
      </c>
      <c r="U2" s="23" t="n">
        <v>22647</v>
      </c>
      <c r="V2" s="18"/>
      <c r="W2" s="24" t="n">
        <v>141842</v>
      </c>
      <c r="X2" s="25" t="n">
        <f aca="false">+Tabla[[#This Row],[TOTAL]]</f>
        <v>141842</v>
      </c>
      <c r="Y2" s="26"/>
      <c r="Z2" s="26"/>
      <c r="AA2" s="26"/>
      <c r="AB2" s="23" t="n">
        <f aca="false">+W2-AC2</f>
        <v>0</v>
      </c>
      <c r="AC2" s="23" t="n">
        <f aca="false">+Tabla[[#This Row],[P4]]+Tabla[[#This Row],[P3]]+Tabla[[#This Row],[P2]]+Tabla[[#This Row],[P1]]</f>
        <v>141842</v>
      </c>
      <c r="AD2" s="23" t="n">
        <f aca="false">+W2-AC2</f>
        <v>0</v>
      </c>
      <c r="AE2" s="18" t="str">
        <f aca="false">IF(AB2&lt;1,"PAGADA","PENDIENTE")</f>
        <v>PAGADA</v>
      </c>
      <c r="AF2" s="18"/>
      <c r="AG2" s="18"/>
      <c r="AH2" s="27"/>
      <c r="AI2" s="27" t="n">
        <f aca="false">+IF(Tabla[[#This Row],[FECHA PAGO / ABONO]]&lt;1,0,(MONTH(Tabla[[#This Row],[FECHA PAGO / ABONO]])))</f>
        <v>0</v>
      </c>
      <c r="AJ2" s="27" t="n">
        <f aca="false">+IF(Tabla[[#This Row],[FECHA PAGO / ABONO]]&lt;1,0,(YEAR(Tabla[[#This Row],[FECHA PAGO / ABONO]])))</f>
        <v>0</v>
      </c>
      <c r="AK2" s="18"/>
      <c r="AS2" s="9"/>
      <c r="AT2" s="9"/>
    </row>
    <row r="3" customFormat="false" ht="14.25" hidden="false" customHeight="false" outlineLevel="0" collapsed="false">
      <c r="A3" s="28" t="s">
        <v>75</v>
      </c>
      <c r="B3" s="29" t="s">
        <v>76</v>
      </c>
      <c r="C3" s="29" t="s">
        <v>69</v>
      </c>
      <c r="D3" s="21" t="n">
        <v>437</v>
      </c>
      <c r="E3" s="21" t="str">
        <f aca="false">+CONCATENATE(Tabla[[#This Row],[RUT]],Tabla[[#This Row],[PROVEEDOR]],Tabla[[#This Row],[FACTURA]])</f>
        <v>76744663-2INVERSIONES ON-MEDIA CHILE SPA437</v>
      </c>
      <c r="F3" s="30" t="n">
        <v>46024</v>
      </c>
      <c r="G3" s="31" t="n">
        <f aca="false">+F3+30</f>
        <v>46054</v>
      </c>
      <c r="H3" s="29" t="n">
        <f aca="true">+IF(AE3="PAGADA",0,TODAY()-G3)</f>
        <v>0</v>
      </c>
      <c r="I3" s="29" t="str">
        <f aca="false">+IF(H3&gt;180,"Atrasada",IF(H3&gt;150,"150 dias",IF(H3&gt;120,"120 dias",IF(H3&gt;90,"90 dias",IF(H3&gt;60,"60 dias",IF(H3&gt;30,"30 dias","Al Día"))))))</f>
        <v>Al Día</v>
      </c>
      <c r="J3" s="32" t="s">
        <v>31</v>
      </c>
      <c r="K3" s="29" t="s">
        <v>71</v>
      </c>
      <c r="L3" s="33" t="s">
        <v>72</v>
      </c>
      <c r="M3" s="29" t="n">
        <f aca="false">+YEAR(F3)</f>
        <v>2026</v>
      </c>
      <c r="N3" s="29" t="n">
        <v>2026</v>
      </c>
      <c r="O3" s="29" t="n">
        <v>1</v>
      </c>
      <c r="P3" s="29" t="str">
        <f aca="false">+CONCATENATE(Tabla[[#This Row],[MES CAMPAÑA]],"/",Tabla[[#This Row],[AÑO CAMPAÑA]])</f>
        <v>1/2026</v>
      </c>
      <c r="Q3" s="29" t="s">
        <v>73</v>
      </c>
      <c r="R3" s="29" t="s">
        <v>74</v>
      </c>
      <c r="S3" s="34" t="n">
        <v>0</v>
      </c>
      <c r="T3" s="34" t="n">
        <v>369364</v>
      </c>
      <c r="U3" s="34" t="n">
        <v>70179</v>
      </c>
      <c r="V3" s="29"/>
      <c r="W3" s="35" t="n">
        <v>439543</v>
      </c>
      <c r="X3" s="36" t="n">
        <f aca="false">+Tabla[[#This Row],[TOTAL]]</f>
        <v>439543</v>
      </c>
      <c r="Y3" s="37"/>
      <c r="Z3" s="37"/>
      <c r="AA3" s="37"/>
      <c r="AB3" s="38" t="n">
        <f aca="false">+W3-AC3</f>
        <v>0</v>
      </c>
      <c r="AC3" s="34" t="n">
        <f aca="false">+Tabla[[#This Row],[P4]]+Tabla[[#This Row],[P3]]+Tabla[[#This Row],[P2]]+Tabla[[#This Row],[P1]]</f>
        <v>439543</v>
      </c>
      <c r="AD3" s="34" t="n">
        <f aca="false">+W3-AC3</f>
        <v>0</v>
      </c>
      <c r="AE3" s="21" t="str">
        <f aca="false">IF(AB3&lt;1,"PAGADA","PENDIENTE")</f>
        <v>PAGADA</v>
      </c>
      <c r="AF3" s="21"/>
      <c r="AG3" s="21" t="s">
        <v>77</v>
      </c>
      <c r="AH3" s="39" t="n">
        <v>46055</v>
      </c>
      <c r="AI3" s="40" t="n">
        <f aca="false">+IF(Tabla[[#This Row],[FECHA PAGO / ABONO]]&lt;1,0,(MONTH(Tabla[[#This Row],[FECHA PAGO / ABONO]])))</f>
        <v>2</v>
      </c>
      <c r="AJ3" s="40" t="n">
        <f aca="false">+IF(Tabla[[#This Row],[FECHA PAGO / ABONO]]&lt;1,0,(YEAR(Tabla[[#This Row],[FECHA PAGO / ABONO]])))</f>
        <v>2026</v>
      </c>
      <c r="AK3" s="41"/>
    </row>
    <row r="4" customFormat="false" ht="14.25" hidden="false" customHeight="false" outlineLevel="0" collapsed="false">
      <c r="A4" s="28" t="s">
        <v>78</v>
      </c>
      <c r="B4" s="29" t="s">
        <v>79</v>
      </c>
      <c r="C4" s="29" t="s">
        <v>69</v>
      </c>
      <c r="D4" s="21" t="n">
        <v>107847</v>
      </c>
      <c r="E4" s="21" t="str">
        <f aca="false">+CONCATENATE(Tabla[[#This Row],[RUT]],Tabla[[#This Row],[PROVEEDOR]],Tabla[[#This Row],[FACTURA]])</f>
        <v>96516560-6BIO BIO COMUNICACIONES S.A.107847</v>
      </c>
      <c r="F4" s="30" t="n">
        <v>46028</v>
      </c>
      <c r="G4" s="31" t="n">
        <f aca="false">+F4+30</f>
        <v>46058</v>
      </c>
      <c r="H4" s="29" t="n">
        <f aca="true">+IF(AE4="PAGADA",0,TODAY()-G4)</f>
        <v>146</v>
      </c>
      <c r="I4" s="29" t="str">
        <f aca="false">+IF(H4&gt;180,"Atrasada",IF(H4&gt;150,"150 dias",IF(H4&gt;120,"120 dias",IF(H4&gt;90,"90 dias",IF(H4&gt;60,"60 dias",IF(H4&gt;30,"30 dias","Al Día"))))))</f>
        <v>120 dias</v>
      </c>
      <c r="J4" s="32" t="s">
        <v>80</v>
      </c>
      <c r="K4" s="29" t="s">
        <v>81</v>
      </c>
      <c r="L4" s="33" t="s">
        <v>72</v>
      </c>
      <c r="M4" s="29" t="n">
        <f aca="false">+YEAR(F4)</f>
        <v>2026</v>
      </c>
      <c r="N4" s="29" t="n">
        <v>2025</v>
      </c>
      <c r="O4" s="29" t="n">
        <v>11</v>
      </c>
      <c r="P4" s="29" t="str">
        <f aca="false">+CONCATENATE(Tabla[[#This Row],[MES CAMPAÑA]],"/",Tabla[[#This Row],[AÑO CAMPAÑA]])</f>
        <v>11/2025</v>
      </c>
      <c r="Q4" s="29" t="s">
        <v>82</v>
      </c>
      <c r="R4" s="29" t="s">
        <v>74</v>
      </c>
      <c r="S4" s="34" t="n">
        <v>0</v>
      </c>
      <c r="T4" s="34" t="n">
        <v>967263</v>
      </c>
      <c r="U4" s="34" t="n">
        <v>183780</v>
      </c>
      <c r="V4" s="29"/>
      <c r="W4" s="35" t="n">
        <v>1151043</v>
      </c>
      <c r="X4" s="36"/>
      <c r="Y4" s="37"/>
      <c r="Z4" s="37"/>
      <c r="AA4" s="37"/>
      <c r="AB4" s="38" t="n">
        <f aca="false">+W4-AC4</f>
        <v>1151043</v>
      </c>
      <c r="AC4" s="34" t="n">
        <f aca="false">+Tabla[[#This Row],[P4]]+Tabla[[#This Row],[P3]]+Tabla[[#This Row],[P2]]+Tabla[[#This Row],[P1]]</f>
        <v>0</v>
      </c>
      <c r="AD4" s="34" t="n">
        <f aca="false">+W4-AC4</f>
        <v>1151043</v>
      </c>
      <c r="AE4" s="21" t="str">
        <f aca="false">IF(AB4&lt;1,"PAGADA","PENDIENTE")</f>
        <v>PENDIENTE</v>
      </c>
      <c r="AF4" s="21"/>
      <c r="AG4" s="29"/>
      <c r="AH4" s="40"/>
      <c r="AI4" s="40" t="n">
        <f aca="false">+IF(Tabla[[#This Row],[FECHA PAGO / ABONO]]&lt;1,0,(MONTH(Tabla[[#This Row],[FECHA PAGO / ABONO]])))</f>
        <v>0</v>
      </c>
      <c r="AJ4" s="40" t="n">
        <f aca="false">+IF(Tabla[[#This Row],[FECHA PAGO / ABONO]]&lt;1,0,(YEAR(Tabla[[#This Row],[FECHA PAGO / ABONO]])))</f>
        <v>0</v>
      </c>
      <c r="AK4" s="41"/>
    </row>
    <row r="5" customFormat="false" ht="14.25" hidden="false" customHeight="false" outlineLevel="0" collapsed="false">
      <c r="A5" s="28" t="s">
        <v>83</v>
      </c>
      <c r="B5" s="29" t="s">
        <v>84</v>
      </c>
      <c r="C5" s="29" t="s">
        <v>69</v>
      </c>
      <c r="D5" s="21" t="n">
        <v>2434</v>
      </c>
      <c r="E5" s="21" t="str">
        <f aca="false">+CONCATENATE(Tabla[[#This Row],[RUT]],Tabla[[#This Row],[PROVEEDOR]],Tabla[[#This Row],[FACTURA]])</f>
        <v>65018149-2ASOCIACION GREMIAL DE CANALES REGIONALES DE TELEVISION DE SENAL ABIERT2434</v>
      </c>
      <c r="F5" s="30" t="n">
        <v>46028</v>
      </c>
      <c r="G5" s="31" t="n">
        <f aca="false">+F5+30</f>
        <v>46058</v>
      </c>
      <c r="H5" s="29" t="n">
        <f aca="true">+IF(AE5="PAGADA",0,TODAY()-G5)</f>
        <v>146</v>
      </c>
      <c r="I5" s="29" t="str">
        <f aca="false">+IF(H5&gt;180,"Atrasada",IF(H5&gt;150,"150 dias",IF(H5&gt;120,"120 dias",IF(H5&gt;90,"90 dias",IF(H5&gt;60,"60 dias",IF(H5&gt;30,"30 dias","Al Día"))))))</f>
        <v>120 dias</v>
      </c>
      <c r="J5" s="32" t="s">
        <v>80</v>
      </c>
      <c r="K5" s="29" t="s">
        <v>81</v>
      </c>
      <c r="L5" s="33" t="s">
        <v>72</v>
      </c>
      <c r="M5" s="29" t="n">
        <f aca="false">+YEAR(F5)</f>
        <v>2026</v>
      </c>
      <c r="N5" s="29" t="n">
        <v>2025</v>
      </c>
      <c r="O5" s="29" t="n">
        <v>11</v>
      </c>
      <c r="P5" s="29" t="str">
        <f aca="false">+CONCATENATE(Tabla[[#This Row],[MES CAMPAÑA]],"/",Tabla[[#This Row],[AÑO CAMPAÑA]])</f>
        <v>11/2025</v>
      </c>
      <c r="Q5" s="29" t="s">
        <v>82</v>
      </c>
      <c r="R5" s="29" t="s">
        <v>74</v>
      </c>
      <c r="S5" s="34" t="n">
        <v>0</v>
      </c>
      <c r="T5" s="34" t="n">
        <v>9500000</v>
      </c>
      <c r="U5" s="34" t="n">
        <v>1805000</v>
      </c>
      <c r="V5" s="29"/>
      <c r="W5" s="35" t="n">
        <v>11305000</v>
      </c>
      <c r="X5" s="36"/>
      <c r="Y5" s="37"/>
      <c r="Z5" s="37"/>
      <c r="AA5" s="37"/>
      <c r="AB5" s="38" t="n">
        <f aca="false">+W5-AC5</f>
        <v>11305000</v>
      </c>
      <c r="AC5" s="34" t="n">
        <f aca="false">+Tabla[[#This Row],[P4]]+Tabla[[#This Row],[P3]]+Tabla[[#This Row],[P2]]+Tabla[[#This Row],[P1]]</f>
        <v>0</v>
      </c>
      <c r="AD5" s="34" t="n">
        <f aca="false">+W5-AC5</f>
        <v>11305000</v>
      </c>
      <c r="AE5" s="21" t="str">
        <f aca="false">IF(AB5&lt;1,"PAGADA","PENDIENTE")</f>
        <v>PENDIENTE</v>
      </c>
      <c r="AF5" s="21"/>
      <c r="AG5" s="29"/>
      <c r="AH5" s="40"/>
      <c r="AI5" s="40" t="n">
        <f aca="false">+IF(Tabla[[#This Row],[FECHA PAGO / ABONO]]&lt;1,0,(MONTH(Tabla[[#This Row],[FECHA PAGO / ABONO]])))</f>
        <v>0</v>
      </c>
      <c r="AJ5" s="40" t="n">
        <f aca="false">+IF(Tabla[[#This Row],[FECHA PAGO / ABONO]]&lt;1,0,(YEAR(Tabla[[#This Row],[FECHA PAGO / ABONO]])))</f>
        <v>0</v>
      </c>
      <c r="AK5" s="41"/>
    </row>
    <row r="6" customFormat="false" ht="14.25" hidden="false" customHeight="false" outlineLevel="0" collapsed="false">
      <c r="A6" s="28" t="s">
        <v>85</v>
      </c>
      <c r="B6" s="29" t="s">
        <v>86</v>
      </c>
      <c r="C6" s="29" t="s">
        <v>69</v>
      </c>
      <c r="D6" s="21" t="n">
        <v>204135</v>
      </c>
      <c r="E6" s="21" t="str">
        <f aca="false">+CONCATENATE(Tabla[[#This Row],[RUT]],Tabla[[#This Row],[PROVEEDOR]],Tabla[[#This Row],[FACTURA]])</f>
        <v>96539380-3EDICIONES FINANCIERAS S.A.204135</v>
      </c>
      <c r="F6" s="30" t="n">
        <v>46028</v>
      </c>
      <c r="G6" s="31" t="n">
        <f aca="false">+F6+30</f>
        <v>46058</v>
      </c>
      <c r="H6" s="29" t="n">
        <f aca="true">+IF(AE6="PAGADA",0,TODAY()-G6)</f>
        <v>0</v>
      </c>
      <c r="I6" s="29" t="str">
        <f aca="false">+IF(H6&gt;180,"Atrasada",IF(H6&gt;150,"150 dias",IF(H6&gt;120,"120 dias",IF(H6&gt;90,"90 dias",IF(H6&gt;60,"60 dias",IF(H6&gt;30,"30 dias","Al Día"))))))</f>
        <v>Al Día</v>
      </c>
      <c r="J6" s="32" t="s">
        <v>80</v>
      </c>
      <c r="K6" s="29" t="s">
        <v>81</v>
      </c>
      <c r="L6" s="33" t="s">
        <v>72</v>
      </c>
      <c r="M6" s="29" t="n">
        <f aca="false">+YEAR(F6)</f>
        <v>2026</v>
      </c>
      <c r="N6" s="29" t="n">
        <v>2025</v>
      </c>
      <c r="O6" s="29" t="n">
        <v>11</v>
      </c>
      <c r="P6" s="29" t="str">
        <f aca="false">+CONCATENATE(Tabla[[#This Row],[MES CAMPAÑA]],"/",Tabla[[#This Row],[AÑO CAMPAÑA]])</f>
        <v>11/2025</v>
      </c>
      <c r="Q6" s="29" t="s">
        <v>87</v>
      </c>
      <c r="R6" s="29" t="s">
        <v>74</v>
      </c>
      <c r="S6" s="34" t="n">
        <v>0</v>
      </c>
      <c r="T6" s="34" t="n">
        <v>1000000</v>
      </c>
      <c r="U6" s="34" t="n">
        <v>190000</v>
      </c>
      <c r="V6" s="29"/>
      <c r="W6" s="35" t="n">
        <v>1190000</v>
      </c>
      <c r="X6" s="36" t="n">
        <f aca="false">+Tabla[[#This Row],[TOTAL]]</f>
        <v>1190000</v>
      </c>
      <c r="Y6" s="37"/>
      <c r="Z6" s="37"/>
      <c r="AA6" s="37"/>
      <c r="AB6" s="38" t="n">
        <f aca="false">+W6-AC6</f>
        <v>0</v>
      </c>
      <c r="AC6" s="34" t="n">
        <f aca="false">+Tabla[[#This Row],[P4]]+Tabla[[#This Row],[P3]]+Tabla[[#This Row],[P2]]+Tabla[[#This Row],[P1]]</f>
        <v>1190000</v>
      </c>
      <c r="AD6" s="34" t="n">
        <f aca="false">+W6-AC6</f>
        <v>0</v>
      </c>
      <c r="AE6" s="21" t="str">
        <f aca="false">IF(AB6&lt;1,"PAGADA","PENDIENTE")</f>
        <v>PAGADA</v>
      </c>
      <c r="AF6" s="21"/>
      <c r="AG6" s="29" t="s">
        <v>77</v>
      </c>
      <c r="AH6" s="39" t="n">
        <v>46129</v>
      </c>
      <c r="AI6" s="40" t="n">
        <f aca="false">+IF(Tabla[[#This Row],[FECHA PAGO / ABONO]]&lt;1,0,(MONTH(Tabla[[#This Row],[FECHA PAGO / ABONO]])))</f>
        <v>4</v>
      </c>
      <c r="AJ6" s="40" t="n">
        <f aca="false">+IF(Tabla[[#This Row],[FECHA PAGO / ABONO]]&lt;1,0,(YEAR(Tabla[[#This Row],[FECHA PAGO / ABONO]])))</f>
        <v>2026</v>
      </c>
      <c r="AK6" s="41"/>
    </row>
    <row r="7" customFormat="false" ht="14.25" hidden="false" customHeight="false" outlineLevel="0" collapsed="false">
      <c r="A7" s="28" t="s">
        <v>88</v>
      </c>
      <c r="B7" s="29" t="s">
        <v>89</v>
      </c>
      <c r="C7" s="29" t="s">
        <v>69</v>
      </c>
      <c r="D7" s="21" t="n">
        <v>14880</v>
      </c>
      <c r="E7" s="21" t="str">
        <f aca="false">+CONCATENATE(Tabla[[#This Row],[RUT]],Tabla[[#This Row],[PROVEEDOR]],Tabla[[#This Row],[FACTURA]])</f>
        <v>96721110-9VerificaciÃ³n e Inversiones Publicitarias SpA14880</v>
      </c>
      <c r="F7" s="30" t="n">
        <v>46028</v>
      </c>
      <c r="G7" s="31" t="n">
        <f aca="false">+F7+30</f>
        <v>46058</v>
      </c>
      <c r="H7" s="29" t="n">
        <f aca="true">+IF(AE7="PAGADA",0,TODAY()-G7)</f>
        <v>0</v>
      </c>
      <c r="I7" s="29" t="str">
        <f aca="false">+IF(H7&gt;180,"Atrasada",IF(H7&gt;150,"150 dias",IF(H7&gt;120,"120 dias",IF(H7&gt;90,"90 dias",IF(H7&gt;60,"60 dias",IF(H7&gt;30,"30 dias","Al Día"))))))</f>
        <v>Al Día</v>
      </c>
      <c r="J7" s="32" t="s">
        <v>31</v>
      </c>
      <c r="K7" s="29" t="s">
        <v>71</v>
      </c>
      <c r="L7" s="33" t="s">
        <v>72</v>
      </c>
      <c r="M7" s="29" t="n">
        <f aca="false">+YEAR(F7)</f>
        <v>2026</v>
      </c>
      <c r="N7" s="29" t="n">
        <v>2026</v>
      </c>
      <c r="O7" s="29" t="n">
        <v>1</v>
      </c>
      <c r="P7" s="29" t="str">
        <f aca="false">+CONCATENATE(Tabla[[#This Row],[MES CAMPAÑA]],"/",Tabla[[#This Row],[AÑO CAMPAÑA]])</f>
        <v>1/2026</v>
      </c>
      <c r="Q7" s="29" t="s">
        <v>73</v>
      </c>
      <c r="R7" s="29" t="s">
        <v>74</v>
      </c>
      <c r="S7" s="34" t="n">
        <v>0</v>
      </c>
      <c r="T7" s="34" t="n">
        <v>3178543</v>
      </c>
      <c r="U7" s="34" t="n">
        <v>603923</v>
      </c>
      <c r="V7" s="29"/>
      <c r="W7" s="35" t="n">
        <v>3782466</v>
      </c>
      <c r="X7" s="36" t="n">
        <f aca="false">+Tabla[[#This Row],[TOTAL]]</f>
        <v>3782466</v>
      </c>
      <c r="Y7" s="37"/>
      <c r="Z7" s="37"/>
      <c r="AA7" s="37"/>
      <c r="AB7" s="38" t="n">
        <f aca="false">+W7-AC7</f>
        <v>0</v>
      </c>
      <c r="AC7" s="34" t="n">
        <f aca="false">+Tabla[[#This Row],[P4]]+Tabla[[#This Row],[P3]]+Tabla[[#This Row],[P2]]+Tabla[[#This Row],[P1]]</f>
        <v>3782466</v>
      </c>
      <c r="AD7" s="34" t="n">
        <f aca="false">+W7-AC7</f>
        <v>0</v>
      </c>
      <c r="AE7" s="21" t="str">
        <f aca="false">IF(AB7&lt;1,"PAGADA","PENDIENTE")</f>
        <v>PAGADA</v>
      </c>
      <c r="AF7" s="21"/>
      <c r="AG7" s="29" t="s">
        <v>77</v>
      </c>
      <c r="AH7" s="39" t="n">
        <v>46108</v>
      </c>
      <c r="AI7" s="40" t="n">
        <f aca="false">+IF(Tabla[[#This Row],[FECHA PAGO / ABONO]]&lt;1,0,(MONTH(Tabla[[#This Row],[FECHA PAGO / ABONO]])))</f>
        <v>3</v>
      </c>
      <c r="AJ7" s="40" t="n">
        <f aca="false">+IF(Tabla[[#This Row],[FECHA PAGO / ABONO]]&lt;1,0,(YEAR(Tabla[[#This Row],[FECHA PAGO / ABONO]])))</f>
        <v>2026</v>
      </c>
      <c r="AK7" s="41"/>
    </row>
    <row r="8" customFormat="false" ht="14.25" hidden="false" customHeight="false" outlineLevel="0" collapsed="false">
      <c r="A8" s="28" t="s">
        <v>90</v>
      </c>
      <c r="B8" s="29" t="s">
        <v>91</v>
      </c>
      <c r="C8" s="29" t="s">
        <v>69</v>
      </c>
      <c r="D8" s="21" t="n">
        <v>400</v>
      </c>
      <c r="E8" s="21" t="str">
        <f aca="false">+CONCATENATE(Tabla[[#This Row],[RUT]],Tabla[[#This Row],[PROVEEDOR]],Tabla[[#This Row],[FACTURA]])</f>
        <v>76984948-3CONECCIONLINEAL PUBLICIDAD Y MARKETING SPA400</v>
      </c>
      <c r="F8" s="30" t="n">
        <v>46029</v>
      </c>
      <c r="G8" s="31" t="n">
        <f aca="false">+F8+30</f>
        <v>46059</v>
      </c>
      <c r="H8" s="29" t="n">
        <f aca="true">+IF(AE8="PAGADA",0,TODAY()-G8)</f>
        <v>0</v>
      </c>
      <c r="I8" s="29" t="str">
        <f aca="false">+IF(H8&gt;180,"Atrasada",IF(H8&gt;150,"150 dias",IF(H8&gt;120,"120 dias",IF(H8&gt;90,"90 dias",IF(H8&gt;60,"60 dias",IF(H8&gt;30,"30 dias","Al Día"))))))</f>
        <v>Al Día</v>
      </c>
      <c r="J8" s="32" t="s">
        <v>80</v>
      </c>
      <c r="K8" s="29" t="s">
        <v>81</v>
      </c>
      <c r="L8" s="33" t="s">
        <v>72</v>
      </c>
      <c r="M8" s="29" t="n">
        <f aca="false">+YEAR(F8)</f>
        <v>2026</v>
      </c>
      <c r="N8" s="29" t="n">
        <v>2025</v>
      </c>
      <c r="O8" s="29" t="n">
        <v>12</v>
      </c>
      <c r="P8" s="29" t="str">
        <f aca="false">+CONCATENATE(Tabla[[#This Row],[MES CAMPAÑA]],"/",Tabla[[#This Row],[AÑO CAMPAÑA]])</f>
        <v>12/2025</v>
      </c>
      <c r="Q8" s="29" t="s">
        <v>92</v>
      </c>
      <c r="R8" s="29" t="s">
        <v>74</v>
      </c>
      <c r="S8" s="34" t="n">
        <v>0</v>
      </c>
      <c r="T8" s="34" t="n">
        <v>465400</v>
      </c>
      <c r="U8" s="34" t="n">
        <v>88426</v>
      </c>
      <c r="V8" s="29"/>
      <c r="W8" s="35" t="n">
        <v>553826</v>
      </c>
      <c r="X8" s="36" t="n">
        <f aca="false">+Tabla[[#This Row],[TOTAL]]</f>
        <v>553826</v>
      </c>
      <c r="Y8" s="37"/>
      <c r="Z8" s="37"/>
      <c r="AA8" s="37"/>
      <c r="AB8" s="38" t="n">
        <f aca="false">+W8-AC8</f>
        <v>0</v>
      </c>
      <c r="AC8" s="34" t="n">
        <f aca="false">+Tabla[[#This Row],[P4]]+Tabla[[#This Row],[P3]]+Tabla[[#This Row],[P2]]+Tabla[[#This Row],[P1]]</f>
        <v>553826</v>
      </c>
      <c r="AD8" s="34" t="n">
        <f aca="false">+W8-AC8</f>
        <v>0</v>
      </c>
      <c r="AE8" s="21" t="str">
        <f aca="false">IF(AB8&lt;1,"PAGADA","PENDIENTE")</f>
        <v>PAGADA</v>
      </c>
      <c r="AF8" s="21"/>
      <c r="AG8" s="21" t="s">
        <v>77</v>
      </c>
      <c r="AH8" s="39" t="n">
        <v>46066</v>
      </c>
      <c r="AI8" s="40" t="n">
        <f aca="false">+IF(Tabla[[#This Row],[FECHA PAGO / ABONO]]&lt;1,0,(MONTH(Tabla[[#This Row],[FECHA PAGO / ABONO]])))</f>
        <v>2</v>
      </c>
      <c r="AJ8" s="40" t="n">
        <f aca="false">+IF(Tabla[[#This Row],[FECHA PAGO / ABONO]]&lt;1,0,(YEAR(Tabla[[#This Row],[FECHA PAGO / ABONO]])))</f>
        <v>2026</v>
      </c>
      <c r="AK8" s="41"/>
    </row>
    <row r="9" customFormat="false" ht="14.25" hidden="false" customHeight="false" outlineLevel="0" collapsed="false">
      <c r="A9" s="28" t="s">
        <v>90</v>
      </c>
      <c r="B9" s="29" t="s">
        <v>91</v>
      </c>
      <c r="C9" s="29" t="s">
        <v>69</v>
      </c>
      <c r="D9" s="21" t="n">
        <v>401</v>
      </c>
      <c r="E9" s="21" t="str">
        <f aca="false">+CONCATENATE(Tabla[[#This Row],[RUT]],Tabla[[#This Row],[PROVEEDOR]],Tabla[[#This Row],[FACTURA]])</f>
        <v>76984948-3CONECCIONLINEAL PUBLICIDAD Y MARKETING SPA401</v>
      </c>
      <c r="F9" s="30" t="n">
        <v>46029</v>
      </c>
      <c r="G9" s="31" t="n">
        <f aca="false">+F9+30</f>
        <v>46059</v>
      </c>
      <c r="H9" s="29" t="n">
        <f aca="true">+IF(AE9="PAGADA",0,TODAY()-G9)</f>
        <v>0</v>
      </c>
      <c r="I9" s="29" t="str">
        <f aca="false">+IF(H9&gt;180,"Atrasada",IF(H9&gt;150,"150 dias",IF(H9&gt;120,"120 dias",IF(H9&gt;90,"90 dias",IF(H9&gt;60,"60 dias",IF(H9&gt;30,"30 dias","Al Día"))))))</f>
        <v>Al Día</v>
      </c>
      <c r="J9" s="32" t="s">
        <v>80</v>
      </c>
      <c r="K9" s="29" t="s">
        <v>81</v>
      </c>
      <c r="L9" s="33" t="s">
        <v>72</v>
      </c>
      <c r="M9" s="29" t="n">
        <f aca="false">+YEAR(F9)</f>
        <v>2026</v>
      </c>
      <c r="N9" s="29" t="n">
        <v>2025</v>
      </c>
      <c r="O9" s="29" t="n">
        <v>12</v>
      </c>
      <c r="P9" s="29" t="str">
        <f aca="false">+CONCATENATE(Tabla[[#This Row],[MES CAMPAÑA]],"/",Tabla[[#This Row],[AÑO CAMPAÑA]])</f>
        <v>12/2025</v>
      </c>
      <c r="Q9" s="29" t="s">
        <v>92</v>
      </c>
      <c r="R9" s="29" t="s">
        <v>74</v>
      </c>
      <c r="S9" s="34" t="n">
        <v>0</v>
      </c>
      <c r="T9" s="34" t="n">
        <v>465400</v>
      </c>
      <c r="U9" s="34" t="n">
        <v>88426</v>
      </c>
      <c r="V9" s="29"/>
      <c r="W9" s="35" t="n">
        <v>553826</v>
      </c>
      <c r="X9" s="36" t="n">
        <f aca="false">+Tabla[[#This Row],[TOTAL]]</f>
        <v>553826</v>
      </c>
      <c r="Y9" s="37"/>
      <c r="Z9" s="37"/>
      <c r="AA9" s="37"/>
      <c r="AB9" s="38" t="n">
        <f aca="false">+W9-AC9</f>
        <v>0</v>
      </c>
      <c r="AC9" s="34" t="n">
        <f aca="false">+Tabla[[#This Row],[P4]]+Tabla[[#This Row],[P3]]+Tabla[[#This Row],[P2]]+Tabla[[#This Row],[P1]]</f>
        <v>553826</v>
      </c>
      <c r="AD9" s="34" t="n">
        <f aca="false">+W9-AC9</f>
        <v>0</v>
      </c>
      <c r="AE9" s="21" t="str">
        <f aca="false">IF(AB9&lt;1,"PAGADA","PENDIENTE")</f>
        <v>PAGADA</v>
      </c>
      <c r="AF9" s="21"/>
      <c r="AG9" s="21" t="s">
        <v>77</v>
      </c>
      <c r="AH9" s="39" t="n">
        <v>46066</v>
      </c>
      <c r="AI9" s="40" t="n">
        <f aca="false">+IF(Tabla[[#This Row],[FECHA PAGO / ABONO]]&lt;1,0,(MONTH(Tabla[[#This Row],[FECHA PAGO / ABONO]])))</f>
        <v>2</v>
      </c>
      <c r="AJ9" s="40" t="n">
        <f aca="false">+IF(Tabla[[#This Row],[FECHA PAGO / ABONO]]&lt;1,0,(YEAR(Tabla[[#This Row],[FECHA PAGO / ABONO]])))</f>
        <v>2026</v>
      </c>
      <c r="AK9" s="41"/>
    </row>
    <row r="10" customFormat="false" ht="14.25" hidden="false" customHeight="false" outlineLevel="0" collapsed="false">
      <c r="A10" s="28" t="s">
        <v>93</v>
      </c>
      <c r="B10" s="29" t="s">
        <v>94</v>
      </c>
      <c r="C10" s="29" t="s">
        <v>69</v>
      </c>
      <c r="D10" s="21" t="n">
        <v>510</v>
      </c>
      <c r="E10" s="21" t="str">
        <f aca="false">+CONCATENATE(Tabla[[#This Row],[RUT]],Tabla[[#This Row],[PROVEEDOR]],Tabla[[#This Row],[FACTURA]])</f>
        <v>77278997-1CHILE 4 SPA510</v>
      </c>
      <c r="F10" s="30" t="n">
        <v>46030</v>
      </c>
      <c r="G10" s="31" t="n">
        <f aca="false">+F10+30</f>
        <v>46060</v>
      </c>
      <c r="H10" s="29" t="n">
        <f aca="true">+IF(AE10="PAGADA",0,TODAY()-G10)</f>
        <v>0</v>
      </c>
      <c r="I10" s="29" t="str">
        <f aca="false">+IF(H10&gt;180,"Atrasada",IF(H10&gt;150,"150 dias",IF(H10&gt;120,"120 dias",IF(H10&gt;90,"90 dias",IF(H10&gt;60,"60 dias",IF(H10&gt;30,"30 dias","Al Día"))))))</f>
        <v>Al Día</v>
      </c>
      <c r="J10" s="32" t="s">
        <v>31</v>
      </c>
      <c r="K10" s="29" t="s">
        <v>71</v>
      </c>
      <c r="L10" s="33" t="s">
        <v>72</v>
      </c>
      <c r="M10" s="29" t="n">
        <f aca="false">+YEAR(F10)</f>
        <v>2026</v>
      </c>
      <c r="N10" s="29" t="n">
        <v>2026</v>
      </c>
      <c r="O10" s="29" t="n">
        <v>1</v>
      </c>
      <c r="P10" s="29" t="str">
        <f aca="false">+CONCATENATE(Tabla[[#This Row],[MES CAMPAÑA]],"/",Tabla[[#This Row],[AÑO CAMPAÑA]])</f>
        <v>1/2026</v>
      </c>
      <c r="Q10" s="29" t="s">
        <v>73</v>
      </c>
      <c r="R10" s="29" t="s">
        <v>74</v>
      </c>
      <c r="S10" s="34" t="n">
        <v>0</v>
      </c>
      <c r="T10" s="34" t="n">
        <v>2920885</v>
      </c>
      <c r="U10" s="34" t="n">
        <v>554968</v>
      </c>
      <c r="V10" s="29"/>
      <c r="W10" s="35" t="n">
        <v>3475853</v>
      </c>
      <c r="X10" s="36" t="n">
        <f aca="false">+Tabla[[#This Row],[TOTAL]]</f>
        <v>3475853</v>
      </c>
      <c r="Y10" s="37"/>
      <c r="Z10" s="37"/>
      <c r="AA10" s="37"/>
      <c r="AB10" s="38" t="n">
        <f aca="false">+W10-AC10</f>
        <v>0</v>
      </c>
      <c r="AC10" s="34" t="n">
        <f aca="false">+Tabla[[#This Row],[P4]]+Tabla[[#This Row],[P3]]+Tabla[[#This Row],[P2]]+Tabla[[#This Row],[P1]]</f>
        <v>3475853</v>
      </c>
      <c r="AD10" s="34" t="n">
        <f aca="false">+W10-AC10</f>
        <v>0</v>
      </c>
      <c r="AE10" s="21" t="str">
        <f aca="false">IF(AB10&lt;1,"PAGADA","PENDIENTE")</f>
        <v>PAGADA</v>
      </c>
      <c r="AF10" s="21"/>
      <c r="AG10" s="29" t="s">
        <v>77</v>
      </c>
      <c r="AH10" s="39" t="n">
        <v>46069</v>
      </c>
      <c r="AI10" s="40" t="n">
        <f aca="false">+IF(Tabla[[#This Row],[FECHA PAGO / ABONO]]&lt;1,0,(MONTH(Tabla[[#This Row],[FECHA PAGO / ABONO]])))</f>
        <v>2</v>
      </c>
      <c r="AJ10" s="40" t="n">
        <f aca="false">+IF(Tabla[[#This Row],[FECHA PAGO / ABONO]]&lt;1,0,(YEAR(Tabla[[#This Row],[FECHA PAGO / ABONO]])))</f>
        <v>2026</v>
      </c>
      <c r="AK10" s="41"/>
    </row>
    <row r="11" customFormat="false" ht="14.25" hidden="false" customHeight="false" outlineLevel="0" collapsed="false">
      <c r="A11" s="28" t="s">
        <v>95</v>
      </c>
      <c r="B11" s="29" t="s">
        <v>96</v>
      </c>
      <c r="C11" s="29" t="s">
        <v>69</v>
      </c>
      <c r="D11" s="21" t="n">
        <v>2998</v>
      </c>
      <c r="E11" s="21" t="str">
        <f aca="false">+CONCATENATE(Tabla[[#This Row],[RUT]],Tabla[[#This Row],[PROVEEDOR]],Tabla[[#This Row],[FACTURA]])</f>
        <v>77199950-6TABACH Y SALAS LIMITADA2998</v>
      </c>
      <c r="F11" s="30" t="n">
        <v>46030</v>
      </c>
      <c r="G11" s="31" t="n">
        <f aca="false">+F11+30</f>
        <v>46060</v>
      </c>
      <c r="H11" s="29" t="n">
        <f aca="true">+IF(AE11="PAGADA",0,TODAY()-G11)</f>
        <v>0</v>
      </c>
      <c r="I11" s="29" t="str">
        <f aca="false">+IF(H11&gt;180,"Atrasada",IF(H11&gt;150,"150 dias",IF(H11&gt;120,"120 dias",IF(H11&gt;90,"90 dias",IF(H11&gt;60,"60 dias",IF(H11&gt;30,"30 dias","Al Día"))))))</f>
        <v>Al Día</v>
      </c>
      <c r="J11" s="32" t="s">
        <v>80</v>
      </c>
      <c r="K11" s="29" t="s">
        <v>81</v>
      </c>
      <c r="L11" s="33" t="s">
        <v>72</v>
      </c>
      <c r="M11" s="29" t="n">
        <f aca="false">+YEAR(F11)</f>
        <v>2026</v>
      </c>
      <c r="N11" s="29" t="n">
        <v>2025</v>
      </c>
      <c r="O11" s="29" t="n">
        <v>11</v>
      </c>
      <c r="P11" s="29" t="str">
        <f aca="false">+CONCATENATE(Tabla[[#This Row],[MES CAMPAÑA]],"/",Tabla[[#This Row],[AÑO CAMPAÑA]])</f>
        <v>11/2025</v>
      </c>
      <c r="Q11" s="29" t="s">
        <v>97</v>
      </c>
      <c r="R11" s="29" t="s">
        <v>74</v>
      </c>
      <c r="S11" s="34" t="n">
        <v>0</v>
      </c>
      <c r="T11" s="34" t="n">
        <v>23910000</v>
      </c>
      <c r="U11" s="34" t="n">
        <v>4542900</v>
      </c>
      <c r="V11" s="29"/>
      <c r="W11" s="35" t="n">
        <v>28452900</v>
      </c>
      <c r="X11" s="36" t="n">
        <v>8452900</v>
      </c>
      <c r="Y11" s="36" t="n">
        <v>7000000</v>
      </c>
      <c r="Z11" s="36" t="n">
        <v>6000000</v>
      </c>
      <c r="AA11" s="36" t="n">
        <v>7000000</v>
      </c>
      <c r="AB11" s="38" t="n">
        <f aca="false">+W11-AC11</f>
        <v>0</v>
      </c>
      <c r="AC11" s="34" t="n">
        <f aca="false">+Tabla[[#This Row],[P4]]+Tabla[[#This Row],[P3]]+Tabla[[#This Row],[P2]]+Tabla[[#This Row],[P1]]</f>
        <v>28452900</v>
      </c>
      <c r="AD11" s="34" t="n">
        <f aca="false">+W11-AC11</f>
        <v>0</v>
      </c>
      <c r="AE11" s="21" t="str">
        <f aca="false">IF(AB11&lt;1,"PAGADA","PENDIENTE")</f>
        <v>PAGADA</v>
      </c>
      <c r="AF11" s="21"/>
      <c r="AG11" s="29" t="s">
        <v>77</v>
      </c>
      <c r="AH11" s="39" t="s">
        <v>98</v>
      </c>
      <c r="AI11" s="40" t="e">
        <f aca="false">+IF(Tabla[[#This Row],[FECHA PAGO / ABONO]]&lt;1,0,(MONTH(Tabla[[#This Row],[FECHA PAGO / ABONO]])))</f>
        <v>#VALUE!</v>
      </c>
      <c r="AJ11" s="40" t="e">
        <f aca="false">+IF(Tabla[[#This Row],[FECHA PAGO / ABONO]]&lt;1,0,(YEAR(Tabla[[#This Row],[FECHA PAGO / ABONO]])))</f>
        <v>#VALUE!</v>
      </c>
      <c r="AK11" s="41"/>
    </row>
    <row r="12" customFormat="false" ht="14.25" hidden="false" customHeight="false" outlineLevel="0" collapsed="false">
      <c r="A12" s="28" t="s">
        <v>99</v>
      </c>
      <c r="B12" s="29" t="s">
        <v>100</v>
      </c>
      <c r="C12" s="29" t="s">
        <v>69</v>
      </c>
      <c r="D12" s="21" t="n">
        <v>377</v>
      </c>
      <c r="E12" s="21" t="str">
        <f aca="false">+CONCATENATE(Tabla[[#This Row],[RUT]],Tabla[[#This Row],[PROVEEDOR]],Tabla[[#This Row],[FACTURA]])</f>
        <v>77482361-1INNOVATIVE CHILE SPA377</v>
      </c>
      <c r="F12" s="30" t="n">
        <v>46030</v>
      </c>
      <c r="G12" s="31" t="n">
        <f aca="false">+F12+30</f>
        <v>46060</v>
      </c>
      <c r="H12" s="29" t="n">
        <f aca="true">+IF(AE12="PAGADA",0,TODAY()-G12)</f>
        <v>0</v>
      </c>
      <c r="I12" s="29" t="str">
        <f aca="false">+IF(H12&gt;180,"Atrasada",IF(H12&gt;150,"150 dias",IF(H12&gt;120,"120 dias",IF(H12&gt;90,"90 dias",IF(H12&gt;60,"60 dias",IF(H12&gt;30,"30 dias","Al Día"))))))</f>
        <v>Al Día</v>
      </c>
      <c r="J12" s="32" t="s">
        <v>80</v>
      </c>
      <c r="K12" s="29" t="s">
        <v>81</v>
      </c>
      <c r="L12" s="33" t="s">
        <v>72</v>
      </c>
      <c r="M12" s="29" t="n">
        <f aca="false">+YEAR(F12)</f>
        <v>2026</v>
      </c>
      <c r="N12" s="29" t="n">
        <v>2025</v>
      </c>
      <c r="O12" s="29" t="n">
        <v>11</v>
      </c>
      <c r="P12" s="29" t="str">
        <f aca="false">+CONCATENATE(Tabla[[#This Row],[MES CAMPAÑA]],"/",Tabla[[#This Row],[AÑO CAMPAÑA]])</f>
        <v>11/2025</v>
      </c>
      <c r="Q12" s="29" t="s">
        <v>82</v>
      </c>
      <c r="R12" s="29" t="s">
        <v>74</v>
      </c>
      <c r="S12" s="34" t="n">
        <v>0</v>
      </c>
      <c r="T12" s="34" t="n">
        <v>1000000</v>
      </c>
      <c r="U12" s="34" t="n">
        <v>190000</v>
      </c>
      <c r="V12" s="29"/>
      <c r="W12" s="35" t="n">
        <v>1190000</v>
      </c>
      <c r="X12" s="36" t="n">
        <f aca="false">+Tabla[[#This Row],[TOTAL]]</f>
        <v>1190000</v>
      </c>
      <c r="Y12" s="37"/>
      <c r="Z12" s="37"/>
      <c r="AA12" s="37"/>
      <c r="AB12" s="38" t="n">
        <f aca="false">+W12-AC12</f>
        <v>0</v>
      </c>
      <c r="AC12" s="34" t="n">
        <f aca="false">+Tabla[[#This Row],[P4]]+Tabla[[#This Row],[P3]]+Tabla[[#This Row],[P2]]+Tabla[[#This Row],[P1]]</f>
        <v>1190000</v>
      </c>
      <c r="AD12" s="34" t="n">
        <f aca="false">+W12-AC12</f>
        <v>0</v>
      </c>
      <c r="AE12" s="21" t="str">
        <f aca="false">IF(AB12&lt;1,"PAGADA","PENDIENTE")</f>
        <v>PAGADA</v>
      </c>
      <c r="AF12" s="21"/>
      <c r="AG12" s="29" t="s">
        <v>77</v>
      </c>
      <c r="AH12" s="39" t="n">
        <v>46090</v>
      </c>
      <c r="AI12" s="40" t="n">
        <f aca="false">+IF(Tabla[[#This Row],[FECHA PAGO / ABONO]]&lt;1,0,(MONTH(Tabla[[#This Row],[FECHA PAGO / ABONO]])))</f>
        <v>3</v>
      </c>
      <c r="AJ12" s="40" t="n">
        <f aca="false">+IF(Tabla[[#This Row],[FECHA PAGO / ABONO]]&lt;1,0,(YEAR(Tabla[[#This Row],[FECHA PAGO / ABONO]])))</f>
        <v>2026</v>
      </c>
      <c r="AK12" s="41"/>
    </row>
    <row r="13" customFormat="false" ht="14.25" hidden="false" customHeight="false" outlineLevel="0" collapsed="false">
      <c r="A13" s="28" t="s">
        <v>101</v>
      </c>
      <c r="B13" s="29" t="s">
        <v>102</v>
      </c>
      <c r="C13" s="29" t="s">
        <v>69</v>
      </c>
      <c r="D13" s="21" t="n">
        <v>29259096</v>
      </c>
      <c r="E13" s="21" t="str">
        <f aca="false">+CONCATENATE(Tabla[[#This Row],[RUT]],Tabla[[#This Row],[PROVEEDOR]],Tabla[[#This Row],[FACTURA]])</f>
        <v>97006000-6BANCO DE CREDITO E INVERSIONES29259096</v>
      </c>
      <c r="F13" s="30" t="n">
        <v>46030</v>
      </c>
      <c r="G13" s="31" t="n">
        <f aca="false">+F13+30</f>
        <v>46060</v>
      </c>
      <c r="H13" s="29" t="n">
        <f aca="true">+IF(AE13="PAGADA",0,TODAY()-G13)</f>
        <v>0</v>
      </c>
      <c r="I13" s="29" t="str">
        <f aca="false">+IF(H13&gt;180,"Atrasada",IF(H13&gt;150,"150 dias",IF(H13&gt;120,"120 dias",IF(H13&gt;90,"90 dias",IF(H13&gt;60,"60 dias",IF(H13&gt;30,"30 dias","Al Día"))))))</f>
        <v>Al Día</v>
      </c>
      <c r="J13" s="32" t="s">
        <v>31</v>
      </c>
      <c r="K13" s="29" t="s">
        <v>71</v>
      </c>
      <c r="L13" s="33" t="s">
        <v>72</v>
      </c>
      <c r="M13" s="29" t="n">
        <f aca="false">+YEAR(F13)</f>
        <v>2026</v>
      </c>
      <c r="N13" s="29" t="n">
        <v>2026</v>
      </c>
      <c r="O13" s="29" t="n">
        <v>1</v>
      </c>
      <c r="P13" s="29" t="str">
        <f aca="false">+CONCATENATE(Tabla[[#This Row],[MES CAMPAÑA]],"/",Tabla[[#This Row],[AÑO CAMPAÑA]])</f>
        <v>1/2026</v>
      </c>
      <c r="Q13" s="29" t="s">
        <v>73</v>
      </c>
      <c r="R13" s="29" t="s">
        <v>74</v>
      </c>
      <c r="S13" s="34" t="n">
        <v>0</v>
      </c>
      <c r="T13" s="34" t="n">
        <v>227013</v>
      </c>
      <c r="U13" s="34" t="n">
        <v>43132</v>
      </c>
      <c r="V13" s="29"/>
      <c r="W13" s="35" t="n">
        <v>270145</v>
      </c>
      <c r="X13" s="36" t="n">
        <f aca="false">+Tabla[[#This Row],[TOTAL]]</f>
        <v>270145</v>
      </c>
      <c r="Y13" s="37"/>
      <c r="Z13" s="37"/>
      <c r="AA13" s="37"/>
      <c r="AB13" s="38" t="n">
        <f aca="false">+W13-AC13</f>
        <v>0</v>
      </c>
      <c r="AC13" s="34" t="n">
        <f aca="false">+Tabla[[#This Row],[P4]]+Tabla[[#This Row],[P3]]+Tabla[[#This Row],[P2]]+Tabla[[#This Row],[P1]]</f>
        <v>270145</v>
      </c>
      <c r="AD13" s="34" t="n">
        <f aca="false">+W13-AC13</f>
        <v>0</v>
      </c>
      <c r="AE13" s="21" t="str">
        <f aca="false">IF(AB13&lt;1,"PAGADA","PENDIENTE")</f>
        <v>PAGADA</v>
      </c>
      <c r="AF13" s="21"/>
      <c r="AG13" s="29"/>
      <c r="AH13" s="40"/>
      <c r="AI13" s="40" t="n">
        <f aca="false">+IF(Tabla[[#This Row],[FECHA PAGO / ABONO]]&lt;1,0,(MONTH(Tabla[[#This Row],[FECHA PAGO / ABONO]])))</f>
        <v>0</v>
      </c>
      <c r="AJ13" s="40" t="n">
        <f aca="false">+IF(Tabla[[#This Row],[FECHA PAGO / ABONO]]&lt;1,0,(YEAR(Tabla[[#This Row],[FECHA PAGO / ABONO]])))</f>
        <v>0</v>
      </c>
      <c r="AK13" s="41"/>
    </row>
    <row r="14" customFormat="false" ht="14.25" hidden="false" customHeight="false" outlineLevel="0" collapsed="false">
      <c r="A14" s="28" t="s">
        <v>101</v>
      </c>
      <c r="B14" s="29" t="s">
        <v>102</v>
      </c>
      <c r="C14" s="29" t="s">
        <v>69</v>
      </c>
      <c r="D14" s="21" t="n">
        <v>29259097</v>
      </c>
      <c r="E14" s="21" t="str">
        <f aca="false">+CONCATENATE(Tabla[[#This Row],[RUT]],Tabla[[#This Row],[PROVEEDOR]],Tabla[[#This Row],[FACTURA]])</f>
        <v>97006000-6BANCO DE CREDITO E INVERSIONES29259097</v>
      </c>
      <c r="F14" s="30" t="n">
        <v>46030</v>
      </c>
      <c r="G14" s="31" t="n">
        <f aca="false">+F14+30</f>
        <v>46060</v>
      </c>
      <c r="H14" s="29" t="n">
        <f aca="true">+IF(AE14="PAGADA",0,TODAY()-G14)</f>
        <v>0</v>
      </c>
      <c r="I14" s="29" t="str">
        <f aca="false">+IF(H14&gt;180,"Atrasada",IF(H14&gt;150,"150 dias",IF(H14&gt;120,"120 dias",IF(H14&gt;90,"90 dias",IF(H14&gt;60,"60 dias",IF(H14&gt;30,"30 dias","Al Día"))))))</f>
        <v>Al Día</v>
      </c>
      <c r="J14" s="32" t="s">
        <v>31</v>
      </c>
      <c r="K14" s="29" t="s">
        <v>71</v>
      </c>
      <c r="L14" s="33" t="s">
        <v>72</v>
      </c>
      <c r="M14" s="29" t="n">
        <f aca="false">+YEAR(F14)</f>
        <v>2026</v>
      </c>
      <c r="N14" s="29" t="n">
        <v>2026</v>
      </c>
      <c r="O14" s="29" t="n">
        <v>1</v>
      </c>
      <c r="P14" s="29" t="str">
        <f aca="false">+CONCATENATE(Tabla[[#This Row],[MES CAMPAÑA]],"/",Tabla[[#This Row],[AÑO CAMPAÑA]])</f>
        <v>1/2026</v>
      </c>
      <c r="Q14" s="29" t="s">
        <v>73</v>
      </c>
      <c r="R14" s="29" t="s">
        <v>74</v>
      </c>
      <c r="S14" s="34" t="n">
        <v>0</v>
      </c>
      <c r="T14" s="34" t="n">
        <v>22834</v>
      </c>
      <c r="U14" s="34" t="n">
        <v>4339</v>
      </c>
      <c r="V14" s="29"/>
      <c r="W14" s="35" t="n">
        <v>27173</v>
      </c>
      <c r="X14" s="36" t="n">
        <f aca="false">+Tabla[[#This Row],[TOTAL]]</f>
        <v>27173</v>
      </c>
      <c r="Y14" s="37"/>
      <c r="Z14" s="37"/>
      <c r="AA14" s="37"/>
      <c r="AB14" s="38" t="n">
        <f aca="false">+W14-AC14</f>
        <v>0</v>
      </c>
      <c r="AC14" s="34" t="n">
        <f aca="false">+Tabla[[#This Row],[P4]]+Tabla[[#This Row],[P3]]+Tabla[[#This Row],[P2]]+Tabla[[#This Row],[P1]]</f>
        <v>27173</v>
      </c>
      <c r="AD14" s="34" t="n">
        <f aca="false">+W14-AC14</f>
        <v>0</v>
      </c>
      <c r="AE14" s="21" t="str">
        <f aca="false">IF(AB14&lt;1,"PAGADA","PENDIENTE")</f>
        <v>PAGADA</v>
      </c>
      <c r="AF14" s="21"/>
      <c r="AG14" s="29"/>
      <c r="AH14" s="40"/>
      <c r="AI14" s="40" t="n">
        <f aca="false">+IF(Tabla[[#This Row],[FECHA PAGO / ABONO]]&lt;1,0,(MONTH(Tabla[[#This Row],[FECHA PAGO / ABONO]])))</f>
        <v>0</v>
      </c>
      <c r="AJ14" s="40" t="n">
        <f aca="false">+IF(Tabla[[#This Row],[FECHA PAGO / ABONO]]&lt;1,0,(YEAR(Tabla[[#This Row],[FECHA PAGO / ABONO]])))</f>
        <v>0</v>
      </c>
      <c r="AK14" s="41"/>
    </row>
    <row r="15" customFormat="false" ht="14.25" hidden="false" customHeight="false" outlineLevel="0" collapsed="false">
      <c r="A15" s="28" t="s">
        <v>101</v>
      </c>
      <c r="B15" s="29" t="s">
        <v>102</v>
      </c>
      <c r="C15" s="29" t="s">
        <v>69</v>
      </c>
      <c r="D15" s="21" t="n">
        <v>29259098</v>
      </c>
      <c r="E15" s="21" t="str">
        <f aca="false">+CONCATENATE(Tabla[[#This Row],[RUT]],Tabla[[#This Row],[PROVEEDOR]],Tabla[[#This Row],[FACTURA]])</f>
        <v>97006000-6BANCO DE CREDITO E INVERSIONES29259098</v>
      </c>
      <c r="F15" s="30" t="n">
        <v>46030</v>
      </c>
      <c r="G15" s="31" t="n">
        <f aca="false">+F15+30</f>
        <v>46060</v>
      </c>
      <c r="H15" s="29" t="n">
        <f aca="true">+IF(AE15="PAGADA",0,TODAY()-G15)</f>
        <v>0</v>
      </c>
      <c r="I15" s="29" t="str">
        <f aca="false">+IF(H15&gt;180,"Atrasada",IF(H15&gt;150,"150 dias",IF(H15&gt;120,"120 dias",IF(H15&gt;90,"90 dias",IF(H15&gt;60,"60 dias",IF(H15&gt;30,"30 dias","Al Día"))))))</f>
        <v>Al Día</v>
      </c>
      <c r="J15" s="32" t="s">
        <v>31</v>
      </c>
      <c r="K15" s="29" t="s">
        <v>71</v>
      </c>
      <c r="L15" s="33" t="s">
        <v>72</v>
      </c>
      <c r="M15" s="29" t="n">
        <f aca="false">+YEAR(F15)</f>
        <v>2026</v>
      </c>
      <c r="N15" s="29" t="n">
        <v>2026</v>
      </c>
      <c r="O15" s="29" t="n">
        <v>1</v>
      </c>
      <c r="P15" s="29" t="str">
        <f aca="false">+CONCATENATE(Tabla[[#This Row],[MES CAMPAÑA]],"/",Tabla[[#This Row],[AÑO CAMPAÑA]])</f>
        <v>1/2026</v>
      </c>
      <c r="Q15" s="29" t="s">
        <v>73</v>
      </c>
      <c r="R15" s="29" t="s">
        <v>74</v>
      </c>
      <c r="S15" s="34" t="n">
        <v>0</v>
      </c>
      <c r="T15" s="34" t="n">
        <v>97920</v>
      </c>
      <c r="U15" s="34" t="n">
        <v>18605</v>
      </c>
      <c r="V15" s="29"/>
      <c r="W15" s="35" t="n">
        <v>116525</v>
      </c>
      <c r="X15" s="36" t="n">
        <f aca="false">+Tabla[[#This Row],[TOTAL]]</f>
        <v>116525</v>
      </c>
      <c r="Y15" s="37"/>
      <c r="Z15" s="37"/>
      <c r="AA15" s="37"/>
      <c r="AB15" s="38" t="n">
        <f aca="false">+W15-AC15</f>
        <v>0</v>
      </c>
      <c r="AC15" s="34" t="n">
        <f aca="false">+Tabla[[#This Row],[P4]]+Tabla[[#This Row],[P3]]+Tabla[[#This Row],[P2]]+Tabla[[#This Row],[P1]]</f>
        <v>116525</v>
      </c>
      <c r="AD15" s="34" t="n">
        <f aca="false">+W15-AC15</f>
        <v>0</v>
      </c>
      <c r="AE15" s="21" t="str">
        <f aca="false">IF(AB15&lt;1,"PAGADA","PENDIENTE")</f>
        <v>PAGADA</v>
      </c>
      <c r="AF15" s="21"/>
      <c r="AG15" s="29"/>
      <c r="AH15" s="40"/>
      <c r="AI15" s="40" t="n">
        <f aca="false">+IF(Tabla[[#This Row],[FECHA PAGO / ABONO]]&lt;1,0,(MONTH(Tabla[[#This Row],[FECHA PAGO / ABONO]])))</f>
        <v>0</v>
      </c>
      <c r="AJ15" s="40" t="n">
        <f aca="false">+IF(Tabla[[#This Row],[FECHA PAGO / ABONO]]&lt;1,0,(YEAR(Tabla[[#This Row],[FECHA PAGO / ABONO]])))</f>
        <v>0</v>
      </c>
      <c r="AK15" s="41"/>
    </row>
    <row r="16" customFormat="false" ht="14.25" hidden="false" customHeight="false" outlineLevel="0" collapsed="false">
      <c r="A16" s="28" t="s">
        <v>101</v>
      </c>
      <c r="B16" s="29" t="s">
        <v>102</v>
      </c>
      <c r="C16" s="29" t="s">
        <v>69</v>
      </c>
      <c r="D16" s="21" t="n">
        <v>29259099</v>
      </c>
      <c r="E16" s="21" t="str">
        <f aca="false">+CONCATENATE(Tabla[[#This Row],[RUT]],Tabla[[#This Row],[PROVEEDOR]],Tabla[[#This Row],[FACTURA]])</f>
        <v>97006000-6BANCO DE CREDITO E INVERSIONES29259099</v>
      </c>
      <c r="F16" s="30" t="n">
        <v>46030</v>
      </c>
      <c r="G16" s="31" t="n">
        <f aca="false">+F16+30</f>
        <v>46060</v>
      </c>
      <c r="H16" s="29" t="n">
        <f aca="true">+IF(AE16="PAGADA",0,TODAY()-G16)</f>
        <v>0</v>
      </c>
      <c r="I16" s="29" t="str">
        <f aca="false">+IF(H16&gt;180,"Atrasada",IF(H16&gt;150,"150 dias",IF(H16&gt;120,"120 dias",IF(H16&gt;90,"90 dias",IF(H16&gt;60,"60 dias",IF(H16&gt;30,"30 dias","Al Día"))))))</f>
        <v>Al Día</v>
      </c>
      <c r="J16" s="32" t="s">
        <v>31</v>
      </c>
      <c r="K16" s="29" t="s">
        <v>71</v>
      </c>
      <c r="L16" s="33" t="s">
        <v>72</v>
      </c>
      <c r="M16" s="29" t="n">
        <f aca="false">+YEAR(F16)</f>
        <v>2026</v>
      </c>
      <c r="N16" s="29" t="n">
        <v>2026</v>
      </c>
      <c r="O16" s="29" t="n">
        <v>1</v>
      </c>
      <c r="P16" s="29" t="str">
        <f aca="false">+CONCATENATE(Tabla[[#This Row],[MES CAMPAÑA]],"/",Tabla[[#This Row],[AÑO CAMPAÑA]])</f>
        <v>1/2026</v>
      </c>
      <c r="Q16" s="29" t="s">
        <v>73</v>
      </c>
      <c r="R16" s="29" t="s">
        <v>74</v>
      </c>
      <c r="S16" s="34" t="n">
        <v>0</v>
      </c>
      <c r="T16" s="34" t="n">
        <v>3336</v>
      </c>
      <c r="U16" s="34" t="n">
        <v>634</v>
      </c>
      <c r="V16" s="29"/>
      <c r="W16" s="35" t="n">
        <v>3970</v>
      </c>
      <c r="X16" s="36" t="n">
        <f aca="false">+Tabla[[#This Row],[TOTAL]]</f>
        <v>3970</v>
      </c>
      <c r="Y16" s="37"/>
      <c r="Z16" s="37"/>
      <c r="AA16" s="37"/>
      <c r="AB16" s="38" t="n">
        <f aca="false">+W16-AC16</f>
        <v>0</v>
      </c>
      <c r="AC16" s="34" t="n">
        <f aca="false">+Tabla[[#This Row],[P4]]+Tabla[[#This Row],[P3]]+Tabla[[#This Row],[P2]]+Tabla[[#This Row],[P1]]</f>
        <v>3970</v>
      </c>
      <c r="AD16" s="34" t="n">
        <f aca="false">+W16-AC16</f>
        <v>0</v>
      </c>
      <c r="AE16" s="21" t="str">
        <f aca="false">IF(AB16&lt;1,"PAGADA","PENDIENTE")</f>
        <v>PAGADA</v>
      </c>
      <c r="AF16" s="21"/>
      <c r="AG16" s="29"/>
      <c r="AH16" s="40"/>
      <c r="AI16" s="40" t="n">
        <f aca="false">+IF(Tabla[[#This Row],[FECHA PAGO / ABONO]]&lt;1,0,(MONTH(Tabla[[#This Row],[FECHA PAGO / ABONO]])))</f>
        <v>0</v>
      </c>
      <c r="AJ16" s="40" t="n">
        <f aca="false">+IF(Tabla[[#This Row],[FECHA PAGO / ABONO]]&lt;1,0,(YEAR(Tabla[[#This Row],[FECHA PAGO / ABONO]])))</f>
        <v>0</v>
      </c>
      <c r="AK16" s="41"/>
    </row>
    <row r="17" customFormat="false" ht="14.25" hidden="false" customHeight="false" outlineLevel="0" collapsed="false">
      <c r="A17" s="28" t="s">
        <v>101</v>
      </c>
      <c r="B17" s="29" t="s">
        <v>102</v>
      </c>
      <c r="C17" s="29" t="s">
        <v>69</v>
      </c>
      <c r="D17" s="21" t="n">
        <v>29259100</v>
      </c>
      <c r="E17" s="21" t="str">
        <f aca="false">+CONCATENATE(Tabla[[#This Row],[RUT]],Tabla[[#This Row],[PROVEEDOR]],Tabla[[#This Row],[FACTURA]])</f>
        <v>97006000-6BANCO DE CREDITO E INVERSIONES29259100</v>
      </c>
      <c r="F17" s="30" t="n">
        <v>46030</v>
      </c>
      <c r="G17" s="31" t="n">
        <f aca="false">+F17+30</f>
        <v>46060</v>
      </c>
      <c r="H17" s="29" t="n">
        <f aca="true">+IF(AE17="PAGADA",0,TODAY()-G17)</f>
        <v>0</v>
      </c>
      <c r="I17" s="29" t="str">
        <f aca="false">+IF(H17&gt;180,"Atrasada",IF(H17&gt;150,"150 dias",IF(H17&gt;120,"120 dias",IF(H17&gt;90,"90 dias",IF(H17&gt;60,"60 dias",IF(H17&gt;30,"30 dias","Al Día"))))))</f>
        <v>Al Día</v>
      </c>
      <c r="J17" s="32" t="s">
        <v>31</v>
      </c>
      <c r="K17" s="29" t="s">
        <v>71</v>
      </c>
      <c r="L17" s="33" t="s">
        <v>72</v>
      </c>
      <c r="M17" s="29" t="n">
        <f aca="false">+YEAR(F17)</f>
        <v>2026</v>
      </c>
      <c r="N17" s="29" t="n">
        <v>2026</v>
      </c>
      <c r="O17" s="29" t="n">
        <v>1</v>
      </c>
      <c r="P17" s="29" t="str">
        <f aca="false">+CONCATENATE(Tabla[[#This Row],[MES CAMPAÑA]],"/",Tabla[[#This Row],[AÑO CAMPAÑA]])</f>
        <v>1/2026</v>
      </c>
      <c r="Q17" s="29" t="s">
        <v>73</v>
      </c>
      <c r="R17" s="29" t="s">
        <v>74</v>
      </c>
      <c r="S17" s="34" t="n">
        <v>0</v>
      </c>
      <c r="T17" s="34" t="n">
        <v>1667</v>
      </c>
      <c r="U17" s="34" t="n">
        <v>317</v>
      </c>
      <c r="V17" s="29"/>
      <c r="W17" s="35" t="n">
        <v>1984</v>
      </c>
      <c r="X17" s="36" t="n">
        <f aca="false">+Tabla[[#This Row],[TOTAL]]</f>
        <v>1984</v>
      </c>
      <c r="Y17" s="37"/>
      <c r="Z17" s="37"/>
      <c r="AA17" s="37"/>
      <c r="AB17" s="38" t="n">
        <f aca="false">+W17-AC17</f>
        <v>0</v>
      </c>
      <c r="AC17" s="34" t="n">
        <f aca="false">+Tabla[[#This Row],[P4]]+Tabla[[#This Row],[P3]]+Tabla[[#This Row],[P2]]+Tabla[[#This Row],[P1]]</f>
        <v>1984</v>
      </c>
      <c r="AD17" s="34" t="n">
        <f aca="false">+W17-AC17</f>
        <v>0</v>
      </c>
      <c r="AE17" s="21" t="str">
        <f aca="false">IF(AB17&lt;1,"PAGADA","PENDIENTE")</f>
        <v>PAGADA</v>
      </c>
      <c r="AF17" s="21"/>
      <c r="AG17" s="29"/>
      <c r="AH17" s="40"/>
      <c r="AI17" s="40" t="n">
        <f aca="false">+IF(Tabla[[#This Row],[FECHA PAGO / ABONO]]&lt;1,0,(MONTH(Tabla[[#This Row],[FECHA PAGO / ABONO]])))</f>
        <v>0</v>
      </c>
      <c r="AJ17" s="40" t="n">
        <f aca="false">+IF(Tabla[[#This Row],[FECHA PAGO / ABONO]]&lt;1,0,(YEAR(Tabla[[#This Row],[FECHA PAGO / ABONO]])))</f>
        <v>0</v>
      </c>
      <c r="AK17" s="41"/>
    </row>
    <row r="18" customFormat="false" ht="14.25" hidden="false" customHeight="false" outlineLevel="0" collapsed="false">
      <c r="A18" s="28" t="s">
        <v>101</v>
      </c>
      <c r="B18" s="29" t="s">
        <v>102</v>
      </c>
      <c r="C18" s="29" t="s">
        <v>69</v>
      </c>
      <c r="D18" s="21" t="n">
        <v>29259101</v>
      </c>
      <c r="E18" s="21" t="str">
        <f aca="false">+CONCATENATE(Tabla[[#This Row],[RUT]],Tabla[[#This Row],[PROVEEDOR]],Tabla[[#This Row],[FACTURA]])</f>
        <v>97006000-6BANCO DE CREDITO E INVERSIONES29259101</v>
      </c>
      <c r="F18" s="30" t="n">
        <v>46030</v>
      </c>
      <c r="G18" s="31" t="n">
        <f aca="false">+F18+30</f>
        <v>46060</v>
      </c>
      <c r="H18" s="29" t="n">
        <f aca="true">+IF(AE18="PAGADA",0,TODAY()-G18)</f>
        <v>0</v>
      </c>
      <c r="I18" s="29" t="str">
        <f aca="false">+IF(H18&gt;180,"Atrasada",IF(H18&gt;150,"150 dias",IF(H18&gt;120,"120 dias",IF(H18&gt;90,"90 dias",IF(H18&gt;60,"60 dias",IF(H18&gt;30,"30 dias","Al Día"))))))</f>
        <v>Al Día</v>
      </c>
      <c r="J18" s="32" t="s">
        <v>31</v>
      </c>
      <c r="K18" s="29" t="s">
        <v>71</v>
      </c>
      <c r="L18" s="33" t="s">
        <v>72</v>
      </c>
      <c r="M18" s="29" t="n">
        <f aca="false">+YEAR(F18)</f>
        <v>2026</v>
      </c>
      <c r="N18" s="29" t="n">
        <v>2026</v>
      </c>
      <c r="O18" s="29" t="n">
        <v>1</v>
      </c>
      <c r="P18" s="29" t="str">
        <f aca="false">+CONCATENATE(Tabla[[#This Row],[MES CAMPAÑA]],"/",Tabla[[#This Row],[AÑO CAMPAÑA]])</f>
        <v>1/2026</v>
      </c>
      <c r="Q18" s="29" t="s">
        <v>73</v>
      </c>
      <c r="R18" s="29" t="s">
        <v>74</v>
      </c>
      <c r="S18" s="34" t="n">
        <v>0</v>
      </c>
      <c r="T18" s="34" t="n">
        <v>27418</v>
      </c>
      <c r="U18" s="34" t="n">
        <v>5210</v>
      </c>
      <c r="V18" s="29"/>
      <c r="W18" s="35" t="n">
        <v>32628</v>
      </c>
      <c r="X18" s="36" t="n">
        <f aca="false">+Tabla[[#This Row],[TOTAL]]</f>
        <v>32628</v>
      </c>
      <c r="Y18" s="37"/>
      <c r="Z18" s="37"/>
      <c r="AA18" s="37"/>
      <c r="AB18" s="38" t="n">
        <f aca="false">+W18-AC18</f>
        <v>0</v>
      </c>
      <c r="AC18" s="34" t="n">
        <f aca="false">+Tabla[[#This Row],[P4]]+Tabla[[#This Row],[P3]]+Tabla[[#This Row],[P2]]+Tabla[[#This Row],[P1]]</f>
        <v>32628</v>
      </c>
      <c r="AD18" s="34" t="n">
        <f aca="false">+W18-AC18</f>
        <v>0</v>
      </c>
      <c r="AE18" s="21" t="str">
        <f aca="false">IF(AB18&lt;1,"PAGADA","PENDIENTE")</f>
        <v>PAGADA</v>
      </c>
      <c r="AF18" s="21"/>
      <c r="AG18" s="29"/>
      <c r="AH18" s="40"/>
      <c r="AI18" s="40" t="n">
        <f aca="false">+IF(Tabla[[#This Row],[FECHA PAGO / ABONO]]&lt;1,0,(MONTH(Tabla[[#This Row],[FECHA PAGO / ABONO]])))</f>
        <v>0</v>
      </c>
      <c r="AJ18" s="40" t="n">
        <f aca="false">+IF(Tabla[[#This Row],[FECHA PAGO / ABONO]]&lt;1,0,(YEAR(Tabla[[#This Row],[FECHA PAGO / ABONO]])))</f>
        <v>0</v>
      </c>
      <c r="AK18" s="41"/>
    </row>
    <row r="19" customFormat="false" ht="14.25" hidden="false" customHeight="false" outlineLevel="0" collapsed="false">
      <c r="A19" s="28" t="s">
        <v>101</v>
      </c>
      <c r="B19" s="29" t="s">
        <v>102</v>
      </c>
      <c r="C19" s="29" t="s">
        <v>69</v>
      </c>
      <c r="D19" s="21" t="n">
        <v>29259102</v>
      </c>
      <c r="E19" s="21" t="str">
        <f aca="false">+CONCATENATE(Tabla[[#This Row],[RUT]],Tabla[[#This Row],[PROVEEDOR]],Tabla[[#This Row],[FACTURA]])</f>
        <v>97006000-6BANCO DE CREDITO E INVERSIONES29259102</v>
      </c>
      <c r="F19" s="30" t="n">
        <v>46030</v>
      </c>
      <c r="G19" s="31" t="n">
        <f aca="false">+F19+30</f>
        <v>46060</v>
      </c>
      <c r="H19" s="29" t="n">
        <f aca="true">+IF(AE19="PAGADA",0,TODAY()-G19)</f>
        <v>0</v>
      </c>
      <c r="I19" s="29" t="str">
        <f aca="false">+IF(H19&gt;180,"Atrasada",IF(H19&gt;150,"150 dias",IF(H19&gt;120,"120 dias",IF(H19&gt;90,"90 dias",IF(H19&gt;60,"60 dias",IF(H19&gt;30,"30 dias","Al Día"))))))</f>
        <v>Al Día</v>
      </c>
      <c r="J19" s="32" t="s">
        <v>31</v>
      </c>
      <c r="K19" s="29" t="s">
        <v>71</v>
      </c>
      <c r="L19" s="33" t="s">
        <v>72</v>
      </c>
      <c r="M19" s="29" t="n">
        <f aca="false">+YEAR(F19)</f>
        <v>2026</v>
      </c>
      <c r="N19" s="29" t="n">
        <v>2026</v>
      </c>
      <c r="O19" s="29" t="n">
        <v>1</v>
      </c>
      <c r="P19" s="29" t="str">
        <f aca="false">+CONCATENATE(Tabla[[#This Row],[MES CAMPAÑA]],"/",Tabla[[#This Row],[AÑO CAMPAÑA]])</f>
        <v>1/2026</v>
      </c>
      <c r="Q19" s="29" t="s">
        <v>73</v>
      </c>
      <c r="R19" s="29" t="s">
        <v>74</v>
      </c>
      <c r="S19" s="34" t="n">
        <v>0</v>
      </c>
      <c r="T19" s="34" t="n">
        <v>3336</v>
      </c>
      <c r="U19" s="34" t="n">
        <v>634</v>
      </c>
      <c r="V19" s="29"/>
      <c r="W19" s="35" t="n">
        <v>3970</v>
      </c>
      <c r="X19" s="36" t="n">
        <f aca="false">+Tabla[[#This Row],[TOTAL]]</f>
        <v>3970</v>
      </c>
      <c r="Y19" s="37"/>
      <c r="Z19" s="37"/>
      <c r="AA19" s="37"/>
      <c r="AB19" s="38" t="n">
        <f aca="false">+W19-AC19</f>
        <v>0</v>
      </c>
      <c r="AC19" s="34" t="n">
        <f aca="false">+Tabla[[#This Row],[P4]]+Tabla[[#This Row],[P3]]+Tabla[[#This Row],[P2]]+Tabla[[#This Row],[P1]]</f>
        <v>3970</v>
      </c>
      <c r="AD19" s="34" t="n">
        <f aca="false">+W19-AC19</f>
        <v>0</v>
      </c>
      <c r="AE19" s="21" t="str">
        <f aca="false">IF(AB19&lt;1,"PAGADA","PENDIENTE")</f>
        <v>PAGADA</v>
      </c>
      <c r="AF19" s="21"/>
      <c r="AG19" s="29"/>
      <c r="AH19" s="40"/>
      <c r="AI19" s="40" t="n">
        <f aca="false">+IF(Tabla[[#This Row],[FECHA PAGO / ABONO]]&lt;1,0,(MONTH(Tabla[[#This Row],[FECHA PAGO / ABONO]])))</f>
        <v>0</v>
      </c>
      <c r="AJ19" s="40" t="n">
        <f aca="false">+IF(Tabla[[#This Row],[FECHA PAGO / ABONO]]&lt;1,0,(YEAR(Tabla[[#This Row],[FECHA PAGO / ABONO]])))</f>
        <v>0</v>
      </c>
      <c r="AK19" s="41"/>
    </row>
    <row r="20" customFormat="false" ht="14.25" hidden="false" customHeight="false" outlineLevel="0" collapsed="false">
      <c r="A20" s="28" t="s">
        <v>101</v>
      </c>
      <c r="B20" s="29" t="s">
        <v>102</v>
      </c>
      <c r="C20" s="29" t="s">
        <v>69</v>
      </c>
      <c r="D20" s="21" t="n">
        <v>29259103</v>
      </c>
      <c r="E20" s="21" t="str">
        <f aca="false">+CONCATENATE(Tabla[[#This Row],[RUT]],Tabla[[#This Row],[PROVEEDOR]],Tabla[[#This Row],[FACTURA]])</f>
        <v>97006000-6BANCO DE CREDITO E INVERSIONES29259103</v>
      </c>
      <c r="F20" s="30" t="n">
        <v>46030</v>
      </c>
      <c r="G20" s="31" t="n">
        <f aca="false">+F20+30</f>
        <v>46060</v>
      </c>
      <c r="H20" s="29" t="n">
        <f aca="true">+IF(AE20="PAGADA",0,TODAY()-G20)</f>
        <v>0</v>
      </c>
      <c r="I20" s="29" t="str">
        <f aca="false">+IF(H20&gt;180,"Atrasada",IF(H20&gt;150,"150 dias",IF(H20&gt;120,"120 dias",IF(H20&gt;90,"90 dias",IF(H20&gt;60,"60 dias",IF(H20&gt;30,"30 dias","Al Día"))))))</f>
        <v>Al Día</v>
      </c>
      <c r="J20" s="32" t="s">
        <v>31</v>
      </c>
      <c r="K20" s="29" t="s">
        <v>71</v>
      </c>
      <c r="L20" s="33" t="s">
        <v>72</v>
      </c>
      <c r="M20" s="29" t="n">
        <f aca="false">+YEAR(F20)</f>
        <v>2026</v>
      </c>
      <c r="N20" s="29" t="n">
        <v>2026</v>
      </c>
      <c r="O20" s="29" t="n">
        <v>1</v>
      </c>
      <c r="P20" s="29" t="str">
        <f aca="false">+CONCATENATE(Tabla[[#This Row],[MES CAMPAÑA]],"/",Tabla[[#This Row],[AÑO CAMPAÑA]])</f>
        <v>1/2026</v>
      </c>
      <c r="Q20" s="29" t="s">
        <v>73</v>
      </c>
      <c r="R20" s="29" t="s">
        <v>74</v>
      </c>
      <c r="S20" s="34" t="n">
        <v>0</v>
      </c>
      <c r="T20" s="34" t="n">
        <v>1192</v>
      </c>
      <c r="U20" s="34" t="n">
        <v>226</v>
      </c>
      <c r="V20" s="29"/>
      <c r="W20" s="35" t="n">
        <v>1418</v>
      </c>
      <c r="X20" s="36" t="n">
        <f aca="false">+Tabla[[#This Row],[TOTAL]]</f>
        <v>1418</v>
      </c>
      <c r="Y20" s="37"/>
      <c r="Z20" s="37"/>
      <c r="AA20" s="37"/>
      <c r="AB20" s="38" t="n">
        <f aca="false">+W20-AC20</f>
        <v>0</v>
      </c>
      <c r="AC20" s="34" t="n">
        <f aca="false">+Tabla[[#This Row],[P4]]+Tabla[[#This Row],[P3]]+Tabla[[#This Row],[P2]]+Tabla[[#This Row],[P1]]</f>
        <v>1418</v>
      </c>
      <c r="AD20" s="34" t="n">
        <f aca="false">+W20-AC20</f>
        <v>0</v>
      </c>
      <c r="AE20" s="21" t="str">
        <f aca="false">IF(AB20&lt;1,"PAGADA","PENDIENTE")</f>
        <v>PAGADA</v>
      </c>
      <c r="AF20" s="21"/>
      <c r="AG20" s="29"/>
      <c r="AH20" s="40"/>
      <c r="AI20" s="40" t="n">
        <f aca="false">+IF(Tabla[[#This Row],[FECHA PAGO / ABONO]]&lt;1,0,(MONTH(Tabla[[#This Row],[FECHA PAGO / ABONO]])))</f>
        <v>0</v>
      </c>
      <c r="AJ20" s="40" t="n">
        <f aca="false">+IF(Tabla[[#This Row],[FECHA PAGO / ABONO]]&lt;1,0,(YEAR(Tabla[[#This Row],[FECHA PAGO / ABONO]])))</f>
        <v>0</v>
      </c>
      <c r="AK20" s="41"/>
    </row>
    <row r="21" customFormat="false" ht="14.25" hidden="false" customHeight="false" outlineLevel="0" collapsed="false">
      <c r="A21" s="28" t="s">
        <v>101</v>
      </c>
      <c r="B21" s="29" t="s">
        <v>102</v>
      </c>
      <c r="C21" s="29" t="s">
        <v>69</v>
      </c>
      <c r="D21" s="21" t="n">
        <v>29259104</v>
      </c>
      <c r="E21" s="21" t="str">
        <f aca="false">+CONCATENATE(Tabla[[#This Row],[RUT]],Tabla[[#This Row],[PROVEEDOR]],Tabla[[#This Row],[FACTURA]])</f>
        <v>97006000-6BANCO DE CREDITO E INVERSIONES29259104</v>
      </c>
      <c r="F21" s="30" t="n">
        <v>46030</v>
      </c>
      <c r="G21" s="31" t="n">
        <f aca="false">+F21+30</f>
        <v>46060</v>
      </c>
      <c r="H21" s="29" t="n">
        <f aca="true">+IF(AE21="PAGADA",0,TODAY()-G21)</f>
        <v>0</v>
      </c>
      <c r="I21" s="29" t="str">
        <f aca="false">+IF(H21&gt;180,"Atrasada",IF(H21&gt;150,"150 dias",IF(H21&gt;120,"120 dias",IF(H21&gt;90,"90 dias",IF(H21&gt;60,"60 dias",IF(H21&gt;30,"30 dias","Al Día"))))))</f>
        <v>Al Día</v>
      </c>
      <c r="J21" s="32" t="s">
        <v>31</v>
      </c>
      <c r="K21" s="29" t="s">
        <v>71</v>
      </c>
      <c r="L21" s="33" t="s">
        <v>72</v>
      </c>
      <c r="M21" s="29" t="n">
        <f aca="false">+YEAR(F21)</f>
        <v>2026</v>
      </c>
      <c r="N21" s="29" t="n">
        <v>2026</v>
      </c>
      <c r="O21" s="29" t="n">
        <v>1</v>
      </c>
      <c r="P21" s="29" t="str">
        <f aca="false">+CONCATENATE(Tabla[[#This Row],[MES CAMPAÑA]],"/",Tabla[[#This Row],[AÑO CAMPAÑA]])</f>
        <v>1/2026</v>
      </c>
      <c r="Q21" s="29" t="s">
        <v>73</v>
      </c>
      <c r="R21" s="29" t="s">
        <v>74</v>
      </c>
      <c r="S21" s="34" t="n">
        <v>0</v>
      </c>
      <c r="T21" s="34" t="n">
        <v>2145</v>
      </c>
      <c r="U21" s="34" t="n">
        <v>407</v>
      </c>
      <c r="V21" s="29"/>
      <c r="W21" s="35" t="n">
        <v>2552</v>
      </c>
      <c r="X21" s="36" t="n">
        <f aca="false">+Tabla[[#This Row],[TOTAL]]</f>
        <v>2552</v>
      </c>
      <c r="Y21" s="37"/>
      <c r="Z21" s="37"/>
      <c r="AA21" s="37"/>
      <c r="AB21" s="38" t="n">
        <f aca="false">+W21-AC21</f>
        <v>0</v>
      </c>
      <c r="AC21" s="34" t="n">
        <f aca="false">+Tabla[[#This Row],[P4]]+Tabla[[#This Row],[P3]]+Tabla[[#This Row],[P2]]+Tabla[[#This Row],[P1]]</f>
        <v>2552</v>
      </c>
      <c r="AD21" s="34" t="n">
        <f aca="false">+W21-AC21</f>
        <v>0</v>
      </c>
      <c r="AE21" s="21" t="str">
        <f aca="false">IF(AB21&lt;1,"PAGADA","PENDIENTE")</f>
        <v>PAGADA</v>
      </c>
      <c r="AF21" s="21"/>
      <c r="AG21" s="29"/>
      <c r="AH21" s="40"/>
      <c r="AI21" s="40" t="n">
        <f aca="false">+IF(Tabla[[#This Row],[FECHA PAGO / ABONO]]&lt;1,0,(MONTH(Tabla[[#This Row],[FECHA PAGO / ABONO]])))</f>
        <v>0</v>
      </c>
      <c r="AJ21" s="40" t="n">
        <f aca="false">+IF(Tabla[[#This Row],[FECHA PAGO / ABONO]]&lt;1,0,(YEAR(Tabla[[#This Row],[FECHA PAGO / ABONO]])))</f>
        <v>0</v>
      </c>
      <c r="AK21" s="41"/>
    </row>
    <row r="22" customFormat="false" ht="14.25" hidden="false" customHeight="false" outlineLevel="0" collapsed="false">
      <c r="A22" s="28" t="s">
        <v>101</v>
      </c>
      <c r="B22" s="29" t="s">
        <v>102</v>
      </c>
      <c r="C22" s="29" t="s">
        <v>69</v>
      </c>
      <c r="D22" s="21" t="n">
        <v>29259105</v>
      </c>
      <c r="E22" s="21" t="str">
        <f aca="false">+CONCATENATE(Tabla[[#This Row],[RUT]],Tabla[[#This Row],[PROVEEDOR]],Tabla[[#This Row],[FACTURA]])</f>
        <v>97006000-6BANCO DE CREDITO E INVERSIONES29259105</v>
      </c>
      <c r="F22" s="30" t="n">
        <v>46030</v>
      </c>
      <c r="G22" s="31" t="n">
        <f aca="false">+F22+30</f>
        <v>46060</v>
      </c>
      <c r="H22" s="29" t="n">
        <f aca="true">+IF(AE22="PAGADA",0,TODAY()-G22)</f>
        <v>0</v>
      </c>
      <c r="I22" s="29" t="str">
        <f aca="false">+IF(H22&gt;180,"Atrasada",IF(H22&gt;150,"150 dias",IF(H22&gt;120,"120 dias",IF(H22&gt;90,"90 dias",IF(H22&gt;60,"60 dias",IF(H22&gt;30,"30 dias","Al Día"))))))</f>
        <v>Al Día</v>
      </c>
      <c r="J22" s="32" t="s">
        <v>31</v>
      </c>
      <c r="K22" s="29" t="s">
        <v>71</v>
      </c>
      <c r="L22" s="33" t="s">
        <v>72</v>
      </c>
      <c r="M22" s="29" t="n">
        <f aca="false">+YEAR(F22)</f>
        <v>2026</v>
      </c>
      <c r="N22" s="29" t="n">
        <v>2026</v>
      </c>
      <c r="O22" s="29" t="n">
        <v>1</v>
      </c>
      <c r="P22" s="29" t="str">
        <f aca="false">+CONCATENATE(Tabla[[#This Row],[MES CAMPAÑA]],"/",Tabla[[#This Row],[AÑO CAMPAÑA]])</f>
        <v>1/2026</v>
      </c>
      <c r="Q22" s="29" t="s">
        <v>73</v>
      </c>
      <c r="R22" s="29" t="s">
        <v>74</v>
      </c>
      <c r="S22" s="34" t="n">
        <v>0</v>
      </c>
      <c r="T22" s="34" t="n">
        <v>2145</v>
      </c>
      <c r="U22" s="34" t="n">
        <v>407</v>
      </c>
      <c r="V22" s="29"/>
      <c r="W22" s="35" t="n">
        <v>2552</v>
      </c>
      <c r="X22" s="36" t="n">
        <f aca="false">+Tabla[[#This Row],[TOTAL]]</f>
        <v>2552</v>
      </c>
      <c r="Y22" s="37"/>
      <c r="Z22" s="37"/>
      <c r="AA22" s="37"/>
      <c r="AB22" s="38" t="n">
        <f aca="false">+W22-AC22</f>
        <v>0</v>
      </c>
      <c r="AC22" s="34" t="n">
        <f aca="false">+Tabla[[#This Row],[P4]]+Tabla[[#This Row],[P3]]+Tabla[[#This Row],[P2]]+Tabla[[#This Row],[P1]]</f>
        <v>2552</v>
      </c>
      <c r="AD22" s="34" t="n">
        <f aca="false">+W22-AC22</f>
        <v>0</v>
      </c>
      <c r="AE22" s="21" t="str">
        <f aca="false">IF(AB22&lt;1,"PAGADA","PENDIENTE")</f>
        <v>PAGADA</v>
      </c>
      <c r="AF22" s="21"/>
      <c r="AG22" s="29"/>
      <c r="AH22" s="40"/>
      <c r="AI22" s="40" t="n">
        <f aca="false">+IF(Tabla[[#This Row],[FECHA PAGO / ABONO]]&lt;1,0,(MONTH(Tabla[[#This Row],[FECHA PAGO / ABONO]])))</f>
        <v>0</v>
      </c>
      <c r="AJ22" s="40" t="n">
        <f aca="false">+IF(Tabla[[#This Row],[FECHA PAGO / ABONO]]&lt;1,0,(YEAR(Tabla[[#This Row],[FECHA PAGO / ABONO]])))</f>
        <v>0</v>
      </c>
      <c r="AK22" s="41"/>
    </row>
    <row r="23" customFormat="false" ht="14.25" hidden="false" customHeight="false" outlineLevel="0" collapsed="false">
      <c r="A23" s="28" t="s">
        <v>101</v>
      </c>
      <c r="B23" s="29" t="s">
        <v>102</v>
      </c>
      <c r="C23" s="29" t="s">
        <v>69</v>
      </c>
      <c r="D23" s="21" t="n">
        <v>29259106</v>
      </c>
      <c r="E23" s="21" t="str">
        <f aca="false">+CONCATENATE(Tabla[[#This Row],[RUT]],Tabla[[#This Row],[PROVEEDOR]],Tabla[[#This Row],[FACTURA]])</f>
        <v>97006000-6BANCO DE CREDITO E INVERSIONES29259106</v>
      </c>
      <c r="F23" s="30" t="n">
        <v>46030</v>
      </c>
      <c r="G23" s="31" t="n">
        <f aca="false">+F23+30</f>
        <v>46060</v>
      </c>
      <c r="H23" s="29" t="n">
        <f aca="true">+IF(AE23="PAGADA",0,TODAY()-G23)</f>
        <v>0</v>
      </c>
      <c r="I23" s="29" t="str">
        <f aca="false">+IF(H23&gt;180,"Atrasada",IF(H23&gt;150,"150 dias",IF(H23&gt;120,"120 dias",IF(H23&gt;90,"90 dias",IF(H23&gt;60,"60 dias",IF(H23&gt;30,"30 dias","Al Día"))))))</f>
        <v>Al Día</v>
      </c>
      <c r="J23" s="32" t="s">
        <v>31</v>
      </c>
      <c r="K23" s="29" t="s">
        <v>71</v>
      </c>
      <c r="L23" s="33" t="s">
        <v>72</v>
      </c>
      <c r="M23" s="29" t="n">
        <f aca="false">+YEAR(F23)</f>
        <v>2026</v>
      </c>
      <c r="N23" s="29" t="n">
        <v>2026</v>
      </c>
      <c r="O23" s="29" t="n">
        <v>1</v>
      </c>
      <c r="P23" s="29" t="str">
        <f aca="false">+CONCATENATE(Tabla[[#This Row],[MES CAMPAÑA]],"/",Tabla[[#This Row],[AÑO CAMPAÑA]])</f>
        <v>1/2026</v>
      </c>
      <c r="Q23" s="29" t="s">
        <v>73</v>
      </c>
      <c r="R23" s="29" t="s">
        <v>74</v>
      </c>
      <c r="S23" s="34" t="n">
        <v>0</v>
      </c>
      <c r="T23" s="34" t="n">
        <v>2081</v>
      </c>
      <c r="U23" s="34" t="n">
        <v>395</v>
      </c>
      <c r="V23" s="29"/>
      <c r="W23" s="35" t="n">
        <v>2476</v>
      </c>
      <c r="X23" s="36" t="n">
        <f aca="false">+Tabla[[#This Row],[TOTAL]]</f>
        <v>2476</v>
      </c>
      <c r="Y23" s="37"/>
      <c r="Z23" s="37"/>
      <c r="AA23" s="37"/>
      <c r="AB23" s="38" t="n">
        <f aca="false">+W23-AC23</f>
        <v>0</v>
      </c>
      <c r="AC23" s="34" t="n">
        <f aca="false">+Tabla[[#This Row],[P4]]+Tabla[[#This Row],[P3]]+Tabla[[#This Row],[P2]]+Tabla[[#This Row],[P1]]</f>
        <v>2476</v>
      </c>
      <c r="AD23" s="34" t="n">
        <f aca="false">+W23-AC23</f>
        <v>0</v>
      </c>
      <c r="AE23" s="21" t="str">
        <f aca="false">IF(AB23&lt;1,"PAGADA","PENDIENTE")</f>
        <v>PAGADA</v>
      </c>
      <c r="AF23" s="21"/>
      <c r="AG23" s="29"/>
      <c r="AH23" s="40"/>
      <c r="AI23" s="40" t="n">
        <f aca="false">+IF(Tabla[[#This Row],[FECHA PAGO / ABONO]]&lt;1,0,(MONTH(Tabla[[#This Row],[FECHA PAGO / ABONO]])))</f>
        <v>0</v>
      </c>
      <c r="AJ23" s="40" t="n">
        <f aca="false">+IF(Tabla[[#This Row],[FECHA PAGO / ABONO]]&lt;1,0,(YEAR(Tabla[[#This Row],[FECHA PAGO / ABONO]])))</f>
        <v>0</v>
      </c>
      <c r="AK23" s="41"/>
    </row>
    <row r="24" customFormat="false" ht="14.25" hidden="false" customHeight="false" outlineLevel="0" collapsed="false">
      <c r="A24" s="28" t="s">
        <v>101</v>
      </c>
      <c r="B24" s="29" t="s">
        <v>102</v>
      </c>
      <c r="C24" s="29" t="s">
        <v>69</v>
      </c>
      <c r="D24" s="21" t="n">
        <v>29259107</v>
      </c>
      <c r="E24" s="21" t="str">
        <f aca="false">+CONCATENATE(Tabla[[#This Row],[RUT]],Tabla[[#This Row],[PROVEEDOR]],Tabla[[#This Row],[FACTURA]])</f>
        <v>97006000-6BANCO DE CREDITO E INVERSIONES29259107</v>
      </c>
      <c r="F24" s="30" t="n">
        <v>46030</v>
      </c>
      <c r="G24" s="31" t="n">
        <f aca="false">+F24+30</f>
        <v>46060</v>
      </c>
      <c r="H24" s="29" t="n">
        <f aca="true">+IF(AE24="PAGADA",0,TODAY()-G24)</f>
        <v>0</v>
      </c>
      <c r="I24" s="29" t="str">
        <f aca="false">+IF(H24&gt;180,"Atrasada",IF(H24&gt;150,"150 dias",IF(H24&gt;120,"120 dias",IF(H24&gt;90,"90 dias",IF(H24&gt;60,"60 dias",IF(H24&gt;30,"30 dias","Al Día"))))))</f>
        <v>Al Día</v>
      </c>
      <c r="J24" s="32" t="s">
        <v>31</v>
      </c>
      <c r="K24" s="29" t="s">
        <v>71</v>
      </c>
      <c r="L24" s="33" t="s">
        <v>72</v>
      </c>
      <c r="M24" s="29" t="n">
        <f aca="false">+YEAR(F24)</f>
        <v>2026</v>
      </c>
      <c r="N24" s="29" t="n">
        <v>2026</v>
      </c>
      <c r="O24" s="29" t="n">
        <v>1</v>
      </c>
      <c r="P24" s="29" t="str">
        <f aca="false">+CONCATENATE(Tabla[[#This Row],[MES CAMPAÑA]],"/",Tabla[[#This Row],[AÑO CAMPAÑA]])</f>
        <v>1/2026</v>
      </c>
      <c r="Q24" s="29" t="s">
        <v>73</v>
      </c>
      <c r="R24" s="29" t="s">
        <v>74</v>
      </c>
      <c r="S24" s="34" t="n">
        <v>0</v>
      </c>
      <c r="T24" s="34" t="n">
        <v>1255</v>
      </c>
      <c r="U24" s="34" t="n">
        <v>239</v>
      </c>
      <c r="V24" s="29"/>
      <c r="W24" s="35" t="n">
        <v>1494</v>
      </c>
      <c r="X24" s="36" t="n">
        <f aca="false">+Tabla[[#This Row],[TOTAL]]</f>
        <v>1494</v>
      </c>
      <c r="Y24" s="37"/>
      <c r="Z24" s="37"/>
      <c r="AA24" s="37"/>
      <c r="AB24" s="38" t="n">
        <f aca="false">+W24-AC24</f>
        <v>0</v>
      </c>
      <c r="AC24" s="34" t="n">
        <f aca="false">+Tabla[[#This Row],[P4]]+Tabla[[#This Row],[P3]]+Tabla[[#This Row],[P2]]+Tabla[[#This Row],[P1]]</f>
        <v>1494</v>
      </c>
      <c r="AD24" s="34" t="n">
        <f aca="false">+W24-AC24</f>
        <v>0</v>
      </c>
      <c r="AE24" s="21" t="str">
        <f aca="false">IF(AB24&lt;1,"PAGADA","PENDIENTE")</f>
        <v>PAGADA</v>
      </c>
      <c r="AF24" s="21"/>
      <c r="AG24" s="29"/>
      <c r="AH24" s="40"/>
      <c r="AI24" s="40" t="n">
        <f aca="false">+IF(Tabla[[#This Row],[FECHA PAGO / ABONO]]&lt;1,0,(MONTH(Tabla[[#This Row],[FECHA PAGO / ABONO]])))</f>
        <v>0</v>
      </c>
      <c r="AJ24" s="40" t="n">
        <f aca="false">+IF(Tabla[[#This Row],[FECHA PAGO / ABONO]]&lt;1,0,(YEAR(Tabla[[#This Row],[FECHA PAGO / ABONO]])))</f>
        <v>0</v>
      </c>
      <c r="AK24" s="41"/>
    </row>
    <row r="25" customFormat="false" ht="14.25" hidden="false" customHeight="false" outlineLevel="0" collapsed="false">
      <c r="A25" s="28" t="s">
        <v>101</v>
      </c>
      <c r="B25" s="29" t="s">
        <v>102</v>
      </c>
      <c r="C25" s="29" t="s">
        <v>69</v>
      </c>
      <c r="D25" s="21" t="n">
        <v>29259108</v>
      </c>
      <c r="E25" s="21" t="str">
        <f aca="false">+CONCATENATE(Tabla[[#This Row],[RUT]],Tabla[[#This Row],[PROVEEDOR]],Tabla[[#This Row],[FACTURA]])</f>
        <v>97006000-6BANCO DE CREDITO E INVERSIONES29259108</v>
      </c>
      <c r="F25" s="30" t="n">
        <v>46030</v>
      </c>
      <c r="G25" s="31" t="n">
        <f aca="false">+F25+30</f>
        <v>46060</v>
      </c>
      <c r="H25" s="29" t="n">
        <f aca="true">+IF(AE25="PAGADA",0,TODAY()-G25)</f>
        <v>0</v>
      </c>
      <c r="I25" s="29" t="str">
        <f aca="false">+IF(H25&gt;180,"Atrasada",IF(H25&gt;150,"150 dias",IF(H25&gt;120,"120 dias",IF(H25&gt;90,"90 dias",IF(H25&gt;60,"60 dias",IF(H25&gt;30,"30 dias","Al Día"))))))</f>
        <v>Al Día</v>
      </c>
      <c r="J25" s="32" t="s">
        <v>31</v>
      </c>
      <c r="K25" s="29" t="s">
        <v>71</v>
      </c>
      <c r="L25" s="33" t="s">
        <v>72</v>
      </c>
      <c r="M25" s="29" t="n">
        <f aca="false">+YEAR(F25)</f>
        <v>2026</v>
      </c>
      <c r="N25" s="29" t="n">
        <v>2026</v>
      </c>
      <c r="O25" s="29" t="n">
        <v>1</v>
      </c>
      <c r="P25" s="29" t="str">
        <f aca="false">+CONCATENATE(Tabla[[#This Row],[MES CAMPAÑA]],"/",Tabla[[#This Row],[AÑO CAMPAÑA]])</f>
        <v>1/2026</v>
      </c>
      <c r="Q25" s="29" t="s">
        <v>73</v>
      </c>
      <c r="R25" s="29" t="s">
        <v>74</v>
      </c>
      <c r="S25" s="34" t="n">
        <v>0</v>
      </c>
      <c r="T25" s="34" t="n">
        <v>53922</v>
      </c>
      <c r="U25" s="34" t="n">
        <v>10245</v>
      </c>
      <c r="V25" s="29"/>
      <c r="W25" s="35" t="n">
        <v>64167</v>
      </c>
      <c r="X25" s="36" t="n">
        <f aca="false">+Tabla[[#This Row],[TOTAL]]</f>
        <v>64167</v>
      </c>
      <c r="Y25" s="37"/>
      <c r="Z25" s="37"/>
      <c r="AA25" s="37"/>
      <c r="AB25" s="38" t="n">
        <f aca="false">+W25-AC25</f>
        <v>0</v>
      </c>
      <c r="AC25" s="34" t="n">
        <f aca="false">+Tabla[[#This Row],[P4]]+Tabla[[#This Row],[P3]]+Tabla[[#This Row],[P2]]+Tabla[[#This Row],[P1]]</f>
        <v>64167</v>
      </c>
      <c r="AD25" s="34" t="n">
        <f aca="false">+W25-AC25</f>
        <v>0</v>
      </c>
      <c r="AE25" s="21" t="str">
        <f aca="false">IF(AB25&lt;1,"PAGADA","PENDIENTE")</f>
        <v>PAGADA</v>
      </c>
      <c r="AF25" s="21"/>
      <c r="AG25" s="29"/>
      <c r="AH25" s="40"/>
      <c r="AI25" s="40" t="n">
        <f aca="false">+IF(Tabla[[#This Row],[FECHA PAGO / ABONO]]&lt;1,0,(MONTH(Tabla[[#This Row],[FECHA PAGO / ABONO]])))</f>
        <v>0</v>
      </c>
      <c r="AJ25" s="40" t="n">
        <f aca="false">+IF(Tabla[[#This Row],[FECHA PAGO / ABONO]]&lt;1,0,(YEAR(Tabla[[#This Row],[FECHA PAGO / ABONO]])))</f>
        <v>0</v>
      </c>
      <c r="AK25" s="41"/>
    </row>
    <row r="26" customFormat="false" ht="14.25" hidden="false" customHeight="false" outlineLevel="0" collapsed="false">
      <c r="A26" s="28" t="s">
        <v>101</v>
      </c>
      <c r="B26" s="29" t="s">
        <v>102</v>
      </c>
      <c r="C26" s="29" t="s">
        <v>69</v>
      </c>
      <c r="D26" s="21" t="n">
        <v>29259109</v>
      </c>
      <c r="E26" s="21" t="str">
        <f aca="false">+CONCATENATE(Tabla[[#This Row],[RUT]],Tabla[[#This Row],[PROVEEDOR]],Tabla[[#This Row],[FACTURA]])</f>
        <v>97006000-6BANCO DE CREDITO E INVERSIONES29259109</v>
      </c>
      <c r="F26" s="30" t="n">
        <v>46030</v>
      </c>
      <c r="G26" s="31" t="n">
        <f aca="false">+F26+30</f>
        <v>46060</v>
      </c>
      <c r="H26" s="29" t="n">
        <f aca="true">+IF(AE26="PAGADA",0,TODAY()-G26)</f>
        <v>0</v>
      </c>
      <c r="I26" s="29" t="str">
        <f aca="false">+IF(H26&gt;180,"Atrasada",IF(H26&gt;150,"150 dias",IF(H26&gt;120,"120 dias",IF(H26&gt;90,"90 dias",IF(H26&gt;60,"60 dias",IF(H26&gt;30,"30 dias","Al Día"))))))</f>
        <v>Al Día</v>
      </c>
      <c r="J26" s="32" t="s">
        <v>31</v>
      </c>
      <c r="K26" s="29" t="s">
        <v>71</v>
      </c>
      <c r="L26" s="33" t="s">
        <v>72</v>
      </c>
      <c r="M26" s="29" t="n">
        <f aca="false">+YEAR(F26)</f>
        <v>2026</v>
      </c>
      <c r="N26" s="29" t="n">
        <v>2026</v>
      </c>
      <c r="O26" s="29" t="n">
        <v>1</v>
      </c>
      <c r="P26" s="29" t="str">
        <f aca="false">+CONCATENATE(Tabla[[#This Row],[MES CAMPAÑA]],"/",Tabla[[#This Row],[AÑO CAMPAÑA]])</f>
        <v>1/2026</v>
      </c>
      <c r="Q26" s="29" t="s">
        <v>73</v>
      </c>
      <c r="R26" s="29" t="s">
        <v>74</v>
      </c>
      <c r="S26" s="34" t="n">
        <v>0</v>
      </c>
      <c r="T26" s="34" t="n">
        <v>1013</v>
      </c>
      <c r="U26" s="34" t="n">
        <v>193</v>
      </c>
      <c r="V26" s="29"/>
      <c r="W26" s="35" t="n">
        <v>1206</v>
      </c>
      <c r="X26" s="36" t="n">
        <f aca="false">+Tabla[[#This Row],[TOTAL]]</f>
        <v>1206</v>
      </c>
      <c r="Y26" s="37"/>
      <c r="Z26" s="37"/>
      <c r="AA26" s="37"/>
      <c r="AB26" s="38" t="n">
        <f aca="false">+W26-AC26</f>
        <v>0</v>
      </c>
      <c r="AC26" s="34" t="n">
        <f aca="false">+Tabla[[#This Row],[P4]]+Tabla[[#This Row],[P3]]+Tabla[[#This Row],[P2]]+Tabla[[#This Row],[P1]]</f>
        <v>1206</v>
      </c>
      <c r="AD26" s="34" t="n">
        <f aca="false">+W26-AC26</f>
        <v>0</v>
      </c>
      <c r="AE26" s="21" t="str">
        <f aca="false">IF(AB26&lt;1,"PAGADA","PENDIENTE")</f>
        <v>PAGADA</v>
      </c>
      <c r="AF26" s="21"/>
      <c r="AG26" s="29"/>
      <c r="AH26" s="40"/>
      <c r="AI26" s="40" t="n">
        <f aca="false">+IF(Tabla[[#This Row],[FECHA PAGO / ABONO]]&lt;1,0,(MONTH(Tabla[[#This Row],[FECHA PAGO / ABONO]])))</f>
        <v>0</v>
      </c>
      <c r="AJ26" s="40" t="n">
        <f aca="false">+IF(Tabla[[#This Row],[FECHA PAGO / ABONO]]&lt;1,0,(YEAR(Tabla[[#This Row],[FECHA PAGO / ABONO]])))</f>
        <v>0</v>
      </c>
      <c r="AK26" s="41"/>
    </row>
    <row r="27" customFormat="false" ht="14.25" hidden="false" customHeight="false" outlineLevel="0" collapsed="false">
      <c r="A27" s="28" t="s">
        <v>101</v>
      </c>
      <c r="B27" s="29" t="s">
        <v>102</v>
      </c>
      <c r="C27" s="29" t="s">
        <v>69</v>
      </c>
      <c r="D27" s="21" t="n">
        <v>29259110</v>
      </c>
      <c r="E27" s="21" t="str">
        <f aca="false">+CONCATENATE(Tabla[[#This Row],[RUT]],Tabla[[#This Row],[PROVEEDOR]],Tabla[[#This Row],[FACTURA]])</f>
        <v>97006000-6BANCO DE CREDITO E INVERSIONES29259110</v>
      </c>
      <c r="F27" s="30" t="n">
        <v>46030</v>
      </c>
      <c r="G27" s="31" t="n">
        <f aca="false">+F27+30</f>
        <v>46060</v>
      </c>
      <c r="H27" s="29" t="n">
        <f aca="true">+IF(AE27="PAGADA",0,TODAY()-G27)</f>
        <v>0</v>
      </c>
      <c r="I27" s="29" t="str">
        <f aca="false">+IF(H27&gt;180,"Atrasada",IF(H27&gt;150,"150 dias",IF(H27&gt;120,"120 dias",IF(H27&gt;90,"90 dias",IF(H27&gt;60,"60 dias",IF(H27&gt;30,"30 dias","Al Día"))))))</f>
        <v>Al Día</v>
      </c>
      <c r="J27" s="32" t="s">
        <v>31</v>
      </c>
      <c r="K27" s="29" t="s">
        <v>71</v>
      </c>
      <c r="L27" s="33" t="s">
        <v>72</v>
      </c>
      <c r="M27" s="29" t="n">
        <f aca="false">+YEAR(F27)</f>
        <v>2026</v>
      </c>
      <c r="N27" s="29" t="n">
        <v>2026</v>
      </c>
      <c r="O27" s="29" t="n">
        <v>1</v>
      </c>
      <c r="P27" s="29" t="str">
        <f aca="false">+CONCATENATE(Tabla[[#This Row],[MES CAMPAÑA]],"/",Tabla[[#This Row],[AÑO CAMPAÑA]])</f>
        <v>1/2026</v>
      </c>
      <c r="Q27" s="29" t="s">
        <v>73</v>
      </c>
      <c r="R27" s="29" t="s">
        <v>74</v>
      </c>
      <c r="S27" s="34" t="n">
        <v>0</v>
      </c>
      <c r="T27" s="34" t="n">
        <v>2323</v>
      </c>
      <c r="U27" s="34" t="n">
        <v>441</v>
      </c>
      <c r="V27" s="29"/>
      <c r="W27" s="35" t="n">
        <v>2764</v>
      </c>
      <c r="X27" s="36" t="n">
        <f aca="false">+Tabla[[#This Row],[TOTAL]]</f>
        <v>2764</v>
      </c>
      <c r="Y27" s="37"/>
      <c r="Z27" s="37"/>
      <c r="AA27" s="37"/>
      <c r="AB27" s="38" t="n">
        <f aca="false">+W27-AC27</f>
        <v>0</v>
      </c>
      <c r="AC27" s="34" t="n">
        <f aca="false">+Tabla[[#This Row],[P4]]+Tabla[[#This Row],[P3]]+Tabla[[#This Row],[P2]]+Tabla[[#This Row],[P1]]</f>
        <v>2764</v>
      </c>
      <c r="AD27" s="34" t="n">
        <f aca="false">+W27-AC27</f>
        <v>0</v>
      </c>
      <c r="AE27" s="21" t="str">
        <f aca="false">IF(AB27&lt;1,"PAGADA","PENDIENTE")</f>
        <v>PAGADA</v>
      </c>
      <c r="AF27" s="21"/>
      <c r="AG27" s="29"/>
      <c r="AH27" s="40"/>
      <c r="AI27" s="40" t="n">
        <f aca="false">+IF(Tabla[[#This Row],[FECHA PAGO / ABONO]]&lt;1,0,(MONTH(Tabla[[#This Row],[FECHA PAGO / ABONO]])))</f>
        <v>0</v>
      </c>
      <c r="AJ27" s="40" t="n">
        <f aca="false">+IF(Tabla[[#This Row],[FECHA PAGO / ABONO]]&lt;1,0,(YEAR(Tabla[[#This Row],[FECHA PAGO / ABONO]])))</f>
        <v>0</v>
      </c>
      <c r="AK27" s="41"/>
    </row>
    <row r="28" customFormat="false" ht="14.25" hidden="false" customHeight="false" outlineLevel="0" collapsed="false">
      <c r="A28" s="28" t="s">
        <v>101</v>
      </c>
      <c r="B28" s="29" t="s">
        <v>102</v>
      </c>
      <c r="C28" s="29" t="s">
        <v>69</v>
      </c>
      <c r="D28" s="21" t="n">
        <v>29259111</v>
      </c>
      <c r="E28" s="21" t="str">
        <f aca="false">+CONCATENATE(Tabla[[#This Row],[RUT]],Tabla[[#This Row],[PROVEEDOR]],Tabla[[#This Row],[FACTURA]])</f>
        <v>97006000-6BANCO DE CREDITO E INVERSIONES29259111</v>
      </c>
      <c r="F28" s="30" t="n">
        <v>46030</v>
      </c>
      <c r="G28" s="31" t="n">
        <f aca="false">+F28+30</f>
        <v>46060</v>
      </c>
      <c r="H28" s="29" t="n">
        <f aca="true">+IF(AE28="PAGADA",0,TODAY()-G28)</f>
        <v>0</v>
      </c>
      <c r="I28" s="29" t="str">
        <f aca="false">+IF(H28&gt;180,"Atrasada",IF(H28&gt;150,"150 dias",IF(H28&gt;120,"120 dias",IF(H28&gt;90,"90 dias",IF(H28&gt;60,"60 dias",IF(H28&gt;30,"30 dias","Al Día"))))))</f>
        <v>Al Día</v>
      </c>
      <c r="J28" s="32" t="s">
        <v>31</v>
      </c>
      <c r="K28" s="29" t="s">
        <v>71</v>
      </c>
      <c r="L28" s="33" t="s">
        <v>72</v>
      </c>
      <c r="M28" s="29" t="n">
        <f aca="false">+YEAR(F28)</f>
        <v>2026</v>
      </c>
      <c r="N28" s="29" t="n">
        <v>2026</v>
      </c>
      <c r="O28" s="29" t="n">
        <v>1</v>
      </c>
      <c r="P28" s="29" t="str">
        <f aca="false">+CONCATENATE(Tabla[[#This Row],[MES CAMPAÑA]],"/",Tabla[[#This Row],[AÑO CAMPAÑA]])</f>
        <v>1/2026</v>
      </c>
      <c r="Q28" s="29" t="s">
        <v>73</v>
      </c>
      <c r="R28" s="29" t="s">
        <v>74</v>
      </c>
      <c r="S28" s="34" t="n">
        <v>0</v>
      </c>
      <c r="T28" s="34" t="n">
        <v>285948</v>
      </c>
      <c r="U28" s="34" t="n">
        <v>54331</v>
      </c>
      <c r="V28" s="29"/>
      <c r="W28" s="35" t="n">
        <v>340279</v>
      </c>
      <c r="X28" s="36" t="n">
        <f aca="false">+Tabla[[#This Row],[TOTAL]]</f>
        <v>340279</v>
      </c>
      <c r="Y28" s="37"/>
      <c r="Z28" s="37"/>
      <c r="AA28" s="37"/>
      <c r="AB28" s="38" t="n">
        <f aca="false">+W28-AC28</f>
        <v>0</v>
      </c>
      <c r="AC28" s="34" t="n">
        <f aca="false">+Tabla[[#This Row],[P4]]+Tabla[[#This Row],[P3]]+Tabla[[#This Row],[P2]]+Tabla[[#This Row],[P1]]</f>
        <v>340279</v>
      </c>
      <c r="AD28" s="34" t="n">
        <f aca="false">+W28-AC28</f>
        <v>0</v>
      </c>
      <c r="AE28" s="21" t="str">
        <f aca="false">IF(AB28&lt;1,"PAGADA","PENDIENTE")</f>
        <v>PAGADA</v>
      </c>
      <c r="AF28" s="21"/>
      <c r="AG28" s="29"/>
      <c r="AH28" s="40"/>
      <c r="AI28" s="40" t="n">
        <f aca="false">+IF(Tabla[[#This Row],[FECHA PAGO / ABONO]]&lt;1,0,(MONTH(Tabla[[#This Row],[FECHA PAGO / ABONO]])))</f>
        <v>0</v>
      </c>
      <c r="AJ28" s="40" t="n">
        <f aca="false">+IF(Tabla[[#This Row],[FECHA PAGO / ABONO]]&lt;1,0,(YEAR(Tabla[[#This Row],[FECHA PAGO / ABONO]])))</f>
        <v>0</v>
      </c>
      <c r="AK28" s="41"/>
    </row>
    <row r="29" customFormat="false" ht="14.25" hidden="false" customHeight="false" outlineLevel="0" collapsed="false">
      <c r="A29" s="28" t="s">
        <v>101</v>
      </c>
      <c r="B29" s="29" t="s">
        <v>102</v>
      </c>
      <c r="C29" s="29" t="s">
        <v>69</v>
      </c>
      <c r="D29" s="21" t="n">
        <v>29259112</v>
      </c>
      <c r="E29" s="21" t="str">
        <f aca="false">+CONCATENATE(Tabla[[#This Row],[RUT]],Tabla[[#This Row],[PROVEEDOR]],Tabla[[#This Row],[FACTURA]])</f>
        <v>97006000-6BANCO DE CREDITO E INVERSIONES29259112</v>
      </c>
      <c r="F29" s="30" t="n">
        <v>46030</v>
      </c>
      <c r="G29" s="31" t="n">
        <f aca="false">+F29+30</f>
        <v>46060</v>
      </c>
      <c r="H29" s="29" t="n">
        <f aca="true">+IF(AE29="PAGADA",0,TODAY()-G29)</f>
        <v>0</v>
      </c>
      <c r="I29" s="29" t="str">
        <f aca="false">+IF(H29&gt;180,"Atrasada",IF(H29&gt;150,"150 dias",IF(H29&gt;120,"120 dias",IF(H29&gt;90,"90 dias",IF(H29&gt;60,"60 dias",IF(H29&gt;30,"30 dias","Al Día"))))))</f>
        <v>Al Día</v>
      </c>
      <c r="J29" s="32" t="s">
        <v>31</v>
      </c>
      <c r="K29" s="29" t="s">
        <v>71</v>
      </c>
      <c r="L29" s="33" t="s">
        <v>72</v>
      </c>
      <c r="M29" s="29" t="n">
        <f aca="false">+YEAR(F29)</f>
        <v>2026</v>
      </c>
      <c r="N29" s="29" t="n">
        <v>2026</v>
      </c>
      <c r="O29" s="29" t="n">
        <v>1</v>
      </c>
      <c r="P29" s="29" t="str">
        <f aca="false">+CONCATENATE(Tabla[[#This Row],[MES CAMPAÑA]],"/",Tabla[[#This Row],[AÑO CAMPAÑA]])</f>
        <v>1/2026</v>
      </c>
      <c r="Q29" s="29" t="s">
        <v>73</v>
      </c>
      <c r="R29" s="29" t="s">
        <v>74</v>
      </c>
      <c r="S29" s="34" t="n">
        <v>0</v>
      </c>
      <c r="T29" s="34" t="n">
        <v>27225</v>
      </c>
      <c r="U29" s="34" t="n">
        <v>5173</v>
      </c>
      <c r="V29" s="29"/>
      <c r="W29" s="35" t="n">
        <v>32398</v>
      </c>
      <c r="X29" s="36" t="n">
        <f aca="false">+Tabla[[#This Row],[TOTAL]]</f>
        <v>32398</v>
      </c>
      <c r="Y29" s="37"/>
      <c r="Z29" s="37"/>
      <c r="AA29" s="37"/>
      <c r="AB29" s="38" t="n">
        <f aca="false">+W29-AC29</f>
        <v>0</v>
      </c>
      <c r="AC29" s="34" t="n">
        <f aca="false">+Tabla[[#This Row],[P4]]+Tabla[[#This Row],[P3]]+Tabla[[#This Row],[P2]]+Tabla[[#This Row],[P1]]</f>
        <v>32398</v>
      </c>
      <c r="AD29" s="34" t="n">
        <f aca="false">+W29-AC29</f>
        <v>0</v>
      </c>
      <c r="AE29" s="21" t="str">
        <f aca="false">IF(AB29&lt;1,"PAGADA","PENDIENTE")</f>
        <v>PAGADA</v>
      </c>
      <c r="AF29" s="21"/>
      <c r="AG29" s="29"/>
      <c r="AH29" s="40"/>
      <c r="AI29" s="40" t="n">
        <f aca="false">+IF(Tabla[[#This Row],[FECHA PAGO / ABONO]]&lt;1,0,(MONTH(Tabla[[#This Row],[FECHA PAGO / ABONO]])))</f>
        <v>0</v>
      </c>
      <c r="AJ29" s="40" t="n">
        <f aca="false">+IF(Tabla[[#This Row],[FECHA PAGO / ABONO]]&lt;1,0,(YEAR(Tabla[[#This Row],[FECHA PAGO / ABONO]])))</f>
        <v>0</v>
      </c>
      <c r="AK29" s="41"/>
    </row>
    <row r="30" customFormat="false" ht="14.25" hidden="false" customHeight="false" outlineLevel="0" collapsed="false">
      <c r="A30" s="28" t="s">
        <v>101</v>
      </c>
      <c r="B30" s="29" t="s">
        <v>102</v>
      </c>
      <c r="C30" s="29" t="s">
        <v>69</v>
      </c>
      <c r="D30" s="21" t="n">
        <v>29259113</v>
      </c>
      <c r="E30" s="21" t="str">
        <f aca="false">+CONCATENATE(Tabla[[#This Row],[RUT]],Tabla[[#This Row],[PROVEEDOR]],Tabla[[#This Row],[FACTURA]])</f>
        <v>97006000-6BANCO DE CREDITO E INVERSIONES29259113</v>
      </c>
      <c r="F30" s="30" t="n">
        <v>46030</v>
      </c>
      <c r="G30" s="31" t="n">
        <f aca="false">+F30+30</f>
        <v>46060</v>
      </c>
      <c r="H30" s="29" t="n">
        <f aca="true">+IF(AE30="PAGADA",0,TODAY()-G30)</f>
        <v>0</v>
      </c>
      <c r="I30" s="29" t="str">
        <f aca="false">+IF(H30&gt;180,"Atrasada",IF(H30&gt;150,"150 dias",IF(H30&gt;120,"120 dias",IF(H30&gt;90,"90 dias",IF(H30&gt;60,"60 dias",IF(H30&gt;30,"30 dias","Al Día"))))))</f>
        <v>Al Día</v>
      </c>
      <c r="J30" s="32" t="s">
        <v>31</v>
      </c>
      <c r="K30" s="29" t="s">
        <v>71</v>
      </c>
      <c r="L30" s="33" t="s">
        <v>72</v>
      </c>
      <c r="M30" s="29" t="n">
        <f aca="false">+YEAR(F30)</f>
        <v>2026</v>
      </c>
      <c r="N30" s="29" t="n">
        <v>2026</v>
      </c>
      <c r="O30" s="29" t="n">
        <v>1</v>
      </c>
      <c r="P30" s="29" t="str">
        <f aca="false">+CONCATENATE(Tabla[[#This Row],[MES CAMPAÑA]],"/",Tabla[[#This Row],[AÑO CAMPAÑA]])</f>
        <v>1/2026</v>
      </c>
      <c r="Q30" s="29" t="s">
        <v>73</v>
      </c>
      <c r="R30" s="29" t="s">
        <v>74</v>
      </c>
      <c r="S30" s="34" t="n">
        <v>0</v>
      </c>
      <c r="T30" s="34" t="n">
        <v>3336</v>
      </c>
      <c r="U30" s="34" t="n">
        <v>634</v>
      </c>
      <c r="V30" s="29"/>
      <c r="W30" s="35" t="n">
        <v>3970</v>
      </c>
      <c r="X30" s="36" t="n">
        <f aca="false">+Tabla[[#This Row],[TOTAL]]</f>
        <v>3970</v>
      </c>
      <c r="Y30" s="37"/>
      <c r="Z30" s="37"/>
      <c r="AA30" s="37"/>
      <c r="AB30" s="38" t="n">
        <f aca="false">+W30-AC30</f>
        <v>0</v>
      </c>
      <c r="AC30" s="34" t="n">
        <f aca="false">+Tabla[[#This Row],[P4]]+Tabla[[#This Row],[P3]]+Tabla[[#This Row],[P2]]+Tabla[[#This Row],[P1]]</f>
        <v>3970</v>
      </c>
      <c r="AD30" s="34" t="n">
        <f aca="false">+W30-AC30</f>
        <v>0</v>
      </c>
      <c r="AE30" s="21" t="str">
        <f aca="false">IF(AB30&lt;1,"PAGADA","PENDIENTE")</f>
        <v>PAGADA</v>
      </c>
      <c r="AF30" s="21"/>
      <c r="AG30" s="29"/>
      <c r="AH30" s="40"/>
      <c r="AI30" s="40" t="n">
        <f aca="false">+IF(Tabla[[#This Row],[FECHA PAGO / ABONO]]&lt;1,0,(MONTH(Tabla[[#This Row],[FECHA PAGO / ABONO]])))</f>
        <v>0</v>
      </c>
      <c r="AJ30" s="40" t="n">
        <f aca="false">+IF(Tabla[[#This Row],[FECHA PAGO / ABONO]]&lt;1,0,(YEAR(Tabla[[#This Row],[FECHA PAGO / ABONO]])))</f>
        <v>0</v>
      </c>
      <c r="AK30" s="41"/>
    </row>
    <row r="31" customFormat="false" ht="14.25" hidden="false" customHeight="false" outlineLevel="0" collapsed="false">
      <c r="A31" s="28" t="s">
        <v>101</v>
      </c>
      <c r="B31" s="29" t="s">
        <v>102</v>
      </c>
      <c r="C31" s="29" t="s">
        <v>69</v>
      </c>
      <c r="D31" s="21" t="n">
        <v>29259114</v>
      </c>
      <c r="E31" s="21" t="str">
        <f aca="false">+CONCATENATE(Tabla[[#This Row],[RUT]],Tabla[[#This Row],[PROVEEDOR]],Tabla[[#This Row],[FACTURA]])</f>
        <v>97006000-6BANCO DE CREDITO E INVERSIONES29259114</v>
      </c>
      <c r="F31" s="30" t="n">
        <v>46030</v>
      </c>
      <c r="G31" s="31" t="n">
        <f aca="false">+F31+30</f>
        <v>46060</v>
      </c>
      <c r="H31" s="29" t="n">
        <f aca="true">+IF(AE31="PAGADA",0,TODAY()-G31)</f>
        <v>0</v>
      </c>
      <c r="I31" s="29" t="str">
        <f aca="false">+IF(H31&gt;180,"Atrasada",IF(H31&gt;150,"150 dias",IF(H31&gt;120,"120 dias",IF(H31&gt;90,"90 dias",IF(H31&gt;60,"60 dias",IF(H31&gt;30,"30 dias","Al Día"))))))</f>
        <v>Al Día</v>
      </c>
      <c r="J31" s="32" t="s">
        <v>31</v>
      </c>
      <c r="K31" s="29" t="s">
        <v>71</v>
      </c>
      <c r="L31" s="33" t="s">
        <v>72</v>
      </c>
      <c r="M31" s="29" t="n">
        <f aca="false">+YEAR(F31)</f>
        <v>2026</v>
      </c>
      <c r="N31" s="29" t="n">
        <v>2026</v>
      </c>
      <c r="O31" s="29" t="n">
        <v>1</v>
      </c>
      <c r="P31" s="29" t="str">
        <f aca="false">+CONCATENATE(Tabla[[#This Row],[MES CAMPAÑA]],"/",Tabla[[#This Row],[AÑO CAMPAÑA]])</f>
        <v>1/2026</v>
      </c>
      <c r="Q31" s="29" t="s">
        <v>73</v>
      </c>
      <c r="R31" s="29" t="s">
        <v>74</v>
      </c>
      <c r="S31" s="34" t="n">
        <v>0</v>
      </c>
      <c r="T31" s="34" t="n">
        <v>3336</v>
      </c>
      <c r="U31" s="34" t="n">
        <v>634</v>
      </c>
      <c r="V31" s="29"/>
      <c r="W31" s="35" t="n">
        <v>3970</v>
      </c>
      <c r="X31" s="36" t="n">
        <f aca="false">+Tabla[[#This Row],[TOTAL]]</f>
        <v>3970</v>
      </c>
      <c r="Y31" s="37"/>
      <c r="Z31" s="37"/>
      <c r="AA31" s="37"/>
      <c r="AB31" s="38" t="n">
        <f aca="false">+W31-AC31</f>
        <v>0</v>
      </c>
      <c r="AC31" s="34" t="n">
        <f aca="false">+Tabla[[#This Row],[P4]]+Tabla[[#This Row],[P3]]+Tabla[[#This Row],[P2]]+Tabla[[#This Row],[P1]]</f>
        <v>3970</v>
      </c>
      <c r="AD31" s="34" t="n">
        <f aca="false">+W31-AC31</f>
        <v>0</v>
      </c>
      <c r="AE31" s="21" t="str">
        <f aca="false">IF(AB31&lt;1,"PAGADA","PENDIENTE")</f>
        <v>PAGADA</v>
      </c>
      <c r="AF31" s="21"/>
      <c r="AG31" s="29"/>
      <c r="AH31" s="40"/>
      <c r="AI31" s="40" t="n">
        <f aca="false">+IF(Tabla[[#This Row],[FECHA PAGO / ABONO]]&lt;1,0,(MONTH(Tabla[[#This Row],[FECHA PAGO / ABONO]])))</f>
        <v>0</v>
      </c>
      <c r="AJ31" s="40" t="n">
        <f aca="false">+IF(Tabla[[#This Row],[FECHA PAGO / ABONO]]&lt;1,0,(YEAR(Tabla[[#This Row],[FECHA PAGO / ABONO]])))</f>
        <v>0</v>
      </c>
      <c r="AK31" s="41"/>
    </row>
    <row r="32" customFormat="false" ht="14.25" hidden="false" customHeight="false" outlineLevel="0" collapsed="false">
      <c r="A32" s="28" t="s">
        <v>101</v>
      </c>
      <c r="B32" s="29" t="s">
        <v>102</v>
      </c>
      <c r="C32" s="29" t="s">
        <v>69</v>
      </c>
      <c r="D32" s="21" t="n">
        <v>29259115</v>
      </c>
      <c r="E32" s="21" t="str">
        <f aca="false">+CONCATENATE(Tabla[[#This Row],[RUT]],Tabla[[#This Row],[PROVEEDOR]],Tabla[[#This Row],[FACTURA]])</f>
        <v>97006000-6BANCO DE CREDITO E INVERSIONES29259115</v>
      </c>
      <c r="F32" s="30" t="n">
        <v>46030</v>
      </c>
      <c r="G32" s="31" t="n">
        <f aca="false">+F32+30</f>
        <v>46060</v>
      </c>
      <c r="H32" s="29" t="n">
        <f aca="true">+IF(AE32="PAGADA",0,TODAY()-G32)</f>
        <v>0</v>
      </c>
      <c r="I32" s="29" t="str">
        <f aca="false">+IF(H32&gt;180,"Atrasada",IF(H32&gt;150,"150 dias",IF(H32&gt;120,"120 dias",IF(H32&gt;90,"90 dias",IF(H32&gt;60,"60 dias",IF(H32&gt;30,"30 dias","Al Día"))))))</f>
        <v>Al Día</v>
      </c>
      <c r="J32" s="32" t="s">
        <v>31</v>
      </c>
      <c r="K32" s="29" t="s">
        <v>71</v>
      </c>
      <c r="L32" s="33" t="s">
        <v>72</v>
      </c>
      <c r="M32" s="29" t="n">
        <f aca="false">+YEAR(F32)</f>
        <v>2026</v>
      </c>
      <c r="N32" s="29" t="n">
        <v>2026</v>
      </c>
      <c r="O32" s="29" t="n">
        <v>1</v>
      </c>
      <c r="P32" s="29" t="str">
        <f aca="false">+CONCATENATE(Tabla[[#This Row],[MES CAMPAÑA]],"/",Tabla[[#This Row],[AÑO CAMPAÑA]])</f>
        <v>1/2026</v>
      </c>
      <c r="Q32" s="29" t="s">
        <v>73</v>
      </c>
      <c r="R32" s="29" t="s">
        <v>74</v>
      </c>
      <c r="S32" s="34" t="n">
        <v>0</v>
      </c>
      <c r="T32" s="34" t="n">
        <v>174792</v>
      </c>
      <c r="U32" s="34" t="n">
        <v>33211</v>
      </c>
      <c r="V32" s="29"/>
      <c r="W32" s="35" t="n">
        <v>208003</v>
      </c>
      <c r="X32" s="36" t="n">
        <f aca="false">+Tabla[[#This Row],[TOTAL]]</f>
        <v>208003</v>
      </c>
      <c r="Y32" s="37"/>
      <c r="Z32" s="37"/>
      <c r="AA32" s="37"/>
      <c r="AB32" s="38" t="n">
        <f aca="false">+W32-AC32</f>
        <v>0</v>
      </c>
      <c r="AC32" s="34" t="n">
        <f aca="false">+Tabla[[#This Row],[P4]]+Tabla[[#This Row],[P3]]+Tabla[[#This Row],[P2]]+Tabla[[#This Row],[P1]]</f>
        <v>208003</v>
      </c>
      <c r="AD32" s="34" t="n">
        <f aca="false">+W32-AC32</f>
        <v>0</v>
      </c>
      <c r="AE32" s="21" t="str">
        <f aca="false">IF(AB32&lt;1,"PAGADA","PENDIENTE")</f>
        <v>PAGADA</v>
      </c>
      <c r="AF32" s="21"/>
      <c r="AG32" s="29"/>
      <c r="AH32" s="40"/>
      <c r="AI32" s="40" t="n">
        <f aca="false">+IF(Tabla[[#This Row],[FECHA PAGO / ABONO]]&lt;1,0,(MONTH(Tabla[[#This Row],[FECHA PAGO / ABONO]])))</f>
        <v>0</v>
      </c>
      <c r="AJ32" s="40" t="n">
        <f aca="false">+IF(Tabla[[#This Row],[FECHA PAGO / ABONO]]&lt;1,0,(YEAR(Tabla[[#This Row],[FECHA PAGO / ABONO]])))</f>
        <v>0</v>
      </c>
      <c r="AK32" s="41"/>
    </row>
    <row r="33" customFormat="false" ht="14.25" hidden="false" customHeight="false" outlineLevel="0" collapsed="false">
      <c r="A33" s="28" t="s">
        <v>101</v>
      </c>
      <c r="B33" s="29" t="s">
        <v>102</v>
      </c>
      <c r="C33" s="29" t="s">
        <v>69</v>
      </c>
      <c r="D33" s="21" t="n">
        <v>29259116</v>
      </c>
      <c r="E33" s="21" t="str">
        <f aca="false">+CONCATENATE(Tabla[[#This Row],[RUT]],Tabla[[#This Row],[PROVEEDOR]],Tabla[[#This Row],[FACTURA]])</f>
        <v>97006000-6BANCO DE CREDITO E INVERSIONES29259116</v>
      </c>
      <c r="F33" s="30" t="n">
        <v>46030</v>
      </c>
      <c r="G33" s="31" t="n">
        <f aca="false">+F33+30</f>
        <v>46060</v>
      </c>
      <c r="H33" s="29" t="n">
        <f aca="true">+IF(AE33="PAGADA",0,TODAY()-G33)</f>
        <v>0</v>
      </c>
      <c r="I33" s="29" t="str">
        <f aca="false">+IF(H33&gt;180,"Atrasada",IF(H33&gt;150,"150 dias",IF(H33&gt;120,"120 dias",IF(H33&gt;90,"90 dias",IF(H33&gt;60,"60 dias",IF(H33&gt;30,"30 dias","Al Día"))))))</f>
        <v>Al Día</v>
      </c>
      <c r="J33" s="32" t="s">
        <v>31</v>
      </c>
      <c r="K33" s="29" t="s">
        <v>71</v>
      </c>
      <c r="L33" s="33" t="s">
        <v>72</v>
      </c>
      <c r="M33" s="29" t="n">
        <f aca="false">+YEAR(F33)</f>
        <v>2026</v>
      </c>
      <c r="N33" s="29" t="n">
        <v>2026</v>
      </c>
      <c r="O33" s="29" t="n">
        <v>1</v>
      </c>
      <c r="P33" s="29" t="str">
        <f aca="false">+CONCATENATE(Tabla[[#This Row],[MES CAMPAÑA]],"/",Tabla[[#This Row],[AÑO CAMPAÑA]])</f>
        <v>1/2026</v>
      </c>
      <c r="Q33" s="29" t="s">
        <v>73</v>
      </c>
      <c r="R33" s="29" t="s">
        <v>74</v>
      </c>
      <c r="S33" s="34" t="n">
        <v>0</v>
      </c>
      <c r="T33" s="34" t="n">
        <v>229985</v>
      </c>
      <c r="U33" s="34" t="n">
        <v>43697</v>
      </c>
      <c r="V33" s="29"/>
      <c r="W33" s="35" t="n">
        <v>273682</v>
      </c>
      <c r="X33" s="36" t="n">
        <f aca="false">+Tabla[[#This Row],[TOTAL]]</f>
        <v>273682</v>
      </c>
      <c r="Y33" s="37"/>
      <c r="Z33" s="37"/>
      <c r="AA33" s="37"/>
      <c r="AB33" s="38" t="n">
        <f aca="false">+W33-AC33</f>
        <v>0</v>
      </c>
      <c r="AC33" s="34" t="n">
        <f aca="false">+Tabla[[#This Row],[P4]]+Tabla[[#This Row],[P3]]+Tabla[[#This Row],[P2]]+Tabla[[#This Row],[P1]]</f>
        <v>273682</v>
      </c>
      <c r="AD33" s="34" t="n">
        <f aca="false">+W33-AC33</f>
        <v>0</v>
      </c>
      <c r="AE33" s="21" t="str">
        <f aca="false">IF(AB33&lt;1,"PAGADA","PENDIENTE")</f>
        <v>PAGADA</v>
      </c>
      <c r="AF33" s="21"/>
      <c r="AG33" s="29"/>
      <c r="AH33" s="40"/>
      <c r="AI33" s="40" t="n">
        <f aca="false">+IF(Tabla[[#This Row],[FECHA PAGO / ABONO]]&lt;1,0,(MONTH(Tabla[[#This Row],[FECHA PAGO / ABONO]])))</f>
        <v>0</v>
      </c>
      <c r="AJ33" s="40" t="n">
        <f aca="false">+IF(Tabla[[#This Row],[FECHA PAGO / ABONO]]&lt;1,0,(YEAR(Tabla[[#This Row],[FECHA PAGO / ABONO]])))</f>
        <v>0</v>
      </c>
      <c r="AK33" s="41"/>
    </row>
    <row r="34" customFormat="false" ht="14.25" hidden="false" customHeight="false" outlineLevel="0" collapsed="false">
      <c r="A34" s="28" t="s">
        <v>101</v>
      </c>
      <c r="B34" s="29" t="s">
        <v>102</v>
      </c>
      <c r="C34" s="29" t="s">
        <v>69</v>
      </c>
      <c r="D34" s="21" t="n">
        <v>29259117</v>
      </c>
      <c r="E34" s="21" t="str">
        <f aca="false">+CONCATENATE(Tabla[[#This Row],[RUT]],Tabla[[#This Row],[PROVEEDOR]],Tabla[[#This Row],[FACTURA]])</f>
        <v>97006000-6BANCO DE CREDITO E INVERSIONES29259117</v>
      </c>
      <c r="F34" s="30" t="n">
        <v>46030</v>
      </c>
      <c r="G34" s="31" t="n">
        <f aca="false">+F34+30</f>
        <v>46060</v>
      </c>
      <c r="H34" s="29" t="n">
        <f aca="true">+IF(AE34="PAGADA",0,TODAY()-G34)</f>
        <v>0</v>
      </c>
      <c r="I34" s="29" t="str">
        <f aca="false">+IF(H34&gt;180,"Atrasada",IF(H34&gt;150,"150 dias",IF(H34&gt;120,"120 dias",IF(H34&gt;90,"90 dias",IF(H34&gt;60,"60 dias",IF(H34&gt;30,"30 dias","Al Día"))))))</f>
        <v>Al Día</v>
      </c>
      <c r="J34" s="32" t="s">
        <v>31</v>
      </c>
      <c r="K34" s="29" t="s">
        <v>71</v>
      </c>
      <c r="L34" s="33" t="s">
        <v>72</v>
      </c>
      <c r="M34" s="29" t="n">
        <f aca="false">+YEAR(F34)</f>
        <v>2026</v>
      </c>
      <c r="N34" s="29" t="n">
        <v>2026</v>
      </c>
      <c r="O34" s="29" t="n">
        <v>1</v>
      </c>
      <c r="P34" s="29" t="str">
        <f aca="false">+CONCATENATE(Tabla[[#This Row],[MES CAMPAÑA]],"/",Tabla[[#This Row],[AÑO CAMPAÑA]])</f>
        <v>1/2026</v>
      </c>
      <c r="Q34" s="29" t="s">
        <v>73</v>
      </c>
      <c r="R34" s="29" t="s">
        <v>74</v>
      </c>
      <c r="S34" s="34" t="n">
        <v>0</v>
      </c>
      <c r="T34" s="34" t="n">
        <v>240968</v>
      </c>
      <c r="U34" s="34" t="n">
        <v>45784</v>
      </c>
      <c r="V34" s="29"/>
      <c r="W34" s="35" t="n">
        <v>286752</v>
      </c>
      <c r="X34" s="36" t="n">
        <f aca="false">+Tabla[[#This Row],[TOTAL]]</f>
        <v>286752</v>
      </c>
      <c r="Y34" s="37"/>
      <c r="Z34" s="37"/>
      <c r="AA34" s="37"/>
      <c r="AB34" s="38" t="n">
        <f aca="false">+W34-AC34</f>
        <v>0</v>
      </c>
      <c r="AC34" s="34" t="n">
        <f aca="false">+Tabla[[#This Row],[P4]]+Tabla[[#This Row],[P3]]+Tabla[[#This Row],[P2]]+Tabla[[#This Row],[P1]]</f>
        <v>286752</v>
      </c>
      <c r="AD34" s="34" t="n">
        <f aca="false">+W34-AC34</f>
        <v>0</v>
      </c>
      <c r="AE34" s="21" t="str">
        <f aca="false">IF(AB34&lt;1,"PAGADA","PENDIENTE")</f>
        <v>PAGADA</v>
      </c>
      <c r="AF34" s="21"/>
      <c r="AG34" s="29"/>
      <c r="AH34" s="40"/>
      <c r="AI34" s="40" t="n">
        <f aca="false">+IF(Tabla[[#This Row],[FECHA PAGO / ABONO]]&lt;1,0,(MONTH(Tabla[[#This Row],[FECHA PAGO / ABONO]])))</f>
        <v>0</v>
      </c>
      <c r="AJ34" s="40" t="n">
        <f aca="false">+IF(Tabla[[#This Row],[FECHA PAGO / ABONO]]&lt;1,0,(YEAR(Tabla[[#This Row],[FECHA PAGO / ABONO]])))</f>
        <v>0</v>
      </c>
      <c r="AK34" s="41"/>
    </row>
    <row r="35" customFormat="false" ht="14.25" hidden="false" customHeight="false" outlineLevel="0" collapsed="false">
      <c r="A35" s="28" t="s">
        <v>101</v>
      </c>
      <c r="B35" s="29" t="s">
        <v>102</v>
      </c>
      <c r="C35" s="29" t="s">
        <v>69</v>
      </c>
      <c r="D35" s="21" t="n">
        <v>29259118</v>
      </c>
      <c r="E35" s="21" t="str">
        <f aca="false">+CONCATENATE(Tabla[[#This Row],[RUT]],Tabla[[#This Row],[PROVEEDOR]],Tabla[[#This Row],[FACTURA]])</f>
        <v>97006000-6BANCO DE CREDITO E INVERSIONES29259118</v>
      </c>
      <c r="F35" s="30" t="n">
        <v>46030</v>
      </c>
      <c r="G35" s="31" t="n">
        <f aca="false">+F35+30</f>
        <v>46060</v>
      </c>
      <c r="H35" s="29" t="n">
        <f aca="true">+IF(AE35="PAGADA",0,TODAY()-G35)</f>
        <v>0</v>
      </c>
      <c r="I35" s="29" t="str">
        <f aca="false">+IF(H35&gt;180,"Atrasada",IF(H35&gt;150,"150 dias",IF(H35&gt;120,"120 dias",IF(H35&gt;90,"90 dias",IF(H35&gt;60,"60 dias",IF(H35&gt;30,"30 dias","Al Día"))))))</f>
        <v>Al Día</v>
      </c>
      <c r="J35" s="32" t="s">
        <v>31</v>
      </c>
      <c r="K35" s="29" t="s">
        <v>71</v>
      </c>
      <c r="L35" s="33" t="s">
        <v>72</v>
      </c>
      <c r="M35" s="29" t="n">
        <f aca="false">+YEAR(F35)</f>
        <v>2026</v>
      </c>
      <c r="N35" s="29" t="n">
        <v>2026</v>
      </c>
      <c r="O35" s="29" t="n">
        <v>1</v>
      </c>
      <c r="P35" s="29" t="str">
        <f aca="false">+CONCATENATE(Tabla[[#This Row],[MES CAMPAÑA]],"/",Tabla[[#This Row],[AÑO CAMPAÑA]])</f>
        <v>1/2026</v>
      </c>
      <c r="Q35" s="29" t="s">
        <v>73</v>
      </c>
      <c r="R35" s="29" t="s">
        <v>74</v>
      </c>
      <c r="S35" s="34" t="n">
        <v>0</v>
      </c>
      <c r="T35" s="34" t="n">
        <v>897</v>
      </c>
      <c r="U35" s="34" t="n">
        <v>170</v>
      </c>
      <c r="V35" s="29"/>
      <c r="W35" s="35" t="n">
        <v>1067</v>
      </c>
      <c r="X35" s="36" t="n">
        <f aca="false">+Tabla[[#This Row],[TOTAL]]</f>
        <v>1067</v>
      </c>
      <c r="Y35" s="37"/>
      <c r="Z35" s="37"/>
      <c r="AA35" s="37"/>
      <c r="AB35" s="38" t="n">
        <f aca="false">+W35-AC35</f>
        <v>0</v>
      </c>
      <c r="AC35" s="34" t="n">
        <f aca="false">+Tabla[[#This Row],[P4]]+Tabla[[#This Row],[P3]]+Tabla[[#This Row],[P2]]+Tabla[[#This Row],[P1]]</f>
        <v>1067</v>
      </c>
      <c r="AD35" s="34" t="n">
        <f aca="false">+W35-AC35</f>
        <v>0</v>
      </c>
      <c r="AE35" s="21" t="str">
        <f aca="false">IF(AB35&lt;1,"PAGADA","PENDIENTE")</f>
        <v>PAGADA</v>
      </c>
      <c r="AF35" s="21"/>
      <c r="AG35" s="29"/>
      <c r="AH35" s="40"/>
      <c r="AI35" s="40" t="n">
        <f aca="false">+IF(Tabla[[#This Row],[FECHA PAGO / ABONO]]&lt;1,0,(MONTH(Tabla[[#This Row],[FECHA PAGO / ABONO]])))</f>
        <v>0</v>
      </c>
      <c r="AJ35" s="40" t="n">
        <f aca="false">+IF(Tabla[[#This Row],[FECHA PAGO / ABONO]]&lt;1,0,(YEAR(Tabla[[#This Row],[FECHA PAGO / ABONO]])))</f>
        <v>0</v>
      </c>
      <c r="AK35" s="41"/>
    </row>
    <row r="36" customFormat="false" ht="14.25" hidden="false" customHeight="false" outlineLevel="0" collapsed="false">
      <c r="A36" s="28" t="s">
        <v>101</v>
      </c>
      <c r="B36" s="29" t="s">
        <v>102</v>
      </c>
      <c r="C36" s="29" t="s">
        <v>69</v>
      </c>
      <c r="D36" s="21" t="n">
        <v>29259119</v>
      </c>
      <c r="E36" s="21" t="str">
        <f aca="false">+CONCATENATE(Tabla[[#This Row],[RUT]],Tabla[[#This Row],[PROVEEDOR]],Tabla[[#This Row],[FACTURA]])</f>
        <v>97006000-6BANCO DE CREDITO E INVERSIONES29259119</v>
      </c>
      <c r="F36" s="30" t="n">
        <v>46030</v>
      </c>
      <c r="G36" s="31" t="n">
        <f aca="false">+F36+30</f>
        <v>46060</v>
      </c>
      <c r="H36" s="29" t="n">
        <f aca="true">+IF(AE36="PAGADA",0,TODAY()-G36)</f>
        <v>0</v>
      </c>
      <c r="I36" s="29" t="str">
        <f aca="false">+IF(H36&gt;180,"Atrasada",IF(H36&gt;150,"150 dias",IF(H36&gt;120,"120 dias",IF(H36&gt;90,"90 dias",IF(H36&gt;60,"60 dias",IF(H36&gt;30,"30 dias","Al Día"))))))</f>
        <v>Al Día</v>
      </c>
      <c r="J36" s="32" t="s">
        <v>31</v>
      </c>
      <c r="K36" s="29" t="s">
        <v>71</v>
      </c>
      <c r="L36" s="33" t="s">
        <v>72</v>
      </c>
      <c r="M36" s="29" t="n">
        <f aca="false">+YEAR(F36)</f>
        <v>2026</v>
      </c>
      <c r="N36" s="29" t="n">
        <v>2026</v>
      </c>
      <c r="O36" s="29" t="n">
        <v>1</v>
      </c>
      <c r="P36" s="29" t="str">
        <f aca="false">+CONCATENATE(Tabla[[#This Row],[MES CAMPAÑA]],"/",Tabla[[#This Row],[AÑO CAMPAÑA]])</f>
        <v>1/2026</v>
      </c>
      <c r="Q36" s="29" t="s">
        <v>73</v>
      </c>
      <c r="R36" s="29" t="s">
        <v>74</v>
      </c>
      <c r="S36" s="34" t="n">
        <v>0</v>
      </c>
      <c r="T36" s="34" t="n">
        <v>2439</v>
      </c>
      <c r="U36" s="34" t="n">
        <v>464</v>
      </c>
      <c r="V36" s="29"/>
      <c r="W36" s="35" t="n">
        <v>2903</v>
      </c>
      <c r="X36" s="36" t="n">
        <f aca="false">+Tabla[[#This Row],[TOTAL]]</f>
        <v>2903</v>
      </c>
      <c r="Y36" s="37"/>
      <c r="Z36" s="37"/>
      <c r="AA36" s="37"/>
      <c r="AB36" s="38" t="n">
        <f aca="false">+W36-AC36</f>
        <v>0</v>
      </c>
      <c r="AC36" s="34" t="n">
        <f aca="false">+Tabla[[#This Row],[P4]]+Tabla[[#This Row],[P3]]+Tabla[[#This Row],[P2]]+Tabla[[#This Row],[P1]]</f>
        <v>2903</v>
      </c>
      <c r="AD36" s="34" t="n">
        <f aca="false">+W36-AC36</f>
        <v>0</v>
      </c>
      <c r="AE36" s="21" t="str">
        <f aca="false">IF(AB36&lt;1,"PAGADA","PENDIENTE")</f>
        <v>PAGADA</v>
      </c>
      <c r="AF36" s="21"/>
      <c r="AG36" s="29"/>
      <c r="AH36" s="40"/>
      <c r="AI36" s="40" t="n">
        <f aca="false">+IF(Tabla[[#This Row],[FECHA PAGO / ABONO]]&lt;1,0,(MONTH(Tabla[[#This Row],[FECHA PAGO / ABONO]])))</f>
        <v>0</v>
      </c>
      <c r="AJ36" s="40" t="n">
        <f aca="false">+IF(Tabla[[#This Row],[FECHA PAGO / ABONO]]&lt;1,0,(YEAR(Tabla[[#This Row],[FECHA PAGO / ABONO]])))</f>
        <v>0</v>
      </c>
      <c r="AK36" s="41"/>
    </row>
    <row r="37" customFormat="false" ht="14.25" hidden="false" customHeight="false" outlineLevel="0" collapsed="false">
      <c r="A37" s="28" t="s">
        <v>101</v>
      </c>
      <c r="B37" s="29" t="s">
        <v>102</v>
      </c>
      <c r="C37" s="29" t="s">
        <v>69</v>
      </c>
      <c r="D37" s="21" t="n">
        <v>29259120</v>
      </c>
      <c r="E37" s="21" t="str">
        <f aca="false">+CONCATENATE(Tabla[[#This Row],[RUT]],Tabla[[#This Row],[PROVEEDOR]],Tabla[[#This Row],[FACTURA]])</f>
        <v>97006000-6BANCO DE CREDITO E INVERSIONES29259120</v>
      </c>
      <c r="F37" s="30" t="n">
        <v>46030</v>
      </c>
      <c r="G37" s="31" t="n">
        <f aca="false">+F37+30</f>
        <v>46060</v>
      </c>
      <c r="H37" s="29" t="n">
        <f aca="true">+IF(AE37="PAGADA",0,TODAY()-G37)</f>
        <v>0</v>
      </c>
      <c r="I37" s="29" t="str">
        <f aca="false">+IF(H37&gt;180,"Atrasada",IF(H37&gt;150,"150 dias",IF(H37&gt;120,"120 dias",IF(H37&gt;90,"90 dias",IF(H37&gt;60,"60 dias",IF(H37&gt;30,"30 dias","Al Día"))))))</f>
        <v>Al Día</v>
      </c>
      <c r="J37" s="32" t="s">
        <v>31</v>
      </c>
      <c r="K37" s="29" t="s">
        <v>71</v>
      </c>
      <c r="L37" s="33" t="s">
        <v>72</v>
      </c>
      <c r="M37" s="29" t="n">
        <f aca="false">+YEAR(F37)</f>
        <v>2026</v>
      </c>
      <c r="N37" s="29" t="n">
        <v>2026</v>
      </c>
      <c r="O37" s="29" t="n">
        <v>1</v>
      </c>
      <c r="P37" s="29" t="str">
        <f aca="false">+CONCATENATE(Tabla[[#This Row],[MES CAMPAÑA]],"/",Tabla[[#This Row],[AÑO CAMPAÑA]])</f>
        <v>1/2026</v>
      </c>
      <c r="Q37" s="29" t="s">
        <v>73</v>
      </c>
      <c r="R37" s="29" t="s">
        <v>74</v>
      </c>
      <c r="S37" s="34" t="n">
        <v>0</v>
      </c>
      <c r="T37" s="34" t="n">
        <v>2603</v>
      </c>
      <c r="U37" s="34" t="n">
        <v>494</v>
      </c>
      <c r="V37" s="29"/>
      <c r="W37" s="35" t="n">
        <v>3097</v>
      </c>
      <c r="X37" s="36" t="n">
        <f aca="false">+Tabla[[#This Row],[TOTAL]]</f>
        <v>3097</v>
      </c>
      <c r="Y37" s="37"/>
      <c r="Z37" s="37"/>
      <c r="AA37" s="37"/>
      <c r="AB37" s="38" t="n">
        <f aca="false">+W37-AC37</f>
        <v>0</v>
      </c>
      <c r="AC37" s="34" t="n">
        <f aca="false">+Tabla[[#This Row],[P4]]+Tabla[[#This Row],[P3]]+Tabla[[#This Row],[P2]]+Tabla[[#This Row],[P1]]</f>
        <v>3097</v>
      </c>
      <c r="AD37" s="34" t="n">
        <f aca="false">+W37-AC37</f>
        <v>0</v>
      </c>
      <c r="AE37" s="21" t="str">
        <f aca="false">IF(AB37&lt;1,"PAGADA","PENDIENTE")</f>
        <v>PAGADA</v>
      </c>
      <c r="AF37" s="21"/>
      <c r="AG37" s="29"/>
      <c r="AH37" s="40"/>
      <c r="AI37" s="40" t="n">
        <f aca="false">+IF(Tabla[[#This Row],[FECHA PAGO / ABONO]]&lt;1,0,(MONTH(Tabla[[#This Row],[FECHA PAGO / ABONO]])))</f>
        <v>0</v>
      </c>
      <c r="AJ37" s="40" t="n">
        <f aca="false">+IF(Tabla[[#This Row],[FECHA PAGO / ABONO]]&lt;1,0,(YEAR(Tabla[[#This Row],[FECHA PAGO / ABONO]])))</f>
        <v>0</v>
      </c>
      <c r="AK37" s="41"/>
    </row>
    <row r="38" customFormat="false" ht="14.25" hidden="false" customHeight="false" outlineLevel="0" collapsed="false">
      <c r="A38" s="28" t="s">
        <v>101</v>
      </c>
      <c r="B38" s="29" t="s">
        <v>102</v>
      </c>
      <c r="C38" s="29" t="s">
        <v>69</v>
      </c>
      <c r="D38" s="21" t="n">
        <v>29259121</v>
      </c>
      <c r="E38" s="21" t="str">
        <f aca="false">+CONCATENATE(Tabla[[#This Row],[RUT]],Tabla[[#This Row],[PROVEEDOR]],Tabla[[#This Row],[FACTURA]])</f>
        <v>97006000-6BANCO DE CREDITO E INVERSIONES29259121</v>
      </c>
      <c r="F38" s="30" t="n">
        <v>46030</v>
      </c>
      <c r="G38" s="31" t="n">
        <f aca="false">+F38+30</f>
        <v>46060</v>
      </c>
      <c r="H38" s="29" t="n">
        <f aca="true">+IF(AE38="PAGADA",0,TODAY()-G38)</f>
        <v>0</v>
      </c>
      <c r="I38" s="29" t="str">
        <f aca="false">+IF(H38&gt;180,"Atrasada",IF(H38&gt;150,"150 dias",IF(H38&gt;120,"120 dias",IF(H38&gt;90,"90 dias",IF(H38&gt;60,"60 dias",IF(H38&gt;30,"30 dias","Al Día"))))))</f>
        <v>Al Día</v>
      </c>
      <c r="J38" s="32" t="s">
        <v>31</v>
      </c>
      <c r="K38" s="29" t="s">
        <v>71</v>
      </c>
      <c r="L38" s="33" t="s">
        <v>72</v>
      </c>
      <c r="M38" s="29" t="n">
        <f aca="false">+YEAR(F38)</f>
        <v>2026</v>
      </c>
      <c r="N38" s="29" t="n">
        <v>2026</v>
      </c>
      <c r="O38" s="29" t="n">
        <v>1</v>
      </c>
      <c r="P38" s="29" t="str">
        <f aca="false">+CONCATENATE(Tabla[[#This Row],[MES CAMPAÑA]],"/",Tabla[[#This Row],[AÑO CAMPAÑA]])</f>
        <v>1/2026</v>
      </c>
      <c r="Q38" s="29" t="s">
        <v>73</v>
      </c>
      <c r="R38" s="29" t="s">
        <v>74</v>
      </c>
      <c r="S38" s="34" t="n">
        <v>0</v>
      </c>
      <c r="T38" s="34" t="n">
        <v>734</v>
      </c>
      <c r="U38" s="34" t="n">
        <v>139</v>
      </c>
      <c r="V38" s="29"/>
      <c r="W38" s="35" t="n">
        <v>873</v>
      </c>
      <c r="X38" s="36" t="n">
        <f aca="false">+Tabla[[#This Row],[TOTAL]]</f>
        <v>873</v>
      </c>
      <c r="Y38" s="37"/>
      <c r="Z38" s="37"/>
      <c r="AA38" s="37"/>
      <c r="AB38" s="38" t="n">
        <f aca="false">+W38-AC38</f>
        <v>0</v>
      </c>
      <c r="AC38" s="34" t="n">
        <f aca="false">+Tabla[[#This Row],[P4]]+Tabla[[#This Row],[P3]]+Tabla[[#This Row],[P2]]+Tabla[[#This Row],[P1]]</f>
        <v>873</v>
      </c>
      <c r="AD38" s="34" t="n">
        <f aca="false">+W38-AC38</f>
        <v>0</v>
      </c>
      <c r="AE38" s="21" t="str">
        <f aca="false">IF(AB38&lt;1,"PAGADA","PENDIENTE")</f>
        <v>PAGADA</v>
      </c>
      <c r="AF38" s="21"/>
      <c r="AG38" s="29"/>
      <c r="AH38" s="40"/>
      <c r="AI38" s="40" t="n">
        <f aca="false">+IF(Tabla[[#This Row],[FECHA PAGO / ABONO]]&lt;1,0,(MONTH(Tabla[[#This Row],[FECHA PAGO / ABONO]])))</f>
        <v>0</v>
      </c>
      <c r="AJ38" s="40" t="n">
        <f aca="false">+IF(Tabla[[#This Row],[FECHA PAGO / ABONO]]&lt;1,0,(YEAR(Tabla[[#This Row],[FECHA PAGO / ABONO]])))</f>
        <v>0</v>
      </c>
      <c r="AK38" s="41"/>
    </row>
    <row r="39" customFormat="false" ht="14.25" hidden="false" customHeight="false" outlineLevel="0" collapsed="false">
      <c r="A39" s="28" t="s">
        <v>101</v>
      </c>
      <c r="B39" s="29" t="s">
        <v>102</v>
      </c>
      <c r="C39" s="29" t="s">
        <v>69</v>
      </c>
      <c r="D39" s="21" t="n">
        <v>29259122</v>
      </c>
      <c r="E39" s="21" t="str">
        <f aca="false">+CONCATENATE(Tabla[[#This Row],[RUT]],Tabla[[#This Row],[PROVEEDOR]],Tabla[[#This Row],[FACTURA]])</f>
        <v>97006000-6BANCO DE CREDITO E INVERSIONES29259122</v>
      </c>
      <c r="F39" s="30" t="n">
        <v>46030</v>
      </c>
      <c r="G39" s="31" t="n">
        <f aca="false">+F39+30</f>
        <v>46060</v>
      </c>
      <c r="H39" s="29" t="n">
        <f aca="true">+IF(AE39="PAGADA",0,TODAY()-G39)</f>
        <v>0</v>
      </c>
      <c r="I39" s="29" t="str">
        <f aca="false">+IF(H39&gt;180,"Atrasada",IF(H39&gt;150,"150 dias",IF(H39&gt;120,"120 dias",IF(H39&gt;90,"90 dias",IF(H39&gt;60,"60 dias",IF(H39&gt;30,"30 dias","Al Día"))))))</f>
        <v>Al Día</v>
      </c>
      <c r="J39" s="32" t="s">
        <v>31</v>
      </c>
      <c r="K39" s="29" t="s">
        <v>71</v>
      </c>
      <c r="L39" s="33" t="s">
        <v>72</v>
      </c>
      <c r="M39" s="29" t="n">
        <f aca="false">+YEAR(F39)</f>
        <v>2026</v>
      </c>
      <c r="N39" s="29" t="n">
        <v>2026</v>
      </c>
      <c r="O39" s="29" t="n">
        <v>1</v>
      </c>
      <c r="P39" s="29" t="str">
        <f aca="false">+CONCATENATE(Tabla[[#This Row],[MES CAMPAÑA]],"/",Tabla[[#This Row],[AÑO CAMPAÑA]])</f>
        <v>1/2026</v>
      </c>
      <c r="Q39" s="29" t="s">
        <v>73</v>
      </c>
      <c r="R39" s="29" t="s">
        <v>74</v>
      </c>
      <c r="S39" s="34" t="n">
        <v>0</v>
      </c>
      <c r="T39" s="34" t="n">
        <v>1230</v>
      </c>
      <c r="U39" s="34" t="n">
        <v>234</v>
      </c>
      <c r="V39" s="29"/>
      <c r="W39" s="35" t="n">
        <v>1464</v>
      </c>
      <c r="X39" s="36" t="n">
        <f aca="false">+Tabla[[#This Row],[TOTAL]]</f>
        <v>1464</v>
      </c>
      <c r="Y39" s="37"/>
      <c r="Z39" s="37"/>
      <c r="AA39" s="37"/>
      <c r="AB39" s="38" t="n">
        <f aca="false">+W39-AC39</f>
        <v>0</v>
      </c>
      <c r="AC39" s="34" t="n">
        <f aca="false">+Tabla[[#This Row],[P4]]+Tabla[[#This Row],[P3]]+Tabla[[#This Row],[P2]]+Tabla[[#This Row],[P1]]</f>
        <v>1464</v>
      </c>
      <c r="AD39" s="34" t="n">
        <f aca="false">+W39-AC39</f>
        <v>0</v>
      </c>
      <c r="AE39" s="21" t="str">
        <f aca="false">IF(AB39&lt;1,"PAGADA","PENDIENTE")</f>
        <v>PAGADA</v>
      </c>
      <c r="AF39" s="21"/>
      <c r="AG39" s="29"/>
      <c r="AH39" s="40"/>
      <c r="AI39" s="40" t="n">
        <f aca="false">+IF(Tabla[[#This Row],[FECHA PAGO / ABONO]]&lt;1,0,(MONTH(Tabla[[#This Row],[FECHA PAGO / ABONO]])))</f>
        <v>0</v>
      </c>
      <c r="AJ39" s="40" t="n">
        <f aca="false">+IF(Tabla[[#This Row],[FECHA PAGO / ABONO]]&lt;1,0,(YEAR(Tabla[[#This Row],[FECHA PAGO / ABONO]])))</f>
        <v>0</v>
      </c>
      <c r="AK39" s="41"/>
    </row>
    <row r="40" customFormat="false" ht="14.25" hidden="false" customHeight="false" outlineLevel="0" collapsed="false">
      <c r="A40" s="28" t="s">
        <v>101</v>
      </c>
      <c r="B40" s="29" t="s">
        <v>102</v>
      </c>
      <c r="C40" s="29" t="s">
        <v>69</v>
      </c>
      <c r="D40" s="21" t="n">
        <v>29259123</v>
      </c>
      <c r="E40" s="21" t="str">
        <f aca="false">+CONCATENATE(Tabla[[#This Row],[RUT]],Tabla[[#This Row],[PROVEEDOR]],Tabla[[#This Row],[FACTURA]])</f>
        <v>97006000-6BANCO DE CREDITO E INVERSIONES29259123</v>
      </c>
      <c r="F40" s="30" t="n">
        <v>46030</v>
      </c>
      <c r="G40" s="31" t="n">
        <f aca="false">+F40+30</f>
        <v>46060</v>
      </c>
      <c r="H40" s="29" t="n">
        <f aca="true">+IF(AE40="PAGADA",0,TODAY()-G40)</f>
        <v>0</v>
      </c>
      <c r="I40" s="29" t="str">
        <f aca="false">+IF(H40&gt;180,"Atrasada",IF(H40&gt;150,"150 dias",IF(H40&gt;120,"120 dias",IF(H40&gt;90,"90 dias",IF(H40&gt;60,"60 dias",IF(H40&gt;30,"30 dias","Al Día"))))))</f>
        <v>Al Día</v>
      </c>
      <c r="J40" s="32" t="s">
        <v>31</v>
      </c>
      <c r="K40" s="29" t="s">
        <v>71</v>
      </c>
      <c r="L40" s="33" t="s">
        <v>72</v>
      </c>
      <c r="M40" s="29" t="n">
        <f aca="false">+YEAR(F40)</f>
        <v>2026</v>
      </c>
      <c r="N40" s="29" t="n">
        <v>2026</v>
      </c>
      <c r="O40" s="29" t="n">
        <v>1</v>
      </c>
      <c r="P40" s="29" t="str">
        <f aca="false">+CONCATENATE(Tabla[[#This Row],[MES CAMPAÑA]],"/",Tabla[[#This Row],[AÑO CAMPAÑA]])</f>
        <v>1/2026</v>
      </c>
      <c r="Q40" s="29" t="s">
        <v>73</v>
      </c>
      <c r="R40" s="29" t="s">
        <v>74</v>
      </c>
      <c r="S40" s="34" t="n">
        <v>0</v>
      </c>
      <c r="T40" s="34" t="n">
        <v>235686</v>
      </c>
      <c r="U40" s="34" t="n">
        <v>44781</v>
      </c>
      <c r="V40" s="29"/>
      <c r="W40" s="35" t="n">
        <v>280467</v>
      </c>
      <c r="X40" s="36" t="n">
        <f aca="false">+Tabla[[#This Row],[TOTAL]]</f>
        <v>280467</v>
      </c>
      <c r="Y40" s="37"/>
      <c r="Z40" s="37"/>
      <c r="AA40" s="37"/>
      <c r="AB40" s="38" t="n">
        <f aca="false">+W40-AC40</f>
        <v>0</v>
      </c>
      <c r="AC40" s="34" t="n">
        <f aca="false">+Tabla[[#This Row],[P4]]+Tabla[[#This Row],[P3]]+Tabla[[#This Row],[P2]]+Tabla[[#This Row],[P1]]</f>
        <v>280467</v>
      </c>
      <c r="AD40" s="34" t="n">
        <f aca="false">+W40-AC40</f>
        <v>0</v>
      </c>
      <c r="AE40" s="21" t="str">
        <f aca="false">IF(AB40&lt;1,"PAGADA","PENDIENTE")</f>
        <v>PAGADA</v>
      </c>
      <c r="AF40" s="21"/>
      <c r="AG40" s="29"/>
      <c r="AH40" s="40"/>
      <c r="AI40" s="40" t="n">
        <f aca="false">+IF(Tabla[[#This Row],[FECHA PAGO / ABONO]]&lt;1,0,(MONTH(Tabla[[#This Row],[FECHA PAGO / ABONO]])))</f>
        <v>0</v>
      </c>
      <c r="AJ40" s="40" t="n">
        <f aca="false">+IF(Tabla[[#This Row],[FECHA PAGO / ABONO]]&lt;1,0,(YEAR(Tabla[[#This Row],[FECHA PAGO / ABONO]])))</f>
        <v>0</v>
      </c>
      <c r="AK40" s="41"/>
    </row>
    <row r="41" customFormat="false" ht="14.25" hidden="false" customHeight="false" outlineLevel="0" collapsed="false">
      <c r="A41" s="28" t="s">
        <v>101</v>
      </c>
      <c r="B41" s="29" t="s">
        <v>102</v>
      </c>
      <c r="C41" s="29" t="s">
        <v>69</v>
      </c>
      <c r="D41" s="21" t="n">
        <v>29259124</v>
      </c>
      <c r="E41" s="21" t="str">
        <f aca="false">+CONCATENATE(Tabla[[#This Row],[RUT]],Tabla[[#This Row],[PROVEEDOR]],Tabla[[#This Row],[FACTURA]])</f>
        <v>97006000-6BANCO DE CREDITO E INVERSIONES29259124</v>
      </c>
      <c r="F41" s="30" t="n">
        <v>46030</v>
      </c>
      <c r="G41" s="31" t="n">
        <f aca="false">+F41+30</f>
        <v>46060</v>
      </c>
      <c r="H41" s="29" t="n">
        <f aca="true">+IF(AE41="PAGADA",0,TODAY()-G41)</f>
        <v>0</v>
      </c>
      <c r="I41" s="29" t="str">
        <f aca="false">+IF(H41&gt;180,"Atrasada",IF(H41&gt;150,"150 dias",IF(H41&gt;120,"120 dias",IF(H41&gt;90,"90 dias",IF(H41&gt;60,"60 dias",IF(H41&gt;30,"30 dias","Al Día"))))))</f>
        <v>Al Día</v>
      </c>
      <c r="J41" s="32" t="s">
        <v>31</v>
      </c>
      <c r="K41" s="29" t="s">
        <v>71</v>
      </c>
      <c r="L41" s="33" t="s">
        <v>72</v>
      </c>
      <c r="M41" s="29" t="n">
        <f aca="false">+YEAR(F41)</f>
        <v>2026</v>
      </c>
      <c r="N41" s="29" t="n">
        <v>2026</v>
      </c>
      <c r="O41" s="29" t="n">
        <v>1</v>
      </c>
      <c r="P41" s="29" t="str">
        <f aca="false">+CONCATENATE(Tabla[[#This Row],[MES CAMPAÑA]],"/",Tabla[[#This Row],[AÑO CAMPAÑA]])</f>
        <v>1/2026</v>
      </c>
      <c r="Q41" s="29" t="s">
        <v>73</v>
      </c>
      <c r="R41" s="29" t="s">
        <v>74</v>
      </c>
      <c r="S41" s="34" t="n">
        <v>0</v>
      </c>
      <c r="T41" s="34" t="n">
        <v>2106</v>
      </c>
      <c r="U41" s="34" t="n">
        <v>400</v>
      </c>
      <c r="V41" s="29"/>
      <c r="W41" s="35" t="n">
        <v>2506</v>
      </c>
      <c r="X41" s="36" t="n">
        <f aca="false">+Tabla[[#This Row],[TOTAL]]</f>
        <v>2506</v>
      </c>
      <c r="Y41" s="37"/>
      <c r="Z41" s="37"/>
      <c r="AA41" s="37"/>
      <c r="AB41" s="38" t="n">
        <f aca="false">+W41-AC41</f>
        <v>0</v>
      </c>
      <c r="AC41" s="34" t="n">
        <f aca="false">+Tabla[[#This Row],[P4]]+Tabla[[#This Row],[P3]]+Tabla[[#This Row],[P2]]+Tabla[[#This Row],[P1]]</f>
        <v>2506</v>
      </c>
      <c r="AD41" s="34" t="n">
        <f aca="false">+W41-AC41</f>
        <v>0</v>
      </c>
      <c r="AE41" s="21" t="str">
        <f aca="false">IF(AB41&lt;1,"PAGADA","PENDIENTE")</f>
        <v>PAGADA</v>
      </c>
      <c r="AF41" s="21"/>
      <c r="AG41" s="29"/>
      <c r="AH41" s="40"/>
      <c r="AI41" s="40" t="n">
        <f aca="false">+IF(Tabla[[#This Row],[FECHA PAGO / ABONO]]&lt;1,0,(MONTH(Tabla[[#This Row],[FECHA PAGO / ABONO]])))</f>
        <v>0</v>
      </c>
      <c r="AJ41" s="40" t="n">
        <f aca="false">+IF(Tabla[[#This Row],[FECHA PAGO / ABONO]]&lt;1,0,(YEAR(Tabla[[#This Row],[FECHA PAGO / ABONO]])))</f>
        <v>0</v>
      </c>
      <c r="AK41" s="41"/>
    </row>
    <row r="42" customFormat="false" ht="14.25" hidden="false" customHeight="false" outlineLevel="0" collapsed="false">
      <c r="A42" s="28" t="s">
        <v>103</v>
      </c>
      <c r="B42" s="29" t="s">
        <v>104</v>
      </c>
      <c r="C42" s="29" t="s">
        <v>69</v>
      </c>
      <c r="D42" s="21" t="n">
        <v>1621112</v>
      </c>
      <c r="E42" s="21" t="str">
        <f aca="false">+CONCATENATE(Tabla[[#This Row],[RUT]],Tabla[[#This Row],[PROVEEDOR]],Tabla[[#This Row],[FACTURA]])</f>
        <v>76590840-KZURICH SANTANDER SEGUROS GENERALES CHILE S1621112</v>
      </c>
      <c r="F42" s="30" t="n">
        <v>46030</v>
      </c>
      <c r="G42" s="31" t="n">
        <f aca="false">+F42+30</f>
        <v>46060</v>
      </c>
      <c r="H42" s="29" t="n">
        <f aca="true">+IF(AE42="PAGADA",0,TODAY()-G42)</f>
        <v>0</v>
      </c>
      <c r="I42" s="29" t="str">
        <f aca="false">+IF(H42&gt;180,"Atrasada",IF(H42&gt;150,"150 dias",IF(H42&gt;120,"120 dias",IF(H42&gt;90,"90 dias",IF(H42&gt;60,"60 dias",IF(H42&gt;30,"30 dias","Al Día"))))))</f>
        <v>Al Día</v>
      </c>
      <c r="J42" s="32" t="s">
        <v>31</v>
      </c>
      <c r="K42" s="29" t="s">
        <v>71</v>
      </c>
      <c r="L42" s="33" t="s">
        <v>72</v>
      </c>
      <c r="M42" s="29" t="n">
        <f aca="false">+YEAR(F42)</f>
        <v>2026</v>
      </c>
      <c r="N42" s="29" t="n">
        <v>2026</v>
      </c>
      <c r="O42" s="29" t="n">
        <v>1</v>
      </c>
      <c r="P42" s="29" t="str">
        <f aca="false">+CONCATENATE(Tabla[[#This Row],[MES CAMPAÑA]],"/",Tabla[[#This Row],[AÑO CAMPAÑA]])</f>
        <v>1/2026</v>
      </c>
      <c r="Q42" s="29" t="s">
        <v>73</v>
      </c>
      <c r="R42" s="29" t="s">
        <v>74</v>
      </c>
      <c r="S42" s="34" t="n">
        <v>0</v>
      </c>
      <c r="T42" s="34" t="n">
        <v>7465</v>
      </c>
      <c r="U42" s="34" t="n">
        <v>1419</v>
      </c>
      <c r="V42" s="29"/>
      <c r="W42" s="35" t="n">
        <v>8884</v>
      </c>
      <c r="X42" s="36" t="n">
        <f aca="false">+Tabla[[#This Row],[TOTAL]]</f>
        <v>8884</v>
      </c>
      <c r="Y42" s="37"/>
      <c r="Z42" s="37"/>
      <c r="AA42" s="37"/>
      <c r="AB42" s="38" t="n">
        <f aca="false">+W42-AC42</f>
        <v>0</v>
      </c>
      <c r="AC42" s="34" t="n">
        <f aca="false">+Tabla[[#This Row],[P4]]+Tabla[[#This Row],[P3]]+Tabla[[#This Row],[P2]]+Tabla[[#This Row],[P1]]</f>
        <v>8884</v>
      </c>
      <c r="AD42" s="34" t="n">
        <f aca="false">+W42-AC42</f>
        <v>0</v>
      </c>
      <c r="AE42" s="21" t="str">
        <f aca="false">IF(AB42&lt;1,"PAGADA","PENDIENTE")</f>
        <v>PAGADA</v>
      </c>
      <c r="AF42" s="21"/>
      <c r="AG42" s="29"/>
      <c r="AH42" s="40"/>
      <c r="AI42" s="40" t="n">
        <f aca="false">+IF(Tabla[[#This Row],[FECHA PAGO / ABONO]]&lt;1,0,(MONTH(Tabla[[#This Row],[FECHA PAGO / ABONO]])))</f>
        <v>0</v>
      </c>
      <c r="AJ42" s="40" t="n">
        <f aca="false">+IF(Tabla[[#This Row],[FECHA PAGO / ABONO]]&lt;1,0,(YEAR(Tabla[[#This Row],[FECHA PAGO / ABONO]])))</f>
        <v>0</v>
      </c>
      <c r="AK42" s="41"/>
    </row>
    <row r="43" customFormat="false" ht="14.25" hidden="false" customHeight="false" outlineLevel="0" collapsed="false">
      <c r="A43" s="28" t="s">
        <v>95</v>
      </c>
      <c r="B43" s="29" t="s">
        <v>96</v>
      </c>
      <c r="C43" s="29" t="s">
        <v>69</v>
      </c>
      <c r="D43" s="21" t="n">
        <v>2999</v>
      </c>
      <c r="E43" s="21" t="str">
        <f aca="false">+CONCATENATE(Tabla[[#This Row],[RUT]],Tabla[[#This Row],[PROVEEDOR]],Tabla[[#This Row],[FACTURA]])</f>
        <v>77199950-6TABACH Y SALAS LIMITADA2999</v>
      </c>
      <c r="F43" s="30" t="n">
        <v>46030</v>
      </c>
      <c r="G43" s="31" t="n">
        <f aca="false">+F43+30</f>
        <v>46060</v>
      </c>
      <c r="H43" s="29" t="n">
        <f aca="true">+IF(AE43="PAGADA",0,TODAY()-G43)</f>
        <v>0</v>
      </c>
      <c r="I43" s="29" t="str">
        <f aca="false">+IF(H43&gt;180,"Atrasada",IF(H43&gt;150,"150 dias",IF(H43&gt;120,"120 dias",IF(H43&gt;90,"90 dias",IF(H43&gt;60,"60 dias",IF(H43&gt;30,"30 dias","Al Día"))))))</f>
        <v>Al Día</v>
      </c>
      <c r="J43" s="32" t="s">
        <v>80</v>
      </c>
      <c r="K43" s="29" t="s">
        <v>81</v>
      </c>
      <c r="L43" s="33" t="s">
        <v>72</v>
      </c>
      <c r="M43" s="29" t="n">
        <f aca="false">+YEAR(F43)</f>
        <v>2026</v>
      </c>
      <c r="N43" s="29" t="n">
        <v>2025</v>
      </c>
      <c r="O43" s="29" t="n">
        <v>11</v>
      </c>
      <c r="P43" s="29" t="str">
        <f aca="false">+CONCATENATE(Tabla[[#This Row],[MES CAMPAÑA]],"/",Tabla[[#This Row],[AÑO CAMPAÑA]])</f>
        <v>11/2025</v>
      </c>
      <c r="Q43" s="29" t="s">
        <v>105</v>
      </c>
      <c r="R43" s="29" t="s">
        <v>74</v>
      </c>
      <c r="S43" s="34" t="n">
        <v>0</v>
      </c>
      <c r="T43" s="34" t="n">
        <v>2980000</v>
      </c>
      <c r="U43" s="34" t="n">
        <v>566200</v>
      </c>
      <c r="V43" s="29"/>
      <c r="W43" s="35" t="n">
        <v>3546200</v>
      </c>
      <c r="X43" s="36" t="n">
        <f aca="false">+Tabla[[#This Row],[TOTAL]]</f>
        <v>3546200</v>
      </c>
      <c r="Y43" s="37"/>
      <c r="Z43" s="37"/>
      <c r="AA43" s="37"/>
      <c r="AB43" s="38" t="n">
        <f aca="false">+W43-AC43</f>
        <v>0</v>
      </c>
      <c r="AC43" s="34" t="n">
        <f aca="false">+Tabla[[#This Row],[P4]]+Tabla[[#This Row],[P3]]+Tabla[[#This Row],[P2]]+Tabla[[#This Row],[P1]]</f>
        <v>3546200</v>
      </c>
      <c r="AD43" s="34" t="n">
        <f aca="false">+W43-AC43</f>
        <v>0</v>
      </c>
      <c r="AE43" s="21" t="str">
        <f aca="false">IF(AB43&lt;1,"PAGADA","PENDIENTE")</f>
        <v>PAGADA</v>
      </c>
      <c r="AF43" s="21"/>
      <c r="AG43" s="29" t="s">
        <v>77</v>
      </c>
      <c r="AH43" s="39" t="n">
        <v>46107</v>
      </c>
      <c r="AI43" s="40" t="n">
        <f aca="false">+IF(Tabla[[#This Row],[FECHA PAGO / ABONO]]&lt;1,0,(MONTH(Tabla[[#This Row],[FECHA PAGO / ABONO]])))</f>
        <v>3</v>
      </c>
      <c r="AJ43" s="40" t="n">
        <f aca="false">+IF(Tabla[[#This Row],[FECHA PAGO / ABONO]]&lt;1,0,(YEAR(Tabla[[#This Row],[FECHA PAGO / ABONO]])))</f>
        <v>2026</v>
      </c>
      <c r="AK43" s="41"/>
    </row>
    <row r="44" customFormat="false" ht="14.25" hidden="false" customHeight="false" outlineLevel="0" collapsed="false">
      <c r="A44" s="28" t="s">
        <v>106</v>
      </c>
      <c r="B44" s="29" t="s">
        <v>107</v>
      </c>
      <c r="C44" s="29" t="s">
        <v>69</v>
      </c>
      <c r="D44" s="21" t="n">
        <v>82</v>
      </c>
      <c r="E44" s="21" t="str">
        <f aca="false">+CONCATENATE(Tabla[[#This Row],[RUT]],Tabla[[#This Row],[PROVEEDOR]],Tabla[[#This Row],[FACTURA]])</f>
        <v>77903221-3CHILE MINERO SPA82</v>
      </c>
      <c r="F44" s="30" t="n">
        <v>46031</v>
      </c>
      <c r="G44" s="31" t="n">
        <f aca="false">+F44+30</f>
        <v>46061</v>
      </c>
      <c r="H44" s="29" t="n">
        <f aca="true">+IF(AE44="PAGADA",0,TODAY()-G44)</f>
        <v>0</v>
      </c>
      <c r="I44" s="29" t="str">
        <f aca="false">+IF(H44&gt;180,"Atrasada",IF(H44&gt;150,"150 dias",IF(H44&gt;120,"120 dias",IF(H44&gt;90,"90 dias",IF(H44&gt;60,"60 dias",IF(H44&gt;30,"30 dias","Al Día"))))))</f>
        <v>Al Día</v>
      </c>
      <c r="J44" s="32" t="s">
        <v>80</v>
      </c>
      <c r="K44" s="29" t="s">
        <v>81</v>
      </c>
      <c r="L44" s="33" t="s">
        <v>72</v>
      </c>
      <c r="M44" s="29" t="n">
        <f aca="false">+YEAR(F44)</f>
        <v>2026</v>
      </c>
      <c r="N44" s="29" t="n">
        <v>2025</v>
      </c>
      <c r="O44" s="29" t="n">
        <v>11</v>
      </c>
      <c r="P44" s="29" t="str">
        <f aca="false">+CONCATENATE(Tabla[[#This Row],[MES CAMPAÑA]],"/",Tabla[[#This Row],[AÑO CAMPAÑA]])</f>
        <v>11/2025</v>
      </c>
      <c r="Q44" s="29" t="s">
        <v>108</v>
      </c>
      <c r="R44" s="29" t="s">
        <v>74</v>
      </c>
      <c r="S44" s="34" t="n">
        <v>0</v>
      </c>
      <c r="T44" s="34" t="n">
        <v>700000</v>
      </c>
      <c r="U44" s="34" t="n">
        <v>133000</v>
      </c>
      <c r="V44" s="29"/>
      <c r="W44" s="35" t="n">
        <v>833000</v>
      </c>
      <c r="X44" s="36" t="n">
        <f aca="false">+Tabla[[#This Row],[TOTAL]]</f>
        <v>833000</v>
      </c>
      <c r="Y44" s="37"/>
      <c r="Z44" s="37"/>
      <c r="AA44" s="37"/>
      <c r="AB44" s="38" t="n">
        <f aca="false">+W44-AC44</f>
        <v>0</v>
      </c>
      <c r="AC44" s="34" t="n">
        <f aca="false">+Tabla[[#This Row],[P4]]+Tabla[[#This Row],[P3]]+Tabla[[#This Row],[P2]]+Tabla[[#This Row],[P1]]</f>
        <v>833000</v>
      </c>
      <c r="AD44" s="34" t="n">
        <f aca="false">+W44-AC44</f>
        <v>0</v>
      </c>
      <c r="AE44" s="21" t="str">
        <f aca="false">IF(AB44&lt;1,"PAGADA","PENDIENTE")</f>
        <v>PAGADA</v>
      </c>
      <c r="AF44" s="21"/>
      <c r="AG44" s="29" t="s">
        <v>77</v>
      </c>
      <c r="AH44" s="39" t="n">
        <v>46045</v>
      </c>
      <c r="AI44" s="40" t="n">
        <f aca="false">+IF(Tabla[[#This Row],[FECHA PAGO / ABONO]]&lt;1,0,(MONTH(Tabla[[#This Row],[FECHA PAGO / ABONO]])))</f>
        <v>1</v>
      </c>
      <c r="AJ44" s="40" t="n">
        <f aca="false">+IF(Tabla[[#This Row],[FECHA PAGO / ABONO]]&lt;1,0,(YEAR(Tabla[[#This Row],[FECHA PAGO / ABONO]])))</f>
        <v>2026</v>
      </c>
      <c r="AK44" s="41"/>
    </row>
    <row r="45" customFormat="false" ht="14.25" hidden="false" customHeight="false" outlineLevel="0" collapsed="false">
      <c r="A45" s="28" t="s">
        <v>101</v>
      </c>
      <c r="B45" s="29" t="s">
        <v>102</v>
      </c>
      <c r="C45" s="29" t="s">
        <v>69</v>
      </c>
      <c r="D45" s="21" t="n">
        <v>29277160</v>
      </c>
      <c r="E45" s="21" t="str">
        <f aca="false">+CONCATENATE(Tabla[[#This Row],[RUT]],Tabla[[#This Row],[PROVEEDOR]],Tabla[[#This Row],[FACTURA]])</f>
        <v>97006000-6BANCO DE CREDITO E INVERSIONES29277160</v>
      </c>
      <c r="F45" s="30" t="n">
        <v>46031</v>
      </c>
      <c r="G45" s="31" t="n">
        <f aca="false">+F45+30</f>
        <v>46061</v>
      </c>
      <c r="H45" s="29" t="n">
        <f aca="true">+IF(AE45="PAGADA",0,TODAY()-G45)</f>
        <v>0</v>
      </c>
      <c r="I45" s="29" t="str">
        <f aca="false">+IF(H45&gt;180,"Atrasada",IF(H45&gt;150,"150 dias",IF(H45&gt;120,"120 dias",IF(H45&gt;90,"90 dias",IF(H45&gt;60,"60 dias",IF(H45&gt;30,"30 dias","Al Día"))))))</f>
        <v>Al Día</v>
      </c>
      <c r="J45" s="32" t="s">
        <v>31</v>
      </c>
      <c r="K45" s="29" t="s">
        <v>71</v>
      </c>
      <c r="L45" s="33" t="s">
        <v>72</v>
      </c>
      <c r="M45" s="29" t="n">
        <f aca="false">+YEAR(F45)</f>
        <v>2026</v>
      </c>
      <c r="N45" s="29" t="n">
        <v>2026</v>
      </c>
      <c r="O45" s="29" t="n">
        <v>1</v>
      </c>
      <c r="P45" s="29" t="str">
        <f aca="false">+CONCATENATE(Tabla[[#This Row],[MES CAMPAÑA]],"/",Tabla[[#This Row],[AÑO CAMPAÑA]])</f>
        <v>1/2026</v>
      </c>
      <c r="Q45" s="29" t="s">
        <v>73</v>
      </c>
      <c r="R45" s="29" t="s">
        <v>74</v>
      </c>
      <c r="S45" s="34" t="n">
        <v>0</v>
      </c>
      <c r="T45" s="34" t="n">
        <v>14712</v>
      </c>
      <c r="U45" s="34" t="n">
        <v>2795</v>
      </c>
      <c r="V45" s="29"/>
      <c r="W45" s="35" t="n">
        <v>17507</v>
      </c>
      <c r="X45" s="36" t="n">
        <f aca="false">+Tabla[[#This Row],[TOTAL]]</f>
        <v>17507</v>
      </c>
      <c r="Y45" s="37"/>
      <c r="Z45" s="37"/>
      <c r="AA45" s="37"/>
      <c r="AB45" s="38" t="n">
        <f aca="false">+W45-AC45</f>
        <v>0</v>
      </c>
      <c r="AC45" s="34" t="n">
        <f aca="false">+Tabla[[#This Row],[P4]]+Tabla[[#This Row],[P3]]+Tabla[[#This Row],[P2]]+Tabla[[#This Row],[P1]]</f>
        <v>17507</v>
      </c>
      <c r="AD45" s="34" t="n">
        <f aca="false">+W45-AC45</f>
        <v>0</v>
      </c>
      <c r="AE45" s="21" t="str">
        <f aca="false">IF(AB45&lt;1,"PAGADA","PENDIENTE")</f>
        <v>PAGADA</v>
      </c>
      <c r="AF45" s="21"/>
      <c r="AG45" s="29"/>
      <c r="AH45" s="40"/>
      <c r="AI45" s="40" t="n">
        <f aca="false">+IF(Tabla[[#This Row],[FECHA PAGO / ABONO]]&lt;1,0,(MONTH(Tabla[[#This Row],[FECHA PAGO / ABONO]])))</f>
        <v>0</v>
      </c>
      <c r="AJ45" s="40" t="n">
        <f aca="false">+IF(Tabla[[#This Row],[FECHA PAGO / ABONO]]&lt;1,0,(YEAR(Tabla[[#This Row],[FECHA PAGO / ABONO]])))</f>
        <v>0</v>
      </c>
      <c r="AK45" s="41"/>
    </row>
    <row r="46" customFormat="false" ht="14.25" hidden="false" customHeight="false" outlineLevel="0" collapsed="false">
      <c r="A46" s="28" t="s">
        <v>109</v>
      </c>
      <c r="B46" s="29" t="s">
        <v>110</v>
      </c>
      <c r="C46" s="29" t="s">
        <v>69</v>
      </c>
      <c r="D46" s="21" t="n">
        <v>2540</v>
      </c>
      <c r="E46" s="21" t="str">
        <f aca="false">+CONCATENATE(Tabla[[#This Row],[RUT]],Tabla[[#This Row],[PROVEEDOR]],Tabla[[#This Row],[FACTURA]])</f>
        <v>76091612-9ALTA ESFERA COMUNICACIONES LIMITADA2540</v>
      </c>
      <c r="F46" s="30" t="n">
        <v>46032</v>
      </c>
      <c r="G46" s="31" t="n">
        <f aca="false">+F46+30</f>
        <v>46062</v>
      </c>
      <c r="H46" s="29" t="n">
        <f aca="true">+IF(AE46="PAGADA",0,TODAY()-G46)</f>
        <v>142</v>
      </c>
      <c r="I46" s="29" t="str">
        <f aca="false">+IF(H46&gt;180,"Atrasada",IF(H46&gt;150,"150 dias",IF(H46&gt;120,"120 dias",IF(H46&gt;90,"90 dias",IF(H46&gt;60,"60 dias",IF(H46&gt;30,"30 dias","Al Día"))))))</f>
        <v>120 dias</v>
      </c>
      <c r="J46" s="32" t="s">
        <v>80</v>
      </c>
      <c r="K46" s="29" t="s">
        <v>81</v>
      </c>
      <c r="L46" s="33" t="s">
        <v>72</v>
      </c>
      <c r="M46" s="29" t="n">
        <f aca="false">+YEAR(F46)</f>
        <v>2026</v>
      </c>
      <c r="N46" s="29" t="n">
        <v>2025</v>
      </c>
      <c r="O46" s="29" t="n">
        <v>11</v>
      </c>
      <c r="P46" s="29" t="str">
        <f aca="false">+CONCATENATE(Tabla[[#This Row],[MES CAMPAÑA]],"/",Tabla[[#This Row],[AÑO CAMPAÑA]])</f>
        <v>11/2025</v>
      </c>
      <c r="Q46" s="29" t="s">
        <v>111</v>
      </c>
      <c r="R46" s="29" t="s">
        <v>74</v>
      </c>
      <c r="S46" s="34" t="n">
        <v>0</v>
      </c>
      <c r="T46" s="34" t="n">
        <v>7456899</v>
      </c>
      <c r="U46" s="34" t="n">
        <v>1416811</v>
      </c>
      <c r="V46" s="29"/>
      <c r="W46" s="35" t="n">
        <v>8873710</v>
      </c>
      <c r="X46" s="36"/>
      <c r="Y46" s="37"/>
      <c r="Z46" s="37"/>
      <c r="AA46" s="37"/>
      <c r="AB46" s="38" t="n">
        <f aca="false">+W46-AC46</f>
        <v>8873710</v>
      </c>
      <c r="AC46" s="34" t="n">
        <f aca="false">+Tabla[[#This Row],[P4]]+Tabla[[#This Row],[P3]]+Tabla[[#This Row],[P2]]+Tabla[[#This Row],[P1]]</f>
        <v>0</v>
      </c>
      <c r="AD46" s="34" t="n">
        <f aca="false">+W46-AC46</f>
        <v>8873710</v>
      </c>
      <c r="AE46" s="21" t="str">
        <f aca="false">IF(AB46&lt;1,"PAGADA","PENDIENTE")</f>
        <v>PENDIENTE</v>
      </c>
      <c r="AF46" s="21"/>
      <c r="AG46" s="29"/>
      <c r="AH46" s="40"/>
      <c r="AI46" s="40" t="n">
        <f aca="false">+IF(Tabla[[#This Row],[FECHA PAGO / ABONO]]&lt;1,0,(MONTH(Tabla[[#This Row],[FECHA PAGO / ABONO]])))</f>
        <v>0</v>
      </c>
      <c r="AJ46" s="40" t="n">
        <f aca="false">+IF(Tabla[[#This Row],[FECHA PAGO / ABONO]]&lt;1,0,(YEAR(Tabla[[#This Row],[FECHA PAGO / ABONO]])))</f>
        <v>0</v>
      </c>
      <c r="AK46" s="41"/>
    </row>
    <row r="47" customFormat="false" ht="14.25" hidden="false" customHeight="false" outlineLevel="0" collapsed="false">
      <c r="A47" s="28" t="s">
        <v>109</v>
      </c>
      <c r="B47" s="29" t="s">
        <v>110</v>
      </c>
      <c r="C47" s="29" t="s">
        <v>69</v>
      </c>
      <c r="D47" s="21" t="n">
        <v>2541</v>
      </c>
      <c r="E47" s="21" t="str">
        <f aca="false">+CONCATENATE(Tabla[[#This Row],[RUT]],Tabla[[#This Row],[PROVEEDOR]],Tabla[[#This Row],[FACTURA]])</f>
        <v>76091612-9ALTA ESFERA COMUNICACIONES LIMITADA2541</v>
      </c>
      <c r="F47" s="30" t="n">
        <v>46032</v>
      </c>
      <c r="G47" s="31" t="n">
        <f aca="false">+F47+30</f>
        <v>46062</v>
      </c>
      <c r="H47" s="29" t="n">
        <f aca="true">+IF(AE47="PAGADA",0,TODAY()-G47)</f>
        <v>142</v>
      </c>
      <c r="I47" s="29" t="str">
        <f aca="false">+IF(H47&gt;180,"Atrasada",IF(H47&gt;150,"150 dias",IF(H47&gt;120,"120 dias",IF(H47&gt;90,"90 dias",IF(H47&gt;60,"60 dias",IF(H47&gt;30,"30 dias","Al Día"))))))</f>
        <v>120 dias</v>
      </c>
      <c r="J47" s="32" t="s">
        <v>80</v>
      </c>
      <c r="K47" s="29" t="s">
        <v>81</v>
      </c>
      <c r="L47" s="33" t="s">
        <v>72</v>
      </c>
      <c r="M47" s="29" t="n">
        <f aca="false">+YEAR(F47)</f>
        <v>2026</v>
      </c>
      <c r="N47" s="29" t="n">
        <v>2025</v>
      </c>
      <c r="O47" s="29" t="n">
        <v>11</v>
      </c>
      <c r="P47" s="29" t="str">
        <f aca="false">+CONCATENATE(Tabla[[#This Row],[MES CAMPAÑA]],"/",Tabla[[#This Row],[AÑO CAMPAÑA]])</f>
        <v>11/2025</v>
      </c>
      <c r="Q47" s="29" t="s">
        <v>111</v>
      </c>
      <c r="R47" s="29" t="s">
        <v>74</v>
      </c>
      <c r="S47" s="34" t="n">
        <v>0</v>
      </c>
      <c r="T47" s="34" t="n">
        <v>608000</v>
      </c>
      <c r="U47" s="34" t="n">
        <v>115520</v>
      </c>
      <c r="V47" s="29"/>
      <c r="W47" s="35" t="n">
        <v>723520</v>
      </c>
      <c r="X47" s="36"/>
      <c r="Y47" s="37"/>
      <c r="Z47" s="37"/>
      <c r="AA47" s="37"/>
      <c r="AB47" s="38" t="n">
        <f aca="false">+W47-AC47</f>
        <v>723520</v>
      </c>
      <c r="AC47" s="34" t="n">
        <f aca="false">+Tabla[[#This Row],[P4]]+Tabla[[#This Row],[P3]]+Tabla[[#This Row],[P2]]+Tabla[[#This Row],[P1]]</f>
        <v>0</v>
      </c>
      <c r="AD47" s="34" t="n">
        <f aca="false">+W47-AC47</f>
        <v>723520</v>
      </c>
      <c r="AE47" s="21" t="str">
        <f aca="false">IF(AB47&lt;1,"PAGADA","PENDIENTE")</f>
        <v>PENDIENTE</v>
      </c>
      <c r="AF47" s="21"/>
      <c r="AG47" s="29"/>
      <c r="AH47" s="40"/>
      <c r="AI47" s="40" t="n">
        <f aca="false">+IF(Tabla[[#This Row],[FECHA PAGO / ABONO]]&lt;1,0,(MONTH(Tabla[[#This Row],[FECHA PAGO / ABONO]])))</f>
        <v>0</v>
      </c>
      <c r="AJ47" s="40" t="n">
        <f aca="false">+IF(Tabla[[#This Row],[FECHA PAGO / ABONO]]&lt;1,0,(YEAR(Tabla[[#This Row],[FECHA PAGO / ABONO]])))</f>
        <v>0</v>
      </c>
      <c r="AK47" s="41"/>
    </row>
    <row r="48" customFormat="false" ht="14.25" hidden="false" customHeight="false" outlineLevel="0" collapsed="false">
      <c r="A48" s="28" t="s">
        <v>109</v>
      </c>
      <c r="B48" s="29" t="s">
        <v>110</v>
      </c>
      <c r="C48" s="29" t="s">
        <v>69</v>
      </c>
      <c r="D48" s="21" t="n">
        <v>2542</v>
      </c>
      <c r="E48" s="21" t="str">
        <f aca="false">+CONCATENATE(Tabla[[#This Row],[RUT]],Tabla[[#This Row],[PROVEEDOR]],Tabla[[#This Row],[FACTURA]])</f>
        <v>76091612-9ALTA ESFERA COMUNICACIONES LIMITADA2542</v>
      </c>
      <c r="F48" s="30" t="n">
        <v>46032</v>
      </c>
      <c r="G48" s="31" t="n">
        <f aca="false">+F48+30</f>
        <v>46062</v>
      </c>
      <c r="H48" s="29" t="n">
        <f aca="true">+IF(AE48="PAGADA",0,TODAY()-G48)</f>
        <v>142</v>
      </c>
      <c r="I48" s="29" t="str">
        <f aca="false">+IF(H48&gt;180,"Atrasada",IF(H48&gt;150,"150 dias",IF(H48&gt;120,"120 dias",IF(H48&gt;90,"90 dias",IF(H48&gt;60,"60 dias",IF(H48&gt;30,"30 dias","Al Día"))))))</f>
        <v>120 dias</v>
      </c>
      <c r="J48" s="32" t="s">
        <v>80</v>
      </c>
      <c r="K48" s="29" t="s">
        <v>81</v>
      </c>
      <c r="L48" s="33" t="s">
        <v>72</v>
      </c>
      <c r="M48" s="29" t="n">
        <f aca="false">+YEAR(F48)</f>
        <v>2026</v>
      </c>
      <c r="N48" s="29" t="n">
        <v>2025</v>
      </c>
      <c r="O48" s="29" t="n">
        <v>11</v>
      </c>
      <c r="P48" s="29" t="str">
        <f aca="false">+CONCATENATE(Tabla[[#This Row],[MES CAMPAÑA]],"/",Tabla[[#This Row],[AÑO CAMPAÑA]])</f>
        <v>11/2025</v>
      </c>
      <c r="Q48" s="29" t="s">
        <v>111</v>
      </c>
      <c r="R48" s="29" t="s">
        <v>74</v>
      </c>
      <c r="S48" s="34" t="n">
        <v>0</v>
      </c>
      <c r="T48" s="34" t="n">
        <v>845800</v>
      </c>
      <c r="U48" s="34" t="n">
        <v>160702</v>
      </c>
      <c r="V48" s="29"/>
      <c r="W48" s="35" t="n">
        <v>1006502</v>
      </c>
      <c r="X48" s="36"/>
      <c r="Y48" s="37"/>
      <c r="Z48" s="37"/>
      <c r="AA48" s="37"/>
      <c r="AB48" s="38" t="n">
        <f aca="false">+W48-AC48</f>
        <v>1006502</v>
      </c>
      <c r="AC48" s="34" t="n">
        <f aca="false">+Tabla[[#This Row],[P4]]+Tabla[[#This Row],[P3]]+Tabla[[#This Row],[P2]]+Tabla[[#This Row],[P1]]</f>
        <v>0</v>
      </c>
      <c r="AD48" s="34" t="n">
        <f aca="false">+W48-AC48</f>
        <v>1006502</v>
      </c>
      <c r="AE48" s="21" t="str">
        <f aca="false">IF(AB48&lt;1,"PAGADA","PENDIENTE")</f>
        <v>PENDIENTE</v>
      </c>
      <c r="AF48" s="21"/>
      <c r="AG48" s="29"/>
      <c r="AH48" s="40"/>
      <c r="AI48" s="40" t="n">
        <f aca="false">+IF(Tabla[[#This Row],[FECHA PAGO / ABONO]]&lt;1,0,(MONTH(Tabla[[#This Row],[FECHA PAGO / ABONO]])))</f>
        <v>0</v>
      </c>
      <c r="AJ48" s="40" t="n">
        <f aca="false">+IF(Tabla[[#This Row],[FECHA PAGO / ABONO]]&lt;1,0,(YEAR(Tabla[[#This Row],[FECHA PAGO / ABONO]])))</f>
        <v>0</v>
      </c>
      <c r="AK48" s="41"/>
    </row>
    <row r="49" customFormat="false" ht="14.25" hidden="false" customHeight="false" outlineLevel="0" collapsed="false">
      <c r="A49" s="28" t="s">
        <v>109</v>
      </c>
      <c r="B49" s="29" t="s">
        <v>110</v>
      </c>
      <c r="C49" s="29" t="s">
        <v>69</v>
      </c>
      <c r="D49" s="21" t="n">
        <v>2543</v>
      </c>
      <c r="E49" s="21" t="str">
        <f aca="false">+CONCATENATE(Tabla[[#This Row],[RUT]],Tabla[[#This Row],[PROVEEDOR]],Tabla[[#This Row],[FACTURA]])</f>
        <v>76091612-9ALTA ESFERA COMUNICACIONES LIMITADA2543</v>
      </c>
      <c r="F49" s="30" t="n">
        <v>46032</v>
      </c>
      <c r="G49" s="31" t="n">
        <f aca="false">+F49+30</f>
        <v>46062</v>
      </c>
      <c r="H49" s="29" t="n">
        <f aca="true">+IF(AE49="PAGADA",0,TODAY()-G49)</f>
        <v>142</v>
      </c>
      <c r="I49" s="29" t="str">
        <f aca="false">+IF(H49&gt;180,"Atrasada",IF(H49&gt;150,"150 dias",IF(H49&gt;120,"120 dias",IF(H49&gt;90,"90 dias",IF(H49&gt;60,"60 dias",IF(H49&gt;30,"30 dias","Al Día"))))))</f>
        <v>120 dias</v>
      </c>
      <c r="J49" s="32" t="s">
        <v>80</v>
      </c>
      <c r="K49" s="29" t="s">
        <v>81</v>
      </c>
      <c r="L49" s="33" t="s">
        <v>72</v>
      </c>
      <c r="M49" s="29" t="n">
        <f aca="false">+YEAR(F49)</f>
        <v>2026</v>
      </c>
      <c r="N49" s="29" t="n">
        <v>2025</v>
      </c>
      <c r="O49" s="29" t="n">
        <v>11</v>
      </c>
      <c r="P49" s="29" t="str">
        <f aca="false">+CONCATENATE(Tabla[[#This Row],[MES CAMPAÑA]],"/",Tabla[[#This Row],[AÑO CAMPAÑA]])</f>
        <v>11/2025</v>
      </c>
      <c r="Q49" s="29" t="s">
        <v>111</v>
      </c>
      <c r="R49" s="29" t="s">
        <v>74</v>
      </c>
      <c r="S49" s="34" t="n">
        <v>0</v>
      </c>
      <c r="T49" s="34" t="n">
        <v>625000</v>
      </c>
      <c r="U49" s="34" t="n">
        <v>118750</v>
      </c>
      <c r="V49" s="29"/>
      <c r="W49" s="35" t="n">
        <v>743750</v>
      </c>
      <c r="X49" s="36"/>
      <c r="Y49" s="37"/>
      <c r="Z49" s="37"/>
      <c r="AA49" s="37"/>
      <c r="AB49" s="38" t="n">
        <f aca="false">+W49-AC49</f>
        <v>743750</v>
      </c>
      <c r="AC49" s="34" t="n">
        <f aca="false">+Tabla[[#This Row],[P4]]+Tabla[[#This Row],[P3]]+Tabla[[#This Row],[P2]]+Tabla[[#This Row],[P1]]</f>
        <v>0</v>
      </c>
      <c r="AD49" s="34" t="n">
        <f aca="false">+W49-AC49</f>
        <v>743750</v>
      </c>
      <c r="AE49" s="21" t="str">
        <f aca="false">IF(AB49&lt;1,"PAGADA","PENDIENTE")</f>
        <v>PENDIENTE</v>
      </c>
      <c r="AF49" s="21"/>
      <c r="AG49" s="29"/>
      <c r="AH49" s="40"/>
      <c r="AI49" s="40" t="n">
        <f aca="false">+IF(Tabla[[#This Row],[FECHA PAGO / ABONO]]&lt;1,0,(MONTH(Tabla[[#This Row],[FECHA PAGO / ABONO]])))</f>
        <v>0</v>
      </c>
      <c r="AJ49" s="40" t="n">
        <f aca="false">+IF(Tabla[[#This Row],[FECHA PAGO / ABONO]]&lt;1,0,(YEAR(Tabla[[#This Row],[FECHA PAGO / ABONO]])))</f>
        <v>0</v>
      </c>
      <c r="AK49" s="41"/>
    </row>
    <row r="50" customFormat="false" ht="14.25" hidden="false" customHeight="false" outlineLevel="0" collapsed="false">
      <c r="A50" s="28" t="s">
        <v>112</v>
      </c>
      <c r="B50" s="29" t="s">
        <v>113</v>
      </c>
      <c r="C50" s="29" t="s">
        <v>69</v>
      </c>
      <c r="D50" s="21" t="n">
        <v>13080</v>
      </c>
      <c r="E50" s="21" t="str">
        <f aca="false">+CONCATENATE(Tabla[[#This Row],[RUT]],Tabla[[#This Row],[PROVEEDOR]],Tabla[[#This Row],[FACTURA]])</f>
        <v>71614000-8Universidad de los Andes13080</v>
      </c>
      <c r="F50" s="30" t="n">
        <v>46034</v>
      </c>
      <c r="G50" s="31" t="n">
        <f aca="false">+F50+30</f>
        <v>46064</v>
      </c>
      <c r="H50" s="29" t="n">
        <f aca="true">+IF(AE50="PAGADA",0,TODAY()-G50)</f>
        <v>0</v>
      </c>
      <c r="I50" s="29" t="str">
        <f aca="false">+IF(H50&gt;180,"Atrasada",IF(H50&gt;150,"150 dias",IF(H50&gt;120,"120 dias",IF(H50&gt;90,"90 dias",IF(H50&gt;60,"60 dias",IF(H50&gt;30,"30 dias","Al Día"))))))</f>
        <v>Al Día</v>
      </c>
      <c r="J50" s="32" t="s">
        <v>80</v>
      </c>
      <c r="K50" s="29" t="s">
        <v>114</v>
      </c>
      <c r="L50" s="33" t="s">
        <v>72</v>
      </c>
      <c r="M50" s="29" t="n">
        <f aca="false">+YEAR(F50)</f>
        <v>2026</v>
      </c>
      <c r="N50" s="29" t="n">
        <v>2026</v>
      </c>
      <c r="O50" s="29" t="n">
        <v>1</v>
      </c>
      <c r="P50" s="29" t="str">
        <f aca="false">+CONCATENATE(Tabla[[#This Row],[MES CAMPAÑA]],"/",Tabla[[#This Row],[AÑO CAMPAÑA]])</f>
        <v>1/2026</v>
      </c>
      <c r="Q50" s="29" t="s">
        <v>115</v>
      </c>
      <c r="R50" s="29" t="s">
        <v>74</v>
      </c>
      <c r="S50" s="34" t="n">
        <v>0</v>
      </c>
      <c r="T50" s="34" t="n">
        <v>950000</v>
      </c>
      <c r="U50" s="34" t="n">
        <v>180500</v>
      </c>
      <c r="V50" s="29"/>
      <c r="W50" s="35" t="n">
        <v>1130500</v>
      </c>
      <c r="X50" s="36" t="n">
        <f aca="false">+Tabla[[#This Row],[TOTAL]]</f>
        <v>1130500</v>
      </c>
      <c r="Y50" s="37"/>
      <c r="Z50" s="37"/>
      <c r="AA50" s="37"/>
      <c r="AB50" s="38" t="n">
        <f aca="false">+W50-AC50</f>
        <v>0</v>
      </c>
      <c r="AC50" s="34" t="n">
        <f aca="false">+Tabla[[#This Row],[P4]]+Tabla[[#This Row],[P3]]+Tabla[[#This Row],[P2]]+Tabla[[#This Row],[P1]]</f>
        <v>1130500</v>
      </c>
      <c r="AD50" s="34" t="n">
        <f aca="false">+W50-AC50</f>
        <v>0</v>
      </c>
      <c r="AE50" s="21" t="str">
        <f aca="false">IF(AB50&lt;1,"PAGADA","PENDIENTE")</f>
        <v>PAGADA</v>
      </c>
      <c r="AF50" s="21"/>
      <c r="AG50" s="29"/>
      <c r="AH50" s="40"/>
      <c r="AI50" s="40" t="n">
        <f aca="false">+IF(Tabla[[#This Row],[FECHA PAGO / ABONO]]&lt;1,0,(MONTH(Tabla[[#This Row],[FECHA PAGO / ABONO]])))</f>
        <v>0</v>
      </c>
      <c r="AJ50" s="40" t="n">
        <f aca="false">+IF(Tabla[[#This Row],[FECHA PAGO / ABONO]]&lt;1,0,(YEAR(Tabla[[#This Row],[FECHA PAGO / ABONO]])))</f>
        <v>0</v>
      </c>
      <c r="AK50" s="41"/>
    </row>
    <row r="51" customFormat="false" ht="14.25" hidden="false" customHeight="false" outlineLevel="0" collapsed="false">
      <c r="A51" s="28" t="s">
        <v>116</v>
      </c>
      <c r="B51" s="29" t="s">
        <v>117</v>
      </c>
      <c r="C51" s="29" t="s">
        <v>69</v>
      </c>
      <c r="D51" s="21" t="n">
        <v>1234</v>
      </c>
      <c r="E51" s="21" t="str">
        <f aca="false">+CONCATENATE(Tabla[[#This Row],[RUT]],Tabla[[#This Row],[PROVEEDOR]],Tabla[[#This Row],[FACTURA]])</f>
        <v>77954644-6WAPA MARKETING Y COMUNICACIONES LIMITADA.1234</v>
      </c>
      <c r="F51" s="30" t="n">
        <v>46036</v>
      </c>
      <c r="G51" s="31" t="n">
        <f aca="false">+F51+30</f>
        <v>46066</v>
      </c>
      <c r="H51" s="29" t="n">
        <f aca="true">+IF(AE51="PAGADA",0,TODAY()-G51)</f>
        <v>0</v>
      </c>
      <c r="I51" s="29" t="str">
        <f aca="false">+IF(H51&gt;180,"Atrasada",IF(H51&gt;150,"150 dias",IF(H51&gt;120,"120 dias",IF(H51&gt;90,"90 dias",IF(H51&gt;60,"60 dias",IF(H51&gt;30,"30 dias","Al Día"))))))</f>
        <v>Al Día</v>
      </c>
      <c r="J51" s="32" t="s">
        <v>80</v>
      </c>
      <c r="K51" s="29" t="s">
        <v>81</v>
      </c>
      <c r="L51" s="33" t="s">
        <v>72</v>
      </c>
      <c r="M51" s="29" t="n">
        <f aca="false">+YEAR(F51)</f>
        <v>2026</v>
      </c>
      <c r="N51" s="29" t="n">
        <v>2025</v>
      </c>
      <c r="O51" s="29" t="n">
        <v>12</v>
      </c>
      <c r="P51" s="29" t="str">
        <f aca="false">+CONCATENATE(Tabla[[#This Row],[MES CAMPAÑA]],"/",Tabla[[#This Row],[AÑO CAMPAÑA]])</f>
        <v>12/2025</v>
      </c>
      <c r="Q51" s="29" t="s">
        <v>92</v>
      </c>
      <c r="R51" s="29" t="s">
        <v>74</v>
      </c>
      <c r="S51" s="34" t="n">
        <v>0</v>
      </c>
      <c r="T51" s="34" t="n">
        <v>430000</v>
      </c>
      <c r="U51" s="34" t="n">
        <v>81700</v>
      </c>
      <c r="V51" s="29"/>
      <c r="W51" s="35" t="n">
        <v>511700</v>
      </c>
      <c r="X51" s="36" t="n">
        <f aca="false">+Tabla[[#This Row],[TOTAL]]</f>
        <v>511700</v>
      </c>
      <c r="Y51" s="37"/>
      <c r="Z51" s="37"/>
      <c r="AA51" s="37"/>
      <c r="AB51" s="38" t="n">
        <f aca="false">+W51-AC51</f>
        <v>0</v>
      </c>
      <c r="AC51" s="34" t="n">
        <f aca="false">+Tabla[[#This Row],[P4]]+Tabla[[#This Row],[P3]]+Tabla[[#This Row],[P2]]+Tabla[[#This Row],[P1]]</f>
        <v>511700</v>
      </c>
      <c r="AD51" s="34" t="n">
        <f aca="false">+W51-AC51</f>
        <v>0</v>
      </c>
      <c r="AE51" s="21" t="str">
        <f aca="false">IF(AB51&lt;1,"PAGADA","PENDIENTE")</f>
        <v>PAGADA</v>
      </c>
      <c r="AF51" s="21"/>
      <c r="AG51" s="21" t="s">
        <v>77</v>
      </c>
      <c r="AH51" s="39" t="n">
        <v>46070</v>
      </c>
      <c r="AI51" s="40" t="n">
        <f aca="false">+IF(Tabla[[#This Row],[FECHA PAGO / ABONO]]&lt;1,0,(MONTH(Tabla[[#This Row],[FECHA PAGO / ABONO]])))</f>
        <v>2</v>
      </c>
      <c r="AJ51" s="40" t="n">
        <f aca="false">+IF(Tabla[[#This Row],[FECHA PAGO / ABONO]]&lt;1,0,(YEAR(Tabla[[#This Row],[FECHA PAGO / ABONO]])))</f>
        <v>2026</v>
      </c>
      <c r="AK51" s="41"/>
    </row>
    <row r="52" customFormat="false" ht="14.25" hidden="false" customHeight="false" outlineLevel="0" collapsed="false">
      <c r="A52" s="28" t="s">
        <v>118</v>
      </c>
      <c r="B52" s="29" t="s">
        <v>119</v>
      </c>
      <c r="C52" s="29" t="s">
        <v>69</v>
      </c>
      <c r="D52" s="21" t="n">
        <v>5891</v>
      </c>
      <c r="E52" s="21" t="str">
        <f aca="false">+CONCATENATE(Tabla[[#This Row],[RUT]],Tabla[[#This Row],[PROVEEDOR]],Tabla[[#This Row],[FACTURA]])</f>
        <v>76425938-6Mediared SpA5891</v>
      </c>
      <c r="F52" s="30" t="n">
        <v>46036</v>
      </c>
      <c r="G52" s="31" t="n">
        <f aca="false">+F52+30</f>
        <v>46066</v>
      </c>
      <c r="H52" s="29" t="n">
        <f aca="true">+IF(AE52="PAGADA",0,TODAY()-G52)</f>
        <v>0</v>
      </c>
      <c r="I52" s="29" t="str">
        <f aca="false">+IF(H52&gt;180,"Atrasada",IF(H52&gt;150,"150 dias",IF(H52&gt;120,"120 dias",IF(H52&gt;90,"90 dias",IF(H52&gt;60,"60 dias",IF(H52&gt;30,"30 dias","Al Día"))))))</f>
        <v>Al Día</v>
      </c>
      <c r="J52" s="32" t="s">
        <v>80</v>
      </c>
      <c r="K52" s="29" t="s">
        <v>114</v>
      </c>
      <c r="L52" s="33" t="s">
        <v>72</v>
      </c>
      <c r="M52" s="29" t="n">
        <f aca="false">+YEAR(F52)</f>
        <v>2026</v>
      </c>
      <c r="N52" s="29" t="s">
        <v>120</v>
      </c>
      <c r="O52" s="29" t="s">
        <v>120</v>
      </c>
      <c r="P52" s="29" t="str">
        <f aca="false">+CONCATENATE(Tabla[[#This Row],[MES CAMPAÑA]],"/",Tabla[[#This Row],[AÑO CAMPAÑA]])</f>
        <v>N/A/N/A</v>
      </c>
      <c r="Q52" s="29" t="s">
        <v>120</v>
      </c>
      <c r="R52" s="29" t="s">
        <v>74</v>
      </c>
      <c r="S52" s="34" t="n">
        <v>0</v>
      </c>
      <c r="T52" s="34" t="n">
        <v>2700000</v>
      </c>
      <c r="U52" s="34" t="n">
        <v>513000</v>
      </c>
      <c r="V52" s="29"/>
      <c r="W52" s="35" t="n">
        <v>3213000</v>
      </c>
      <c r="X52" s="36" t="n">
        <f aca="false">+Tabla[[#This Row],[TOTAL]]</f>
        <v>3213000</v>
      </c>
      <c r="Y52" s="37"/>
      <c r="Z52" s="37"/>
      <c r="AA52" s="37"/>
      <c r="AB52" s="38" t="n">
        <f aca="false">+W52-AC52</f>
        <v>0</v>
      </c>
      <c r="AC52" s="34" t="n">
        <f aca="false">+Tabla[[#This Row],[P4]]+Tabla[[#This Row],[P3]]+Tabla[[#This Row],[P2]]+Tabla[[#This Row],[P1]]</f>
        <v>3213000</v>
      </c>
      <c r="AD52" s="34" t="n">
        <f aca="false">+W52-AC52</f>
        <v>0</v>
      </c>
      <c r="AE52" s="21" t="str">
        <f aca="false">IF(AB52&lt;1,"PAGADA","PENDIENTE")</f>
        <v>PAGADA</v>
      </c>
      <c r="AF52" s="21"/>
      <c r="AG52" s="29" t="s">
        <v>77</v>
      </c>
      <c r="AH52" s="39" t="n">
        <v>46142</v>
      </c>
      <c r="AI52" s="40" t="n">
        <f aca="false">+IF(Tabla[[#This Row],[FECHA PAGO / ABONO]]&lt;1,0,(MONTH(Tabla[[#This Row],[FECHA PAGO / ABONO]])))</f>
        <v>4</v>
      </c>
      <c r="AJ52" s="40" t="n">
        <f aca="false">+IF(Tabla[[#This Row],[FECHA PAGO / ABONO]]&lt;1,0,(YEAR(Tabla[[#This Row],[FECHA PAGO / ABONO]])))</f>
        <v>2026</v>
      </c>
      <c r="AK52" s="41"/>
    </row>
    <row r="53" customFormat="false" ht="14.25" hidden="false" customHeight="false" outlineLevel="0" collapsed="false">
      <c r="A53" s="28" t="s">
        <v>121</v>
      </c>
      <c r="B53" s="29" t="s">
        <v>122</v>
      </c>
      <c r="C53" s="29" t="s">
        <v>69</v>
      </c>
      <c r="D53" s="21" t="n">
        <v>11010</v>
      </c>
      <c r="E53" s="21" t="str">
        <f aca="false">+CONCATENATE(Tabla[[#This Row],[RUT]],Tabla[[#This Row],[PROVEEDOR]],Tabla[[#This Row],[FACTURA]])</f>
        <v>76166681-9HS CHILE SPA11010</v>
      </c>
      <c r="F53" s="30" t="n">
        <v>46036</v>
      </c>
      <c r="G53" s="31" t="n">
        <f aca="false">+F53+30</f>
        <v>46066</v>
      </c>
      <c r="H53" s="29" t="n">
        <f aca="true">+IF(AE53="PAGADA",0,TODAY()-G53)</f>
        <v>138</v>
      </c>
      <c r="I53" s="29" t="str">
        <f aca="false">+IF(H53&gt;180,"Atrasada",IF(H53&gt;150,"150 dias",IF(H53&gt;120,"120 dias",IF(H53&gt;90,"90 dias",IF(H53&gt;60,"60 dias",IF(H53&gt;30,"30 dias","Al Día"))))))</f>
        <v>120 dias</v>
      </c>
      <c r="J53" s="32" t="s">
        <v>80</v>
      </c>
      <c r="K53" s="29" t="s">
        <v>81</v>
      </c>
      <c r="L53" s="33" t="s">
        <v>72</v>
      </c>
      <c r="M53" s="29" t="n">
        <f aca="false">+YEAR(F53)</f>
        <v>2026</v>
      </c>
      <c r="N53" s="29" t="n">
        <v>2025</v>
      </c>
      <c r="O53" s="29" t="n">
        <v>12</v>
      </c>
      <c r="P53" s="29" t="str">
        <f aca="false">+CONCATENATE(Tabla[[#This Row],[MES CAMPAÑA]],"/",Tabla[[#This Row],[AÑO CAMPAÑA]])</f>
        <v>12/2025</v>
      </c>
      <c r="Q53" s="29" t="s">
        <v>105</v>
      </c>
      <c r="R53" s="29" t="s">
        <v>74</v>
      </c>
      <c r="S53" s="34" t="n">
        <v>0</v>
      </c>
      <c r="T53" s="34" t="n">
        <v>4309000</v>
      </c>
      <c r="U53" s="34" t="n">
        <v>818710</v>
      </c>
      <c r="V53" s="29"/>
      <c r="W53" s="35" t="n">
        <v>5127710</v>
      </c>
      <c r="X53" s="36"/>
      <c r="Y53" s="37"/>
      <c r="Z53" s="37"/>
      <c r="AA53" s="37"/>
      <c r="AB53" s="38" t="n">
        <f aca="false">+W53-AC53</f>
        <v>5127710</v>
      </c>
      <c r="AC53" s="34" t="n">
        <f aca="false">+Tabla[[#This Row],[P4]]+Tabla[[#This Row],[P3]]+Tabla[[#This Row],[P2]]+Tabla[[#This Row],[P1]]</f>
        <v>0</v>
      </c>
      <c r="AD53" s="34" t="n">
        <f aca="false">+W53-AC53</f>
        <v>5127710</v>
      </c>
      <c r="AE53" s="21" t="str">
        <f aca="false">IF(AB53&lt;1,"PAGADA","PENDIENTE")</f>
        <v>PENDIENTE</v>
      </c>
      <c r="AF53" s="21"/>
      <c r="AG53" s="29"/>
      <c r="AH53" s="40"/>
      <c r="AI53" s="40" t="n">
        <f aca="false">+IF(Tabla[[#This Row],[FECHA PAGO / ABONO]]&lt;1,0,(MONTH(Tabla[[#This Row],[FECHA PAGO / ABONO]])))</f>
        <v>0</v>
      </c>
      <c r="AJ53" s="40" t="n">
        <f aca="false">+IF(Tabla[[#This Row],[FECHA PAGO / ABONO]]&lt;1,0,(YEAR(Tabla[[#This Row],[FECHA PAGO / ABONO]])))</f>
        <v>0</v>
      </c>
      <c r="AK53" s="41"/>
    </row>
    <row r="54" customFormat="false" ht="14.25" hidden="false" customHeight="false" outlineLevel="0" collapsed="false">
      <c r="A54" s="28" t="s">
        <v>121</v>
      </c>
      <c r="B54" s="29" t="s">
        <v>122</v>
      </c>
      <c r="C54" s="29" t="s">
        <v>69</v>
      </c>
      <c r="D54" s="21" t="n">
        <v>11011</v>
      </c>
      <c r="E54" s="21" t="str">
        <f aca="false">+CONCATENATE(Tabla[[#This Row],[RUT]],Tabla[[#This Row],[PROVEEDOR]],Tabla[[#This Row],[FACTURA]])</f>
        <v>76166681-9HS CHILE SPA11011</v>
      </c>
      <c r="F54" s="30" t="n">
        <v>46036</v>
      </c>
      <c r="G54" s="31" t="n">
        <f aca="false">+F54+30</f>
        <v>46066</v>
      </c>
      <c r="H54" s="29" t="n">
        <f aca="true">+IF(AE54="PAGADA",0,TODAY()-G54)</f>
        <v>138</v>
      </c>
      <c r="I54" s="29" t="str">
        <f aca="false">+IF(H54&gt;180,"Atrasada",IF(H54&gt;150,"150 dias",IF(H54&gt;120,"120 dias",IF(H54&gt;90,"90 dias",IF(H54&gt;60,"60 dias",IF(H54&gt;30,"30 dias","Al Día"))))))</f>
        <v>120 dias</v>
      </c>
      <c r="J54" s="32" t="s">
        <v>80</v>
      </c>
      <c r="K54" s="29" t="s">
        <v>81</v>
      </c>
      <c r="L54" s="33" t="s">
        <v>72</v>
      </c>
      <c r="M54" s="29" t="n">
        <f aca="false">+YEAR(F54)</f>
        <v>2026</v>
      </c>
      <c r="N54" s="29" t="n">
        <v>2025</v>
      </c>
      <c r="O54" s="29" t="n">
        <v>12</v>
      </c>
      <c r="P54" s="29" t="str">
        <f aca="false">+CONCATENATE(Tabla[[#This Row],[MES CAMPAÑA]],"/",Tabla[[#This Row],[AÑO CAMPAÑA]])</f>
        <v>12/2025</v>
      </c>
      <c r="Q54" s="29" t="s">
        <v>123</v>
      </c>
      <c r="R54" s="29" t="s">
        <v>74</v>
      </c>
      <c r="S54" s="34" t="n">
        <v>0</v>
      </c>
      <c r="T54" s="34" t="n">
        <v>1209000</v>
      </c>
      <c r="U54" s="34" t="n">
        <v>229710</v>
      </c>
      <c r="V54" s="29"/>
      <c r="W54" s="35" t="n">
        <v>1438710</v>
      </c>
      <c r="X54" s="36"/>
      <c r="Y54" s="37"/>
      <c r="Z54" s="37"/>
      <c r="AA54" s="37"/>
      <c r="AB54" s="38" t="n">
        <f aca="false">+W54-AC54</f>
        <v>1438710</v>
      </c>
      <c r="AC54" s="34" t="n">
        <f aca="false">+Tabla[[#This Row],[P4]]+Tabla[[#This Row],[P3]]+Tabla[[#This Row],[P2]]+Tabla[[#This Row],[P1]]</f>
        <v>0</v>
      </c>
      <c r="AD54" s="34" t="n">
        <f aca="false">+W54-AC54</f>
        <v>1438710</v>
      </c>
      <c r="AE54" s="21" t="str">
        <f aca="false">IF(AB54&lt;1,"PAGADA","PENDIENTE")</f>
        <v>PENDIENTE</v>
      </c>
      <c r="AF54" s="21"/>
      <c r="AG54" s="29"/>
      <c r="AH54" s="40"/>
      <c r="AI54" s="40" t="n">
        <f aca="false">+IF(Tabla[[#This Row],[FECHA PAGO / ABONO]]&lt;1,0,(MONTH(Tabla[[#This Row],[FECHA PAGO / ABONO]])))</f>
        <v>0</v>
      </c>
      <c r="AJ54" s="40" t="n">
        <f aca="false">+IF(Tabla[[#This Row],[FECHA PAGO / ABONO]]&lt;1,0,(YEAR(Tabla[[#This Row],[FECHA PAGO / ABONO]])))</f>
        <v>0</v>
      </c>
      <c r="AK54" s="41"/>
    </row>
    <row r="55" customFormat="false" ht="14.25" hidden="false" customHeight="false" outlineLevel="0" collapsed="false">
      <c r="A55" s="28" t="s">
        <v>121</v>
      </c>
      <c r="B55" s="29" t="s">
        <v>122</v>
      </c>
      <c r="C55" s="29" t="s">
        <v>69</v>
      </c>
      <c r="D55" s="21" t="n">
        <v>11012</v>
      </c>
      <c r="E55" s="21" t="str">
        <f aca="false">+CONCATENATE(Tabla[[#This Row],[RUT]],Tabla[[#This Row],[PROVEEDOR]],Tabla[[#This Row],[FACTURA]])</f>
        <v>76166681-9HS CHILE SPA11012</v>
      </c>
      <c r="F55" s="30" t="n">
        <v>46036</v>
      </c>
      <c r="G55" s="31" t="n">
        <f aca="false">+F55+30</f>
        <v>46066</v>
      </c>
      <c r="H55" s="29" t="n">
        <f aca="true">+IF(AE55="PAGADA",0,TODAY()-G55)</f>
        <v>138</v>
      </c>
      <c r="I55" s="29" t="str">
        <f aca="false">+IF(H55&gt;180,"Atrasada",IF(H55&gt;150,"150 dias",IF(H55&gt;120,"120 dias",IF(H55&gt;90,"90 dias",IF(H55&gt;60,"60 dias",IF(H55&gt;30,"30 dias","Al Día"))))))</f>
        <v>120 dias</v>
      </c>
      <c r="J55" s="32" t="s">
        <v>80</v>
      </c>
      <c r="K55" s="29" t="s">
        <v>81</v>
      </c>
      <c r="L55" s="33" t="s">
        <v>72</v>
      </c>
      <c r="M55" s="29" t="n">
        <f aca="false">+YEAR(F55)</f>
        <v>2026</v>
      </c>
      <c r="N55" s="29" t="n">
        <v>2025</v>
      </c>
      <c r="O55" s="29" t="n">
        <v>12</v>
      </c>
      <c r="P55" s="29" t="str">
        <f aca="false">+CONCATENATE(Tabla[[#This Row],[MES CAMPAÑA]],"/",Tabla[[#This Row],[AÑO CAMPAÑA]])</f>
        <v>12/2025</v>
      </c>
      <c r="Q55" s="29" t="s">
        <v>123</v>
      </c>
      <c r="R55" s="29" t="s">
        <v>74</v>
      </c>
      <c r="S55" s="34" t="n">
        <v>0</v>
      </c>
      <c r="T55" s="34" t="n">
        <v>488000</v>
      </c>
      <c r="U55" s="34" t="n">
        <v>92720</v>
      </c>
      <c r="V55" s="29"/>
      <c r="W55" s="35" t="n">
        <v>580720</v>
      </c>
      <c r="X55" s="36"/>
      <c r="Y55" s="37"/>
      <c r="Z55" s="37"/>
      <c r="AA55" s="37"/>
      <c r="AB55" s="38" t="n">
        <f aca="false">+W55-AC55</f>
        <v>580720</v>
      </c>
      <c r="AC55" s="34" t="n">
        <f aca="false">+Tabla[[#This Row],[P4]]+Tabla[[#This Row],[P3]]+Tabla[[#This Row],[P2]]+Tabla[[#This Row],[P1]]</f>
        <v>0</v>
      </c>
      <c r="AD55" s="34" t="n">
        <f aca="false">+W55-AC55</f>
        <v>580720</v>
      </c>
      <c r="AE55" s="21" t="str">
        <f aca="false">IF(AB55&lt;1,"PAGADA","PENDIENTE")</f>
        <v>PENDIENTE</v>
      </c>
      <c r="AF55" s="21"/>
      <c r="AG55" s="29"/>
      <c r="AH55" s="40"/>
      <c r="AI55" s="40" t="n">
        <f aca="false">+IF(Tabla[[#This Row],[FECHA PAGO / ABONO]]&lt;1,0,(MONTH(Tabla[[#This Row],[FECHA PAGO / ABONO]])))</f>
        <v>0</v>
      </c>
      <c r="AJ55" s="40" t="n">
        <f aca="false">+IF(Tabla[[#This Row],[FECHA PAGO / ABONO]]&lt;1,0,(YEAR(Tabla[[#This Row],[FECHA PAGO / ABONO]])))</f>
        <v>0</v>
      </c>
      <c r="AK55" s="41"/>
    </row>
    <row r="56" customFormat="false" ht="14.25" hidden="false" customHeight="false" outlineLevel="0" collapsed="false">
      <c r="A56" s="28" t="s">
        <v>121</v>
      </c>
      <c r="B56" s="29" t="s">
        <v>122</v>
      </c>
      <c r="C56" s="29" t="s">
        <v>69</v>
      </c>
      <c r="D56" s="21" t="n">
        <v>11013</v>
      </c>
      <c r="E56" s="21" t="str">
        <f aca="false">+CONCATENATE(Tabla[[#This Row],[RUT]],Tabla[[#This Row],[PROVEEDOR]],Tabla[[#This Row],[FACTURA]])</f>
        <v>76166681-9HS CHILE SPA11013</v>
      </c>
      <c r="F56" s="30" t="n">
        <v>46036</v>
      </c>
      <c r="G56" s="31" t="n">
        <f aca="false">+F56+30</f>
        <v>46066</v>
      </c>
      <c r="H56" s="29" t="n">
        <f aca="true">+IF(AE56="PAGADA",0,TODAY()-G56)</f>
        <v>138</v>
      </c>
      <c r="I56" s="29" t="str">
        <f aca="false">+IF(H56&gt;180,"Atrasada",IF(H56&gt;150,"150 dias",IF(H56&gt;120,"120 dias",IF(H56&gt;90,"90 dias",IF(H56&gt;60,"60 dias",IF(H56&gt;30,"30 dias","Al Día"))))))</f>
        <v>120 dias</v>
      </c>
      <c r="J56" s="32" t="s">
        <v>80</v>
      </c>
      <c r="K56" s="29" t="s">
        <v>81</v>
      </c>
      <c r="L56" s="33" t="s">
        <v>72</v>
      </c>
      <c r="M56" s="29" t="n">
        <f aca="false">+YEAR(F56)</f>
        <v>2026</v>
      </c>
      <c r="N56" s="29" t="n">
        <v>2025</v>
      </c>
      <c r="O56" s="29" t="n">
        <v>12</v>
      </c>
      <c r="P56" s="29" t="str">
        <f aca="false">+CONCATENATE(Tabla[[#This Row],[MES CAMPAÑA]],"/",Tabla[[#This Row],[AÑO CAMPAÑA]])</f>
        <v>12/2025</v>
      </c>
      <c r="Q56" s="29" t="s">
        <v>92</v>
      </c>
      <c r="R56" s="29" t="s">
        <v>74</v>
      </c>
      <c r="S56" s="34" t="n">
        <v>0</v>
      </c>
      <c r="T56" s="34" t="n">
        <v>344444</v>
      </c>
      <c r="U56" s="34" t="n">
        <v>65444</v>
      </c>
      <c r="V56" s="29"/>
      <c r="W56" s="35" t="n">
        <v>409888</v>
      </c>
      <c r="X56" s="36"/>
      <c r="Y56" s="37"/>
      <c r="Z56" s="37"/>
      <c r="AA56" s="37"/>
      <c r="AB56" s="38" t="n">
        <f aca="false">+W56-AC56</f>
        <v>409888</v>
      </c>
      <c r="AC56" s="34" t="n">
        <f aca="false">+Tabla[[#This Row],[P4]]+Tabla[[#This Row],[P3]]+Tabla[[#This Row],[P2]]+Tabla[[#This Row],[P1]]</f>
        <v>0</v>
      </c>
      <c r="AD56" s="34" t="n">
        <f aca="false">+W56-AC56</f>
        <v>409888</v>
      </c>
      <c r="AE56" s="21" t="str">
        <f aca="false">IF(AB56&lt;1,"PAGADA","PENDIENTE")</f>
        <v>PENDIENTE</v>
      </c>
      <c r="AF56" s="21"/>
      <c r="AG56" s="29"/>
      <c r="AH56" s="40"/>
      <c r="AI56" s="40" t="n">
        <f aca="false">+IF(Tabla[[#This Row],[FECHA PAGO / ABONO]]&lt;1,0,(MONTH(Tabla[[#This Row],[FECHA PAGO / ABONO]])))</f>
        <v>0</v>
      </c>
      <c r="AJ56" s="40" t="n">
        <f aca="false">+IF(Tabla[[#This Row],[FECHA PAGO / ABONO]]&lt;1,0,(YEAR(Tabla[[#This Row],[FECHA PAGO / ABONO]])))</f>
        <v>0</v>
      </c>
      <c r="AK56" s="41"/>
    </row>
    <row r="57" customFormat="false" ht="14.25" hidden="false" customHeight="false" outlineLevel="0" collapsed="false">
      <c r="A57" s="28" t="s">
        <v>121</v>
      </c>
      <c r="B57" s="29" t="s">
        <v>122</v>
      </c>
      <c r="C57" s="29" t="s">
        <v>69</v>
      </c>
      <c r="D57" s="21" t="n">
        <v>11014</v>
      </c>
      <c r="E57" s="21" t="str">
        <f aca="false">+CONCATENATE(Tabla[[#This Row],[RUT]],Tabla[[#This Row],[PROVEEDOR]],Tabla[[#This Row],[FACTURA]])</f>
        <v>76166681-9HS CHILE SPA11014</v>
      </c>
      <c r="F57" s="30" t="n">
        <v>46036</v>
      </c>
      <c r="G57" s="31" t="n">
        <f aca="false">+F57+30</f>
        <v>46066</v>
      </c>
      <c r="H57" s="29" t="n">
        <f aca="true">+IF(AE57="PAGADA",0,TODAY()-G57)</f>
        <v>0</v>
      </c>
      <c r="I57" s="29" t="str">
        <f aca="false">+IF(H57&gt;180,"Atrasada",IF(H57&gt;150,"150 dias",IF(H57&gt;120,"120 dias",IF(H57&gt;90,"90 dias",IF(H57&gt;60,"60 dias",IF(H57&gt;30,"30 dias","Al Día"))))))</f>
        <v>Al Día</v>
      </c>
      <c r="J57" s="32" t="s">
        <v>80</v>
      </c>
      <c r="K57" s="29" t="s">
        <v>114</v>
      </c>
      <c r="L57" s="33" t="s">
        <v>72</v>
      </c>
      <c r="M57" s="29" t="n">
        <f aca="false">+YEAR(F57)</f>
        <v>2026</v>
      </c>
      <c r="N57" s="29" t="n">
        <v>2025</v>
      </c>
      <c r="O57" s="29" t="n">
        <v>12</v>
      </c>
      <c r="P57" s="29" t="str">
        <f aca="false">+CONCATENATE(Tabla[[#This Row],[MES CAMPAÑA]],"/",Tabla[[#This Row],[AÑO CAMPAÑA]])</f>
        <v>12/2025</v>
      </c>
      <c r="Q57" s="29" t="s">
        <v>92</v>
      </c>
      <c r="R57" s="29" t="s">
        <v>74</v>
      </c>
      <c r="S57" s="34" t="n">
        <v>0</v>
      </c>
      <c r="T57" s="34" t="n">
        <v>870000</v>
      </c>
      <c r="U57" s="34" t="n">
        <v>165300</v>
      </c>
      <c r="V57" s="29"/>
      <c r="W57" s="35" t="n">
        <v>1035300</v>
      </c>
      <c r="X57" s="36" t="n">
        <f aca="false">+Tabla[[#This Row],[TOTAL]]</f>
        <v>1035300</v>
      </c>
      <c r="Y57" s="37"/>
      <c r="Z57" s="37"/>
      <c r="AA57" s="37"/>
      <c r="AB57" s="38" t="n">
        <f aca="false">+W57-AC57</f>
        <v>0</v>
      </c>
      <c r="AC57" s="34" t="n">
        <f aca="false">+Tabla[[#This Row],[P4]]+Tabla[[#This Row],[P3]]+Tabla[[#This Row],[P2]]+Tabla[[#This Row],[P1]]</f>
        <v>1035300</v>
      </c>
      <c r="AD57" s="34" t="n">
        <f aca="false">+W57-AC57</f>
        <v>0</v>
      </c>
      <c r="AE57" s="21" t="str">
        <f aca="false">IF(AB57&lt;1,"PAGADA","PENDIENTE")</f>
        <v>PAGADA</v>
      </c>
      <c r="AF57" s="21"/>
      <c r="AG57" s="29" t="s">
        <v>124</v>
      </c>
      <c r="AH57" s="40"/>
      <c r="AI57" s="40" t="n">
        <f aca="false">+IF(Tabla[[#This Row],[FECHA PAGO / ABONO]]&lt;1,0,(MONTH(Tabla[[#This Row],[FECHA PAGO / ABONO]])))</f>
        <v>0</v>
      </c>
      <c r="AJ57" s="40" t="n">
        <f aca="false">+IF(Tabla[[#This Row],[FECHA PAGO / ABONO]]&lt;1,0,(YEAR(Tabla[[#This Row],[FECHA PAGO / ABONO]])))</f>
        <v>0</v>
      </c>
      <c r="AK57" s="41"/>
    </row>
    <row r="58" customFormat="false" ht="14.25" hidden="false" customHeight="false" outlineLevel="0" collapsed="false">
      <c r="A58" s="28" t="s">
        <v>121</v>
      </c>
      <c r="B58" s="29" t="s">
        <v>122</v>
      </c>
      <c r="C58" s="29" t="s">
        <v>69</v>
      </c>
      <c r="D58" s="21" t="n">
        <v>11015</v>
      </c>
      <c r="E58" s="21" t="str">
        <f aca="false">+CONCATENATE(Tabla[[#This Row],[RUT]],Tabla[[#This Row],[PROVEEDOR]],Tabla[[#This Row],[FACTURA]])</f>
        <v>76166681-9HS CHILE SPA11015</v>
      </c>
      <c r="F58" s="30" t="n">
        <v>46036</v>
      </c>
      <c r="G58" s="31" t="n">
        <f aca="false">+F58+30</f>
        <v>46066</v>
      </c>
      <c r="H58" s="29" t="n">
        <f aca="true">+IF(AE58="PAGADA",0,TODAY()-G58)</f>
        <v>138</v>
      </c>
      <c r="I58" s="29" t="str">
        <f aca="false">+IF(H58&gt;180,"Atrasada",IF(H58&gt;150,"150 dias",IF(H58&gt;120,"120 dias",IF(H58&gt;90,"90 dias",IF(H58&gt;60,"60 dias",IF(H58&gt;30,"30 dias","Al Día"))))))</f>
        <v>120 dias</v>
      </c>
      <c r="J58" s="32" t="s">
        <v>80</v>
      </c>
      <c r="K58" s="29" t="s">
        <v>81</v>
      </c>
      <c r="L58" s="33" t="s">
        <v>72</v>
      </c>
      <c r="M58" s="29" t="n">
        <f aca="false">+YEAR(F58)</f>
        <v>2026</v>
      </c>
      <c r="N58" s="29" t="n">
        <v>2025</v>
      </c>
      <c r="O58" s="29" t="n">
        <v>12</v>
      </c>
      <c r="P58" s="29" t="str">
        <f aca="false">+CONCATENATE(Tabla[[#This Row],[MES CAMPAÑA]],"/",Tabla[[#This Row],[AÑO CAMPAÑA]])</f>
        <v>12/2025</v>
      </c>
      <c r="Q58" s="29" t="s">
        <v>108</v>
      </c>
      <c r="R58" s="29" t="s">
        <v>74</v>
      </c>
      <c r="S58" s="34" t="n">
        <v>0</v>
      </c>
      <c r="T58" s="34" t="n">
        <v>7000000</v>
      </c>
      <c r="U58" s="34" t="n">
        <v>1330000</v>
      </c>
      <c r="V58" s="29"/>
      <c r="W58" s="35" t="n">
        <v>8330000</v>
      </c>
      <c r="X58" s="36"/>
      <c r="Y58" s="37"/>
      <c r="Z58" s="37"/>
      <c r="AA58" s="37"/>
      <c r="AB58" s="38" t="n">
        <f aca="false">+W58-AC58</f>
        <v>8330000</v>
      </c>
      <c r="AC58" s="34" t="n">
        <f aca="false">+Tabla[[#This Row],[P4]]+Tabla[[#This Row],[P3]]+Tabla[[#This Row],[P2]]+Tabla[[#This Row],[P1]]</f>
        <v>0</v>
      </c>
      <c r="AD58" s="34" t="n">
        <f aca="false">+W58-AC58</f>
        <v>8330000</v>
      </c>
      <c r="AE58" s="21" t="str">
        <f aca="false">IF(AB58&lt;1,"PAGADA","PENDIENTE")</f>
        <v>PENDIENTE</v>
      </c>
      <c r="AF58" s="21"/>
      <c r="AG58" s="29"/>
      <c r="AH58" s="40"/>
      <c r="AI58" s="40" t="n">
        <f aca="false">+IF(Tabla[[#This Row],[FECHA PAGO / ABONO]]&lt;1,0,(MONTH(Tabla[[#This Row],[FECHA PAGO / ABONO]])))</f>
        <v>0</v>
      </c>
      <c r="AJ58" s="40" t="n">
        <f aca="false">+IF(Tabla[[#This Row],[FECHA PAGO / ABONO]]&lt;1,0,(YEAR(Tabla[[#This Row],[FECHA PAGO / ABONO]])))</f>
        <v>0</v>
      </c>
      <c r="AK58" s="41"/>
    </row>
    <row r="59" customFormat="false" ht="14.25" hidden="false" customHeight="false" outlineLevel="0" collapsed="false">
      <c r="A59" s="28" t="s">
        <v>121</v>
      </c>
      <c r="B59" s="29" t="s">
        <v>122</v>
      </c>
      <c r="C59" s="29" t="s">
        <v>69</v>
      </c>
      <c r="D59" s="21" t="n">
        <v>11016</v>
      </c>
      <c r="E59" s="21" t="str">
        <f aca="false">+CONCATENATE(Tabla[[#This Row],[RUT]],Tabla[[#This Row],[PROVEEDOR]],Tabla[[#This Row],[FACTURA]])</f>
        <v>76166681-9HS CHILE SPA11016</v>
      </c>
      <c r="F59" s="30" t="n">
        <v>46036</v>
      </c>
      <c r="G59" s="31" t="n">
        <f aca="false">+F59+30</f>
        <v>46066</v>
      </c>
      <c r="H59" s="29" t="n">
        <f aca="true">+IF(AE59="PAGADA",0,TODAY()-G59)</f>
        <v>138</v>
      </c>
      <c r="I59" s="29" t="str">
        <f aca="false">+IF(H59&gt;180,"Atrasada",IF(H59&gt;150,"150 dias",IF(H59&gt;120,"120 dias",IF(H59&gt;90,"90 dias",IF(H59&gt;60,"60 dias",IF(H59&gt;30,"30 dias","Al Día"))))))</f>
        <v>120 dias</v>
      </c>
      <c r="J59" s="32" t="s">
        <v>80</v>
      </c>
      <c r="K59" s="29" t="s">
        <v>81</v>
      </c>
      <c r="L59" s="33" t="s">
        <v>72</v>
      </c>
      <c r="M59" s="29" t="n">
        <f aca="false">+YEAR(F59)</f>
        <v>2026</v>
      </c>
      <c r="N59" s="29" t="n">
        <v>2025</v>
      </c>
      <c r="O59" s="29" t="n">
        <v>12</v>
      </c>
      <c r="P59" s="29" t="str">
        <f aca="false">+CONCATENATE(Tabla[[#This Row],[MES CAMPAÑA]],"/",Tabla[[#This Row],[AÑO CAMPAÑA]])</f>
        <v>12/2025</v>
      </c>
      <c r="Q59" s="29" t="s">
        <v>111</v>
      </c>
      <c r="R59" s="29" t="s">
        <v>74</v>
      </c>
      <c r="S59" s="34" t="n">
        <v>0</v>
      </c>
      <c r="T59" s="34" t="n">
        <v>179982</v>
      </c>
      <c r="U59" s="34" t="n">
        <v>34197</v>
      </c>
      <c r="V59" s="29"/>
      <c r="W59" s="35" t="n">
        <v>214179</v>
      </c>
      <c r="X59" s="36"/>
      <c r="Y59" s="37"/>
      <c r="Z59" s="37"/>
      <c r="AA59" s="37"/>
      <c r="AB59" s="38" t="n">
        <f aca="false">+W59-AC59</f>
        <v>214179</v>
      </c>
      <c r="AC59" s="34" t="n">
        <f aca="false">+Tabla[[#This Row],[P4]]+Tabla[[#This Row],[P3]]+Tabla[[#This Row],[P2]]+Tabla[[#This Row],[P1]]</f>
        <v>0</v>
      </c>
      <c r="AD59" s="34" t="n">
        <f aca="false">+W59-AC59</f>
        <v>214179</v>
      </c>
      <c r="AE59" s="21" t="str">
        <f aca="false">IF(AB59&lt;1,"PAGADA","PENDIENTE")</f>
        <v>PENDIENTE</v>
      </c>
      <c r="AF59" s="21"/>
      <c r="AG59" s="29"/>
      <c r="AH59" s="40"/>
      <c r="AI59" s="40" t="n">
        <f aca="false">+IF(Tabla[[#This Row],[FECHA PAGO / ABONO]]&lt;1,0,(MONTH(Tabla[[#This Row],[FECHA PAGO / ABONO]])))</f>
        <v>0</v>
      </c>
      <c r="AJ59" s="40" t="n">
        <f aca="false">+IF(Tabla[[#This Row],[FECHA PAGO / ABONO]]&lt;1,0,(YEAR(Tabla[[#This Row],[FECHA PAGO / ABONO]])))</f>
        <v>0</v>
      </c>
      <c r="AK59" s="41"/>
    </row>
    <row r="60" customFormat="false" ht="14.25" hidden="false" customHeight="false" outlineLevel="0" collapsed="false">
      <c r="A60" s="28" t="s">
        <v>121</v>
      </c>
      <c r="B60" s="29" t="s">
        <v>122</v>
      </c>
      <c r="C60" s="29" t="s">
        <v>125</v>
      </c>
      <c r="D60" s="21" t="n">
        <v>826</v>
      </c>
      <c r="E60" s="21" t="str">
        <f aca="false">+CONCATENATE(Tabla[[#This Row],[RUT]],Tabla[[#This Row],[PROVEEDOR]],Tabla[[#This Row],[FACTURA]])</f>
        <v>76166681-9HS CHILE SPA826</v>
      </c>
      <c r="F60" s="30" t="n">
        <v>46037</v>
      </c>
      <c r="G60" s="31" t="n">
        <f aca="false">+F60+30</f>
        <v>46067</v>
      </c>
      <c r="H60" s="29" t="n">
        <f aca="true">+IF(AE60="PAGADA",0,TODAY()-G60)</f>
        <v>0</v>
      </c>
      <c r="I60" s="29" t="str">
        <f aca="false">+IF(H60&gt;180,"Atrasada",IF(H60&gt;150,"150 dias",IF(H60&gt;120,"120 dias",IF(H60&gt;90,"90 dias",IF(H60&gt;60,"60 dias",IF(H60&gt;30,"30 dias","Al Día"))))))</f>
        <v>Al Día</v>
      </c>
      <c r="J60" s="32" t="s">
        <v>80</v>
      </c>
      <c r="K60" s="29" t="s">
        <v>126</v>
      </c>
      <c r="L60" s="33" t="s">
        <v>72</v>
      </c>
      <c r="M60" s="29" t="n">
        <f aca="false">+YEAR(F60)</f>
        <v>2026</v>
      </c>
      <c r="N60" s="29" t="n">
        <v>2025</v>
      </c>
      <c r="O60" s="29" t="n">
        <v>12</v>
      </c>
      <c r="P60" s="29" t="str">
        <f aca="false">+CONCATENATE(Tabla[[#This Row],[MES CAMPAÑA]],"/",Tabla[[#This Row],[AÑO CAMPAÑA]])</f>
        <v>12/2025</v>
      </c>
      <c r="Q60" s="29" t="s">
        <v>92</v>
      </c>
      <c r="R60" s="29" t="s">
        <v>74</v>
      </c>
      <c r="S60" s="34" t="n">
        <v>0</v>
      </c>
      <c r="T60" s="34" t="n">
        <v>-870000</v>
      </c>
      <c r="U60" s="34" t="n">
        <v>-165300</v>
      </c>
      <c r="V60" s="29"/>
      <c r="W60" s="35" t="n">
        <v>-1035300</v>
      </c>
      <c r="X60" s="36" t="n">
        <f aca="false">+Tabla[[#This Row],[TOTAL]]</f>
        <v>-1035300</v>
      </c>
      <c r="Y60" s="37"/>
      <c r="Z60" s="37"/>
      <c r="AA60" s="37"/>
      <c r="AB60" s="38" t="n">
        <f aca="false">+W60-AC60</f>
        <v>0</v>
      </c>
      <c r="AC60" s="34" t="n">
        <f aca="false">+Tabla[[#This Row],[P4]]+Tabla[[#This Row],[P3]]+Tabla[[#This Row],[P2]]+Tabla[[#This Row],[P1]]</f>
        <v>-1035300</v>
      </c>
      <c r="AD60" s="34" t="n">
        <f aca="false">+W60-AC60</f>
        <v>0</v>
      </c>
      <c r="AE60" s="21" t="str">
        <f aca="false">IF(AB60&lt;1,"PAGADA","PENDIENTE")</f>
        <v>PAGADA</v>
      </c>
      <c r="AF60" s="21"/>
      <c r="AG60" s="29" t="s">
        <v>126</v>
      </c>
      <c r="AH60" s="40"/>
      <c r="AI60" s="40" t="n">
        <f aca="false">+IF(Tabla[[#This Row],[FECHA PAGO / ABONO]]&lt;1,0,(MONTH(Tabla[[#This Row],[FECHA PAGO / ABONO]])))</f>
        <v>0</v>
      </c>
      <c r="AJ60" s="40" t="n">
        <f aca="false">+IF(Tabla[[#This Row],[FECHA PAGO / ABONO]]&lt;1,0,(YEAR(Tabla[[#This Row],[FECHA PAGO / ABONO]])))</f>
        <v>0</v>
      </c>
      <c r="AK60" s="41"/>
    </row>
    <row r="61" customFormat="false" ht="14.25" hidden="false" customHeight="false" outlineLevel="0" collapsed="false">
      <c r="A61" s="28" t="s">
        <v>127</v>
      </c>
      <c r="B61" s="29" t="s">
        <v>128</v>
      </c>
      <c r="C61" s="29" t="s">
        <v>69</v>
      </c>
      <c r="D61" s="21" t="n">
        <v>46532</v>
      </c>
      <c r="E61" s="21" t="str">
        <f aca="false">+CONCATENATE(Tabla[[#This Row],[RUT]],Tabla[[#This Row],[PROVEEDOR]],Tabla[[#This Row],[FACTURA]])</f>
        <v>84364100-8Publicidad Exterior Publivia SpA46532</v>
      </c>
      <c r="F61" s="30" t="n">
        <v>46037</v>
      </c>
      <c r="G61" s="31" t="n">
        <f aca="false">+F61+30</f>
        <v>46067</v>
      </c>
      <c r="H61" s="29" t="n">
        <f aca="true">+IF(AE61="PAGADA",0,TODAY()-G61)</f>
        <v>0</v>
      </c>
      <c r="I61" s="29" t="str">
        <f aca="false">+IF(H61&gt;180,"Atrasada",IF(H61&gt;150,"150 dias",IF(H61&gt;120,"120 dias",IF(H61&gt;90,"90 dias",IF(H61&gt;60,"60 dias",IF(H61&gt;30,"30 dias","Al Día"))))))</f>
        <v>Al Día</v>
      </c>
      <c r="J61" s="32" t="s">
        <v>80</v>
      </c>
      <c r="K61" s="29" t="s">
        <v>81</v>
      </c>
      <c r="L61" s="33" t="s">
        <v>72</v>
      </c>
      <c r="M61" s="29" t="n">
        <f aca="false">+YEAR(F61)</f>
        <v>2026</v>
      </c>
      <c r="N61" s="29" t="n">
        <v>2025</v>
      </c>
      <c r="O61" s="29" t="n">
        <v>12</v>
      </c>
      <c r="P61" s="29" t="str">
        <f aca="false">+CONCATENATE(Tabla[[#This Row],[MES CAMPAÑA]],"/",Tabla[[#This Row],[AÑO CAMPAÑA]])</f>
        <v>12/2025</v>
      </c>
      <c r="Q61" s="29" t="s">
        <v>92</v>
      </c>
      <c r="R61" s="29" t="s">
        <v>74</v>
      </c>
      <c r="S61" s="34" t="n">
        <v>0</v>
      </c>
      <c r="T61" s="34" t="n">
        <v>574130</v>
      </c>
      <c r="U61" s="34" t="n">
        <v>109085</v>
      </c>
      <c r="V61" s="29"/>
      <c r="W61" s="35" t="n">
        <v>683215</v>
      </c>
      <c r="X61" s="36" t="n">
        <f aca="false">+Tabla[[#This Row],[TOTAL]]</f>
        <v>683215</v>
      </c>
      <c r="Y61" s="37"/>
      <c r="Z61" s="37"/>
      <c r="AA61" s="37"/>
      <c r="AB61" s="38" t="n">
        <f aca="false">+W61-AC61</f>
        <v>0</v>
      </c>
      <c r="AC61" s="34" t="n">
        <f aca="false">+Tabla[[#This Row],[P4]]+Tabla[[#This Row],[P3]]+Tabla[[#This Row],[P2]]+Tabla[[#This Row],[P1]]</f>
        <v>683215</v>
      </c>
      <c r="AD61" s="34" t="n">
        <f aca="false">+W61-AC61</f>
        <v>0</v>
      </c>
      <c r="AE61" s="21" t="str">
        <f aca="false">IF(AB61&lt;1,"PAGADA","PENDIENTE")</f>
        <v>PAGADA</v>
      </c>
      <c r="AF61" s="21"/>
      <c r="AG61" s="29" t="s">
        <v>77</v>
      </c>
      <c r="AH61" s="39" t="n">
        <v>46134</v>
      </c>
      <c r="AI61" s="40" t="n">
        <f aca="false">+IF(Tabla[[#This Row],[FECHA PAGO / ABONO]]&lt;1,0,(MONTH(Tabla[[#This Row],[FECHA PAGO / ABONO]])))</f>
        <v>4</v>
      </c>
      <c r="AJ61" s="40" t="n">
        <f aca="false">+IF(Tabla[[#This Row],[FECHA PAGO / ABONO]]&lt;1,0,(YEAR(Tabla[[#This Row],[FECHA PAGO / ABONO]])))</f>
        <v>2026</v>
      </c>
      <c r="AK61" s="41"/>
    </row>
    <row r="62" customFormat="false" ht="14.25" hidden="false" customHeight="false" outlineLevel="0" collapsed="false">
      <c r="A62" s="28" t="s">
        <v>127</v>
      </c>
      <c r="B62" s="29" t="s">
        <v>128</v>
      </c>
      <c r="C62" s="29" t="s">
        <v>69</v>
      </c>
      <c r="D62" s="21" t="n">
        <v>46533</v>
      </c>
      <c r="E62" s="21" t="str">
        <f aca="false">+CONCATENATE(Tabla[[#This Row],[RUT]],Tabla[[#This Row],[PROVEEDOR]],Tabla[[#This Row],[FACTURA]])</f>
        <v>84364100-8Publicidad Exterior Publivia SpA46533</v>
      </c>
      <c r="F62" s="30" t="n">
        <v>46037</v>
      </c>
      <c r="G62" s="31" t="n">
        <f aca="false">+F62+30</f>
        <v>46067</v>
      </c>
      <c r="H62" s="29" t="n">
        <f aca="true">+IF(AE62="PAGADA",0,TODAY()-G62)</f>
        <v>0</v>
      </c>
      <c r="I62" s="29" t="str">
        <f aca="false">+IF(H62&gt;180,"Atrasada",IF(H62&gt;150,"150 dias",IF(H62&gt;120,"120 dias",IF(H62&gt;90,"90 dias",IF(H62&gt;60,"60 dias",IF(H62&gt;30,"30 dias","Al Día"))))))</f>
        <v>Al Día</v>
      </c>
      <c r="J62" s="32" t="s">
        <v>80</v>
      </c>
      <c r="K62" s="29" t="s">
        <v>81</v>
      </c>
      <c r="L62" s="33" t="s">
        <v>72</v>
      </c>
      <c r="M62" s="29" t="n">
        <f aca="false">+YEAR(F62)</f>
        <v>2026</v>
      </c>
      <c r="N62" s="29" t="n">
        <v>2025</v>
      </c>
      <c r="O62" s="29" t="n">
        <v>12</v>
      </c>
      <c r="P62" s="29" t="str">
        <f aca="false">+CONCATENATE(Tabla[[#This Row],[MES CAMPAÑA]],"/",Tabla[[#This Row],[AÑO CAMPAÑA]])</f>
        <v>12/2025</v>
      </c>
      <c r="Q62" s="29" t="s">
        <v>92</v>
      </c>
      <c r="R62" s="29" t="s">
        <v>74</v>
      </c>
      <c r="S62" s="34" t="n">
        <v>0</v>
      </c>
      <c r="T62" s="34" t="n">
        <v>1237600</v>
      </c>
      <c r="U62" s="34" t="n">
        <v>235144</v>
      </c>
      <c r="V62" s="29"/>
      <c r="W62" s="35" t="n">
        <v>1472744</v>
      </c>
      <c r="X62" s="36" t="n">
        <f aca="false">+Tabla[[#This Row],[TOTAL]]</f>
        <v>1472744</v>
      </c>
      <c r="Y62" s="37"/>
      <c r="Z62" s="37"/>
      <c r="AA62" s="37"/>
      <c r="AB62" s="38" t="n">
        <f aca="false">+W62-AC62</f>
        <v>0</v>
      </c>
      <c r="AC62" s="34" t="n">
        <f aca="false">+Tabla[[#This Row],[P4]]+Tabla[[#This Row],[P3]]+Tabla[[#This Row],[P2]]+Tabla[[#This Row],[P1]]</f>
        <v>1472744</v>
      </c>
      <c r="AD62" s="34" t="n">
        <f aca="false">+W62-AC62</f>
        <v>0</v>
      </c>
      <c r="AE62" s="21" t="str">
        <f aca="false">IF(AB62&lt;1,"PAGADA","PENDIENTE")</f>
        <v>PAGADA</v>
      </c>
      <c r="AF62" s="21"/>
      <c r="AG62" s="29" t="s">
        <v>77</v>
      </c>
      <c r="AH62" s="39" t="n">
        <v>46134</v>
      </c>
      <c r="AI62" s="40" t="n">
        <f aca="false">+IF(Tabla[[#This Row],[FECHA PAGO / ABONO]]&lt;1,0,(MONTH(Tabla[[#This Row],[FECHA PAGO / ABONO]])))</f>
        <v>4</v>
      </c>
      <c r="AJ62" s="40" t="n">
        <f aca="false">+IF(Tabla[[#This Row],[FECHA PAGO / ABONO]]&lt;1,0,(YEAR(Tabla[[#This Row],[FECHA PAGO / ABONO]])))</f>
        <v>2026</v>
      </c>
      <c r="AK62" s="41"/>
    </row>
    <row r="63" customFormat="false" ht="14.25" hidden="false" customHeight="false" outlineLevel="0" collapsed="false">
      <c r="A63" s="28" t="s">
        <v>127</v>
      </c>
      <c r="B63" s="29" t="s">
        <v>128</v>
      </c>
      <c r="C63" s="29" t="s">
        <v>69</v>
      </c>
      <c r="D63" s="21" t="n">
        <v>46534</v>
      </c>
      <c r="E63" s="21" t="str">
        <f aca="false">+CONCATENATE(Tabla[[#This Row],[RUT]],Tabla[[#This Row],[PROVEEDOR]],Tabla[[#This Row],[FACTURA]])</f>
        <v>84364100-8Publicidad Exterior Publivia SpA46534</v>
      </c>
      <c r="F63" s="30" t="n">
        <v>46037</v>
      </c>
      <c r="G63" s="31" t="n">
        <f aca="false">+F63+30</f>
        <v>46067</v>
      </c>
      <c r="H63" s="29" t="n">
        <f aca="true">+IF(AE63="PAGADA",0,TODAY()-G63)</f>
        <v>0</v>
      </c>
      <c r="I63" s="29" t="str">
        <f aca="false">+IF(H63&gt;180,"Atrasada",IF(H63&gt;150,"150 dias",IF(H63&gt;120,"120 dias",IF(H63&gt;90,"90 dias",IF(H63&gt;60,"60 dias",IF(H63&gt;30,"30 dias","Al Día"))))))</f>
        <v>Al Día</v>
      </c>
      <c r="J63" s="32" t="s">
        <v>80</v>
      </c>
      <c r="K63" s="29" t="s">
        <v>81</v>
      </c>
      <c r="L63" s="33" t="s">
        <v>72</v>
      </c>
      <c r="M63" s="29" t="n">
        <f aca="false">+YEAR(F63)</f>
        <v>2026</v>
      </c>
      <c r="N63" s="29" t="n">
        <v>2025</v>
      </c>
      <c r="O63" s="29" t="n">
        <v>12</v>
      </c>
      <c r="P63" s="29" t="str">
        <f aca="false">+CONCATENATE(Tabla[[#This Row],[MES CAMPAÑA]],"/",Tabla[[#This Row],[AÑO CAMPAÑA]])</f>
        <v>12/2025</v>
      </c>
      <c r="Q63" s="29" t="s">
        <v>92</v>
      </c>
      <c r="R63" s="29" t="s">
        <v>74</v>
      </c>
      <c r="S63" s="34" t="n">
        <v>0</v>
      </c>
      <c r="T63" s="34" t="n">
        <v>350106</v>
      </c>
      <c r="U63" s="34" t="n">
        <v>66520</v>
      </c>
      <c r="V63" s="29"/>
      <c r="W63" s="35" t="n">
        <v>416626</v>
      </c>
      <c r="X63" s="36" t="n">
        <f aca="false">+Tabla[[#This Row],[TOTAL]]</f>
        <v>416626</v>
      </c>
      <c r="Y63" s="37"/>
      <c r="Z63" s="37"/>
      <c r="AA63" s="37"/>
      <c r="AB63" s="38" t="n">
        <f aca="false">+W63-AC63</f>
        <v>0</v>
      </c>
      <c r="AC63" s="34" t="n">
        <f aca="false">+Tabla[[#This Row],[P4]]+Tabla[[#This Row],[P3]]+Tabla[[#This Row],[P2]]+Tabla[[#This Row],[P1]]</f>
        <v>416626</v>
      </c>
      <c r="AD63" s="34" t="n">
        <f aca="false">+W63-AC63</f>
        <v>0</v>
      </c>
      <c r="AE63" s="21" t="str">
        <f aca="false">IF(AB63&lt;1,"PAGADA","PENDIENTE")</f>
        <v>PAGADA</v>
      </c>
      <c r="AF63" s="21"/>
      <c r="AG63" s="29" t="s">
        <v>77</v>
      </c>
      <c r="AH63" s="39" t="n">
        <v>46134</v>
      </c>
      <c r="AI63" s="40" t="n">
        <f aca="false">+IF(Tabla[[#This Row],[FECHA PAGO / ABONO]]&lt;1,0,(MONTH(Tabla[[#This Row],[FECHA PAGO / ABONO]])))</f>
        <v>4</v>
      </c>
      <c r="AJ63" s="40" t="n">
        <f aca="false">+IF(Tabla[[#This Row],[FECHA PAGO / ABONO]]&lt;1,0,(YEAR(Tabla[[#This Row],[FECHA PAGO / ABONO]])))</f>
        <v>2026</v>
      </c>
      <c r="AK63" s="41"/>
    </row>
    <row r="64" customFormat="false" ht="14.25" hidden="false" customHeight="false" outlineLevel="0" collapsed="false">
      <c r="A64" s="28" t="s">
        <v>127</v>
      </c>
      <c r="B64" s="29" t="s">
        <v>128</v>
      </c>
      <c r="C64" s="29" t="s">
        <v>69</v>
      </c>
      <c r="D64" s="21" t="n">
        <v>46535</v>
      </c>
      <c r="E64" s="21" t="str">
        <f aca="false">+CONCATENATE(Tabla[[#This Row],[RUT]],Tabla[[#This Row],[PROVEEDOR]],Tabla[[#This Row],[FACTURA]])</f>
        <v>84364100-8Publicidad Exterior Publivia SpA46535</v>
      </c>
      <c r="F64" s="30" t="n">
        <v>46037</v>
      </c>
      <c r="G64" s="31" t="n">
        <f aca="false">+F64+30</f>
        <v>46067</v>
      </c>
      <c r="H64" s="29" t="n">
        <f aca="true">+IF(AE64="PAGADA",0,TODAY()-G64)</f>
        <v>0</v>
      </c>
      <c r="I64" s="29" t="str">
        <f aca="false">+IF(H64&gt;180,"Atrasada",IF(H64&gt;150,"150 dias",IF(H64&gt;120,"120 dias",IF(H64&gt;90,"90 dias",IF(H64&gt;60,"60 dias",IF(H64&gt;30,"30 dias","Al Día"))))))</f>
        <v>Al Día</v>
      </c>
      <c r="J64" s="32" t="s">
        <v>80</v>
      </c>
      <c r="K64" s="29" t="s">
        <v>81</v>
      </c>
      <c r="L64" s="33" t="s">
        <v>72</v>
      </c>
      <c r="M64" s="29" t="n">
        <f aca="false">+YEAR(F64)</f>
        <v>2026</v>
      </c>
      <c r="N64" s="29" t="n">
        <v>2025</v>
      </c>
      <c r="O64" s="29" t="n">
        <v>12</v>
      </c>
      <c r="P64" s="29" t="str">
        <f aca="false">+CONCATENATE(Tabla[[#This Row],[MES CAMPAÑA]],"/",Tabla[[#This Row],[AÑO CAMPAÑA]])</f>
        <v>12/2025</v>
      </c>
      <c r="Q64" s="29" t="s">
        <v>92</v>
      </c>
      <c r="R64" s="29" t="s">
        <v>74</v>
      </c>
      <c r="S64" s="34" t="n">
        <v>0</v>
      </c>
      <c r="T64" s="34" t="n">
        <v>518128</v>
      </c>
      <c r="U64" s="34" t="n">
        <v>98444</v>
      </c>
      <c r="V64" s="29"/>
      <c r="W64" s="35" t="n">
        <v>616572</v>
      </c>
      <c r="X64" s="36" t="n">
        <f aca="false">+Tabla[[#This Row],[TOTAL]]</f>
        <v>616572</v>
      </c>
      <c r="Y64" s="37"/>
      <c r="Z64" s="37"/>
      <c r="AA64" s="37"/>
      <c r="AB64" s="38" t="n">
        <f aca="false">+W64-AC64</f>
        <v>0</v>
      </c>
      <c r="AC64" s="34" t="n">
        <f aca="false">+Tabla[[#This Row],[P4]]+Tabla[[#This Row],[P3]]+Tabla[[#This Row],[P2]]+Tabla[[#This Row],[P1]]</f>
        <v>616572</v>
      </c>
      <c r="AD64" s="34" t="n">
        <f aca="false">+W64-AC64</f>
        <v>0</v>
      </c>
      <c r="AE64" s="21" t="str">
        <f aca="false">IF(AB64&lt;1,"PAGADA","PENDIENTE")</f>
        <v>PAGADA</v>
      </c>
      <c r="AF64" s="21"/>
      <c r="AG64" s="29" t="s">
        <v>77</v>
      </c>
      <c r="AH64" s="39" t="n">
        <v>46134</v>
      </c>
      <c r="AI64" s="40" t="n">
        <f aca="false">+IF(Tabla[[#This Row],[FECHA PAGO / ABONO]]&lt;1,0,(MONTH(Tabla[[#This Row],[FECHA PAGO / ABONO]])))</f>
        <v>4</v>
      </c>
      <c r="AJ64" s="40" t="n">
        <f aca="false">+IF(Tabla[[#This Row],[FECHA PAGO / ABONO]]&lt;1,0,(YEAR(Tabla[[#This Row],[FECHA PAGO / ABONO]])))</f>
        <v>2026</v>
      </c>
      <c r="AK64" s="41"/>
    </row>
    <row r="65" customFormat="false" ht="14.25" hidden="false" customHeight="false" outlineLevel="0" collapsed="false">
      <c r="A65" s="28" t="s">
        <v>127</v>
      </c>
      <c r="B65" s="29" t="s">
        <v>128</v>
      </c>
      <c r="C65" s="29" t="s">
        <v>69</v>
      </c>
      <c r="D65" s="21" t="n">
        <v>46536</v>
      </c>
      <c r="E65" s="21" t="str">
        <f aca="false">+CONCATENATE(Tabla[[#This Row],[RUT]],Tabla[[#This Row],[PROVEEDOR]],Tabla[[#This Row],[FACTURA]])</f>
        <v>84364100-8Publicidad Exterior Publivia SpA46536</v>
      </c>
      <c r="F65" s="30" t="n">
        <v>46037</v>
      </c>
      <c r="G65" s="31" t="n">
        <f aca="false">+F65+30</f>
        <v>46067</v>
      </c>
      <c r="H65" s="29" t="n">
        <f aca="true">+IF(AE65="PAGADA",0,TODAY()-G65)</f>
        <v>0</v>
      </c>
      <c r="I65" s="29" t="str">
        <f aca="false">+IF(H65&gt;180,"Atrasada",IF(H65&gt;150,"150 dias",IF(H65&gt;120,"120 dias",IF(H65&gt;90,"90 dias",IF(H65&gt;60,"60 dias",IF(H65&gt;30,"30 dias","Al Día"))))))</f>
        <v>Al Día</v>
      </c>
      <c r="J65" s="32" t="s">
        <v>80</v>
      </c>
      <c r="K65" s="29" t="s">
        <v>81</v>
      </c>
      <c r="L65" s="33" t="s">
        <v>72</v>
      </c>
      <c r="M65" s="29" t="n">
        <f aca="false">+YEAR(F65)</f>
        <v>2026</v>
      </c>
      <c r="N65" s="29" t="n">
        <v>2025</v>
      </c>
      <c r="O65" s="29" t="n">
        <v>12</v>
      </c>
      <c r="P65" s="29" t="str">
        <f aca="false">+CONCATENATE(Tabla[[#This Row],[MES CAMPAÑA]],"/",Tabla[[#This Row],[AÑO CAMPAÑA]])</f>
        <v>12/2025</v>
      </c>
      <c r="Q65" s="29" t="s">
        <v>92</v>
      </c>
      <c r="R65" s="29" t="s">
        <v>74</v>
      </c>
      <c r="S65" s="34" t="n">
        <v>0</v>
      </c>
      <c r="T65" s="34" t="n">
        <v>549212</v>
      </c>
      <c r="U65" s="34" t="n">
        <v>104350</v>
      </c>
      <c r="V65" s="29"/>
      <c r="W65" s="35" t="n">
        <v>653562</v>
      </c>
      <c r="X65" s="36" t="n">
        <f aca="false">+Tabla[[#This Row],[TOTAL]]</f>
        <v>653562</v>
      </c>
      <c r="Y65" s="37"/>
      <c r="Z65" s="37"/>
      <c r="AA65" s="37"/>
      <c r="AB65" s="38" t="n">
        <f aca="false">+W65-AC65</f>
        <v>0</v>
      </c>
      <c r="AC65" s="34" t="n">
        <f aca="false">+Tabla[[#This Row],[P4]]+Tabla[[#This Row],[P3]]+Tabla[[#This Row],[P2]]+Tabla[[#This Row],[P1]]</f>
        <v>653562</v>
      </c>
      <c r="AD65" s="34" t="n">
        <f aca="false">+W65-AC65</f>
        <v>0</v>
      </c>
      <c r="AE65" s="21" t="str">
        <f aca="false">IF(AB65&lt;1,"PAGADA","PENDIENTE")</f>
        <v>PAGADA</v>
      </c>
      <c r="AF65" s="21"/>
      <c r="AG65" s="29" t="s">
        <v>77</v>
      </c>
      <c r="AH65" s="39" t="n">
        <v>46134</v>
      </c>
      <c r="AI65" s="40" t="n">
        <f aca="false">+IF(Tabla[[#This Row],[FECHA PAGO / ABONO]]&lt;1,0,(MONTH(Tabla[[#This Row],[FECHA PAGO / ABONO]])))</f>
        <v>4</v>
      </c>
      <c r="AJ65" s="40" t="n">
        <f aca="false">+IF(Tabla[[#This Row],[FECHA PAGO / ABONO]]&lt;1,0,(YEAR(Tabla[[#This Row],[FECHA PAGO / ABONO]])))</f>
        <v>2026</v>
      </c>
      <c r="AK65" s="41"/>
    </row>
    <row r="66" customFormat="false" ht="14.25" hidden="false" customHeight="false" outlineLevel="0" collapsed="false">
      <c r="A66" s="28" t="s">
        <v>127</v>
      </c>
      <c r="B66" s="29" t="s">
        <v>128</v>
      </c>
      <c r="C66" s="29" t="s">
        <v>69</v>
      </c>
      <c r="D66" s="21" t="n">
        <v>46537</v>
      </c>
      <c r="E66" s="21" t="str">
        <f aca="false">+CONCATENATE(Tabla[[#This Row],[RUT]],Tabla[[#This Row],[PROVEEDOR]],Tabla[[#This Row],[FACTURA]])</f>
        <v>84364100-8Publicidad Exterior Publivia SpA46537</v>
      </c>
      <c r="F66" s="30" t="n">
        <v>46037</v>
      </c>
      <c r="G66" s="31" t="n">
        <f aca="false">+F66+30</f>
        <v>46067</v>
      </c>
      <c r="H66" s="29" t="n">
        <f aca="true">+IF(AE66="PAGADA",0,TODAY()-G66)</f>
        <v>0</v>
      </c>
      <c r="I66" s="29" t="str">
        <f aca="false">+IF(H66&gt;180,"Atrasada",IF(H66&gt;150,"150 dias",IF(H66&gt;120,"120 dias",IF(H66&gt;90,"90 dias",IF(H66&gt;60,"60 dias",IF(H66&gt;30,"30 dias","Al Día"))))))</f>
        <v>Al Día</v>
      </c>
      <c r="J66" s="32" t="s">
        <v>80</v>
      </c>
      <c r="K66" s="29" t="s">
        <v>81</v>
      </c>
      <c r="L66" s="33" t="s">
        <v>72</v>
      </c>
      <c r="M66" s="29" t="n">
        <f aca="false">+YEAR(F66)</f>
        <v>2026</v>
      </c>
      <c r="N66" s="29" t="n">
        <v>2025</v>
      </c>
      <c r="O66" s="29" t="n">
        <v>12</v>
      </c>
      <c r="P66" s="29" t="str">
        <f aca="false">+CONCATENATE(Tabla[[#This Row],[MES CAMPAÑA]],"/",Tabla[[#This Row],[AÑO CAMPAÑA]])</f>
        <v>12/2025</v>
      </c>
      <c r="Q66" s="29" t="s">
        <v>92</v>
      </c>
      <c r="R66" s="29" t="s">
        <v>74</v>
      </c>
      <c r="S66" s="34" t="n">
        <v>0</v>
      </c>
      <c r="T66" s="34" t="n">
        <v>495384</v>
      </c>
      <c r="U66" s="34" t="n">
        <v>94123</v>
      </c>
      <c r="V66" s="29"/>
      <c r="W66" s="35" t="n">
        <v>589507</v>
      </c>
      <c r="X66" s="36" t="n">
        <f aca="false">+Tabla[[#This Row],[TOTAL]]</f>
        <v>589507</v>
      </c>
      <c r="Y66" s="37"/>
      <c r="Z66" s="37"/>
      <c r="AA66" s="37"/>
      <c r="AB66" s="38" t="n">
        <f aca="false">+W66-AC66</f>
        <v>0</v>
      </c>
      <c r="AC66" s="34" t="n">
        <f aca="false">+Tabla[[#This Row],[P4]]+Tabla[[#This Row],[P3]]+Tabla[[#This Row],[P2]]+Tabla[[#This Row],[P1]]</f>
        <v>589507</v>
      </c>
      <c r="AD66" s="34" t="n">
        <f aca="false">+W66-AC66</f>
        <v>0</v>
      </c>
      <c r="AE66" s="21" t="str">
        <f aca="false">IF(AB66&lt;1,"PAGADA","PENDIENTE")</f>
        <v>PAGADA</v>
      </c>
      <c r="AF66" s="21"/>
      <c r="AG66" s="29" t="s">
        <v>77</v>
      </c>
      <c r="AH66" s="39" t="n">
        <v>46134</v>
      </c>
      <c r="AI66" s="40" t="n">
        <f aca="false">+IF(Tabla[[#This Row],[FECHA PAGO / ABONO]]&lt;1,0,(MONTH(Tabla[[#This Row],[FECHA PAGO / ABONO]])))</f>
        <v>4</v>
      </c>
      <c r="AJ66" s="40" t="n">
        <f aca="false">+IF(Tabla[[#This Row],[FECHA PAGO / ABONO]]&lt;1,0,(YEAR(Tabla[[#This Row],[FECHA PAGO / ABONO]])))</f>
        <v>2026</v>
      </c>
      <c r="AK66" s="41"/>
    </row>
    <row r="67" customFormat="false" ht="14.25" hidden="false" customHeight="false" outlineLevel="0" collapsed="false">
      <c r="A67" s="28" t="s">
        <v>127</v>
      </c>
      <c r="B67" s="29" t="s">
        <v>128</v>
      </c>
      <c r="C67" s="29" t="s">
        <v>69</v>
      </c>
      <c r="D67" s="21" t="n">
        <v>46538</v>
      </c>
      <c r="E67" s="21" t="str">
        <f aca="false">+CONCATENATE(Tabla[[#This Row],[RUT]],Tabla[[#This Row],[PROVEEDOR]],Tabla[[#This Row],[FACTURA]])</f>
        <v>84364100-8Publicidad Exterior Publivia SpA46538</v>
      </c>
      <c r="F67" s="30" t="n">
        <v>46037</v>
      </c>
      <c r="G67" s="31" t="n">
        <f aca="false">+F67+30</f>
        <v>46067</v>
      </c>
      <c r="H67" s="29" t="n">
        <f aca="true">+IF(AE67="PAGADA",0,TODAY()-G67)</f>
        <v>0</v>
      </c>
      <c r="I67" s="29" t="str">
        <f aca="false">+IF(H67&gt;180,"Atrasada",IF(H67&gt;150,"150 dias",IF(H67&gt;120,"120 dias",IF(H67&gt;90,"90 dias",IF(H67&gt;60,"60 dias",IF(H67&gt;30,"30 dias","Al Día"))))))</f>
        <v>Al Día</v>
      </c>
      <c r="J67" s="32" t="s">
        <v>80</v>
      </c>
      <c r="K67" s="29" t="s">
        <v>81</v>
      </c>
      <c r="L67" s="33" t="s">
        <v>72</v>
      </c>
      <c r="M67" s="29" t="n">
        <f aca="false">+YEAR(F67)</f>
        <v>2026</v>
      </c>
      <c r="N67" s="29" t="n">
        <v>2025</v>
      </c>
      <c r="O67" s="29" t="n">
        <v>12</v>
      </c>
      <c r="P67" s="29" t="str">
        <f aca="false">+CONCATENATE(Tabla[[#This Row],[MES CAMPAÑA]],"/",Tabla[[#This Row],[AÑO CAMPAÑA]])</f>
        <v>12/2025</v>
      </c>
      <c r="Q67" s="29" t="s">
        <v>92</v>
      </c>
      <c r="R67" s="29" t="s">
        <v>74</v>
      </c>
      <c r="S67" s="34" t="n">
        <v>0</v>
      </c>
      <c r="T67" s="34" t="n">
        <v>470441</v>
      </c>
      <c r="U67" s="34" t="n">
        <v>89384</v>
      </c>
      <c r="V67" s="29"/>
      <c r="W67" s="35" t="n">
        <v>559825</v>
      </c>
      <c r="X67" s="36" t="n">
        <f aca="false">+Tabla[[#This Row],[TOTAL]]</f>
        <v>559825</v>
      </c>
      <c r="Y67" s="37"/>
      <c r="Z67" s="37"/>
      <c r="AA67" s="37"/>
      <c r="AB67" s="38" t="n">
        <f aca="false">+W67-AC67</f>
        <v>0</v>
      </c>
      <c r="AC67" s="34" t="n">
        <f aca="false">+Tabla[[#This Row],[P4]]+Tabla[[#This Row],[P3]]+Tabla[[#This Row],[P2]]+Tabla[[#This Row],[P1]]</f>
        <v>559825</v>
      </c>
      <c r="AD67" s="34" t="n">
        <f aca="false">+W67-AC67</f>
        <v>0</v>
      </c>
      <c r="AE67" s="21" t="str">
        <f aca="false">IF(AB67&lt;1,"PAGADA","PENDIENTE")</f>
        <v>PAGADA</v>
      </c>
      <c r="AF67" s="21"/>
      <c r="AG67" s="29" t="s">
        <v>77</v>
      </c>
      <c r="AH67" s="39" t="n">
        <v>46134</v>
      </c>
      <c r="AI67" s="40" t="n">
        <f aca="false">+IF(Tabla[[#This Row],[FECHA PAGO / ABONO]]&lt;1,0,(MONTH(Tabla[[#This Row],[FECHA PAGO / ABONO]])))</f>
        <v>4</v>
      </c>
      <c r="AJ67" s="40" t="n">
        <f aca="false">+IF(Tabla[[#This Row],[FECHA PAGO / ABONO]]&lt;1,0,(YEAR(Tabla[[#This Row],[FECHA PAGO / ABONO]])))</f>
        <v>2026</v>
      </c>
      <c r="AK67" s="41"/>
    </row>
    <row r="68" customFormat="false" ht="14.25" hidden="false" customHeight="false" outlineLevel="0" collapsed="false">
      <c r="A68" s="28" t="s">
        <v>127</v>
      </c>
      <c r="B68" s="29" t="s">
        <v>128</v>
      </c>
      <c r="C68" s="29" t="s">
        <v>69</v>
      </c>
      <c r="D68" s="21" t="n">
        <v>46539</v>
      </c>
      <c r="E68" s="21" t="str">
        <f aca="false">+CONCATENATE(Tabla[[#This Row],[RUT]],Tabla[[#This Row],[PROVEEDOR]],Tabla[[#This Row],[FACTURA]])</f>
        <v>84364100-8Publicidad Exterior Publivia SpA46539</v>
      </c>
      <c r="F68" s="30" t="n">
        <v>46037</v>
      </c>
      <c r="G68" s="31" t="n">
        <f aca="false">+F68+30</f>
        <v>46067</v>
      </c>
      <c r="H68" s="29" t="n">
        <f aca="true">+IF(AE68="PAGADA",0,TODAY()-G68)</f>
        <v>0</v>
      </c>
      <c r="I68" s="29" t="str">
        <f aca="false">+IF(H68&gt;180,"Atrasada",IF(H68&gt;150,"150 dias",IF(H68&gt;120,"120 dias",IF(H68&gt;90,"90 dias",IF(H68&gt;60,"60 dias",IF(H68&gt;30,"30 dias","Al Día"))))))</f>
        <v>Al Día</v>
      </c>
      <c r="J68" s="32" t="s">
        <v>80</v>
      </c>
      <c r="K68" s="29" t="s">
        <v>81</v>
      </c>
      <c r="L68" s="33" t="s">
        <v>72</v>
      </c>
      <c r="M68" s="29" t="n">
        <f aca="false">+YEAR(F68)</f>
        <v>2026</v>
      </c>
      <c r="N68" s="29" t="n">
        <v>2025</v>
      </c>
      <c r="O68" s="29" t="n">
        <v>12</v>
      </c>
      <c r="P68" s="29" t="str">
        <f aca="false">+CONCATENATE(Tabla[[#This Row],[MES CAMPAÑA]],"/",Tabla[[#This Row],[AÑO CAMPAÑA]])</f>
        <v>12/2025</v>
      </c>
      <c r="Q68" s="29" t="s">
        <v>92</v>
      </c>
      <c r="R68" s="29" t="s">
        <v>74</v>
      </c>
      <c r="S68" s="34" t="n">
        <v>0</v>
      </c>
      <c r="T68" s="34" t="n">
        <v>347360</v>
      </c>
      <c r="U68" s="34" t="n">
        <v>65998</v>
      </c>
      <c r="V68" s="29"/>
      <c r="W68" s="35" t="n">
        <v>413358</v>
      </c>
      <c r="X68" s="36" t="n">
        <f aca="false">+Tabla[[#This Row],[TOTAL]]</f>
        <v>413358</v>
      </c>
      <c r="Y68" s="37"/>
      <c r="Z68" s="37"/>
      <c r="AA68" s="37"/>
      <c r="AB68" s="38" t="n">
        <f aca="false">+W68-AC68</f>
        <v>0</v>
      </c>
      <c r="AC68" s="34" t="n">
        <f aca="false">+Tabla[[#This Row],[P4]]+Tabla[[#This Row],[P3]]+Tabla[[#This Row],[P2]]+Tabla[[#This Row],[P1]]</f>
        <v>413358</v>
      </c>
      <c r="AD68" s="34" t="n">
        <f aca="false">+W68-AC68</f>
        <v>0</v>
      </c>
      <c r="AE68" s="21" t="str">
        <f aca="false">IF(AB68&lt;1,"PAGADA","PENDIENTE")</f>
        <v>PAGADA</v>
      </c>
      <c r="AF68" s="21"/>
      <c r="AG68" s="29" t="s">
        <v>77</v>
      </c>
      <c r="AH68" s="39" t="n">
        <v>46142</v>
      </c>
      <c r="AI68" s="40" t="n">
        <f aca="false">+IF(Tabla[[#This Row],[FECHA PAGO / ABONO]]&lt;1,0,(MONTH(Tabla[[#This Row],[FECHA PAGO / ABONO]])))</f>
        <v>4</v>
      </c>
      <c r="AJ68" s="40" t="n">
        <f aca="false">+IF(Tabla[[#This Row],[FECHA PAGO / ABONO]]&lt;1,0,(YEAR(Tabla[[#This Row],[FECHA PAGO / ABONO]])))</f>
        <v>2026</v>
      </c>
      <c r="AK68" s="41"/>
    </row>
    <row r="69" customFormat="false" ht="14.25" hidden="false" customHeight="false" outlineLevel="0" collapsed="false">
      <c r="A69" s="28" t="s">
        <v>127</v>
      </c>
      <c r="B69" s="29" t="s">
        <v>128</v>
      </c>
      <c r="C69" s="29" t="s">
        <v>69</v>
      </c>
      <c r="D69" s="21" t="n">
        <v>46540</v>
      </c>
      <c r="E69" s="21" t="str">
        <f aca="false">+CONCATENATE(Tabla[[#This Row],[RUT]],Tabla[[#This Row],[PROVEEDOR]],Tabla[[#This Row],[FACTURA]])</f>
        <v>84364100-8Publicidad Exterior Publivia SpA46540</v>
      </c>
      <c r="F69" s="30" t="n">
        <v>46037</v>
      </c>
      <c r="G69" s="31" t="n">
        <f aca="false">+F69+30</f>
        <v>46067</v>
      </c>
      <c r="H69" s="29" t="n">
        <f aca="true">+IF(AE69="PAGADA",0,TODAY()-G69)</f>
        <v>0</v>
      </c>
      <c r="I69" s="29" t="str">
        <f aca="false">+IF(H69&gt;180,"Atrasada",IF(H69&gt;150,"150 dias",IF(H69&gt;120,"120 dias",IF(H69&gt;90,"90 dias",IF(H69&gt;60,"60 dias",IF(H69&gt;30,"30 dias","Al Día"))))))</f>
        <v>Al Día</v>
      </c>
      <c r="J69" s="32" t="s">
        <v>80</v>
      </c>
      <c r="K69" s="29" t="s">
        <v>81</v>
      </c>
      <c r="L69" s="33" t="s">
        <v>72</v>
      </c>
      <c r="M69" s="29" t="n">
        <f aca="false">+YEAR(F69)</f>
        <v>2026</v>
      </c>
      <c r="N69" s="29" t="n">
        <v>2025</v>
      </c>
      <c r="O69" s="29" t="n">
        <v>12</v>
      </c>
      <c r="P69" s="29" t="str">
        <f aca="false">+CONCATENATE(Tabla[[#This Row],[MES CAMPAÑA]],"/",Tabla[[#This Row],[AÑO CAMPAÑA]])</f>
        <v>12/2025</v>
      </c>
      <c r="Q69" s="29" t="s">
        <v>92</v>
      </c>
      <c r="R69" s="29" t="s">
        <v>74</v>
      </c>
      <c r="S69" s="34" t="n">
        <v>0</v>
      </c>
      <c r="T69" s="34" t="n">
        <v>616496</v>
      </c>
      <c r="U69" s="34" t="n">
        <v>117134</v>
      </c>
      <c r="V69" s="29"/>
      <c r="W69" s="35" t="n">
        <v>733630</v>
      </c>
      <c r="X69" s="36" t="n">
        <f aca="false">+Tabla[[#This Row],[TOTAL]]</f>
        <v>733630</v>
      </c>
      <c r="Y69" s="37"/>
      <c r="Z69" s="37"/>
      <c r="AA69" s="37"/>
      <c r="AB69" s="38" t="n">
        <f aca="false">+W69-AC69</f>
        <v>0</v>
      </c>
      <c r="AC69" s="34" t="n">
        <f aca="false">+Tabla[[#This Row],[P4]]+Tabla[[#This Row],[P3]]+Tabla[[#This Row],[P2]]+Tabla[[#This Row],[P1]]</f>
        <v>733630</v>
      </c>
      <c r="AD69" s="34" t="n">
        <f aca="false">+W69-AC69</f>
        <v>0</v>
      </c>
      <c r="AE69" s="21" t="str">
        <f aca="false">IF(AB69&lt;1,"PAGADA","PENDIENTE")</f>
        <v>PAGADA</v>
      </c>
      <c r="AF69" s="21"/>
      <c r="AG69" s="29" t="s">
        <v>77</v>
      </c>
      <c r="AH69" s="39" t="n">
        <v>46142</v>
      </c>
      <c r="AI69" s="40" t="n">
        <f aca="false">+IF(Tabla[[#This Row],[FECHA PAGO / ABONO]]&lt;1,0,(MONTH(Tabla[[#This Row],[FECHA PAGO / ABONO]])))</f>
        <v>4</v>
      </c>
      <c r="AJ69" s="40" t="n">
        <f aca="false">+IF(Tabla[[#This Row],[FECHA PAGO / ABONO]]&lt;1,0,(YEAR(Tabla[[#This Row],[FECHA PAGO / ABONO]])))</f>
        <v>2026</v>
      </c>
      <c r="AK69" s="41"/>
    </row>
    <row r="70" customFormat="false" ht="14.25" hidden="false" customHeight="false" outlineLevel="0" collapsed="false">
      <c r="A70" s="28" t="s">
        <v>127</v>
      </c>
      <c r="B70" s="29" t="s">
        <v>128</v>
      </c>
      <c r="C70" s="29" t="s">
        <v>69</v>
      </c>
      <c r="D70" s="21" t="n">
        <v>46541</v>
      </c>
      <c r="E70" s="21" t="str">
        <f aca="false">+CONCATENATE(Tabla[[#This Row],[RUT]],Tabla[[#This Row],[PROVEEDOR]],Tabla[[#This Row],[FACTURA]])</f>
        <v>84364100-8Publicidad Exterior Publivia SpA46541</v>
      </c>
      <c r="F70" s="30" t="n">
        <v>46037</v>
      </c>
      <c r="G70" s="31" t="n">
        <f aca="false">+F70+30</f>
        <v>46067</v>
      </c>
      <c r="H70" s="29" t="n">
        <f aca="true">+IF(AE70="PAGADA",0,TODAY()-G70)</f>
        <v>0</v>
      </c>
      <c r="I70" s="29" t="str">
        <f aca="false">+IF(H70&gt;180,"Atrasada",IF(H70&gt;150,"150 dias",IF(H70&gt;120,"120 dias",IF(H70&gt;90,"90 dias",IF(H70&gt;60,"60 dias",IF(H70&gt;30,"30 dias","Al Día"))))))</f>
        <v>Al Día</v>
      </c>
      <c r="J70" s="32" t="s">
        <v>80</v>
      </c>
      <c r="K70" s="29" t="s">
        <v>81</v>
      </c>
      <c r="L70" s="33" t="s">
        <v>72</v>
      </c>
      <c r="M70" s="29" t="n">
        <f aca="false">+YEAR(F70)</f>
        <v>2026</v>
      </c>
      <c r="N70" s="29" t="n">
        <v>2025</v>
      </c>
      <c r="O70" s="29" t="n">
        <v>12</v>
      </c>
      <c r="P70" s="29" t="str">
        <f aca="false">+CONCATENATE(Tabla[[#This Row],[MES CAMPAÑA]],"/",Tabla[[#This Row],[AÑO CAMPAÑA]])</f>
        <v>12/2025</v>
      </c>
      <c r="Q70" s="29" t="s">
        <v>92</v>
      </c>
      <c r="R70" s="29" t="s">
        <v>74</v>
      </c>
      <c r="S70" s="34" t="n">
        <v>0</v>
      </c>
      <c r="T70" s="34" t="n">
        <v>469271</v>
      </c>
      <c r="U70" s="34" t="n">
        <v>89161</v>
      </c>
      <c r="V70" s="29"/>
      <c r="W70" s="35" t="n">
        <v>558432</v>
      </c>
      <c r="X70" s="36" t="n">
        <f aca="false">+Tabla[[#This Row],[TOTAL]]</f>
        <v>558432</v>
      </c>
      <c r="Y70" s="37"/>
      <c r="Z70" s="37"/>
      <c r="AA70" s="37"/>
      <c r="AB70" s="38" t="n">
        <f aca="false">+W70-AC70</f>
        <v>0</v>
      </c>
      <c r="AC70" s="34" t="n">
        <f aca="false">+Tabla[[#This Row],[P4]]+Tabla[[#This Row],[P3]]+Tabla[[#This Row],[P2]]+Tabla[[#This Row],[P1]]</f>
        <v>558432</v>
      </c>
      <c r="AD70" s="34" t="n">
        <f aca="false">+W70-AC70</f>
        <v>0</v>
      </c>
      <c r="AE70" s="21" t="str">
        <f aca="false">IF(AB70&lt;1,"PAGADA","PENDIENTE")</f>
        <v>PAGADA</v>
      </c>
      <c r="AF70" s="21"/>
      <c r="AG70" s="29" t="s">
        <v>77</v>
      </c>
      <c r="AH70" s="39" t="n">
        <v>46142</v>
      </c>
      <c r="AI70" s="40" t="n">
        <f aca="false">+IF(Tabla[[#This Row],[FECHA PAGO / ABONO]]&lt;1,0,(MONTH(Tabla[[#This Row],[FECHA PAGO / ABONO]])))</f>
        <v>4</v>
      </c>
      <c r="AJ70" s="40" t="n">
        <f aca="false">+IF(Tabla[[#This Row],[FECHA PAGO / ABONO]]&lt;1,0,(YEAR(Tabla[[#This Row],[FECHA PAGO / ABONO]])))</f>
        <v>2026</v>
      </c>
      <c r="AK70" s="41"/>
    </row>
    <row r="71" customFormat="false" ht="14.25" hidden="false" customHeight="false" outlineLevel="0" collapsed="false">
      <c r="A71" s="28" t="s">
        <v>127</v>
      </c>
      <c r="B71" s="29" t="s">
        <v>128</v>
      </c>
      <c r="C71" s="29" t="s">
        <v>69</v>
      </c>
      <c r="D71" s="21" t="n">
        <v>46542</v>
      </c>
      <c r="E71" s="21" t="str">
        <f aca="false">+CONCATENATE(Tabla[[#This Row],[RUT]],Tabla[[#This Row],[PROVEEDOR]],Tabla[[#This Row],[FACTURA]])</f>
        <v>84364100-8Publicidad Exterior Publivia SpA46542</v>
      </c>
      <c r="F71" s="30" t="n">
        <v>46037</v>
      </c>
      <c r="G71" s="31" t="n">
        <f aca="false">+F71+30</f>
        <v>46067</v>
      </c>
      <c r="H71" s="29" t="n">
        <f aca="true">+IF(AE71="PAGADA",0,TODAY()-G71)</f>
        <v>0</v>
      </c>
      <c r="I71" s="29" t="str">
        <f aca="false">+IF(H71&gt;180,"Atrasada",IF(H71&gt;150,"150 dias",IF(H71&gt;120,"120 dias",IF(H71&gt;90,"90 dias",IF(H71&gt;60,"60 dias",IF(H71&gt;30,"30 dias","Al Día"))))))</f>
        <v>Al Día</v>
      </c>
      <c r="J71" s="32" t="s">
        <v>80</v>
      </c>
      <c r="K71" s="29" t="s">
        <v>81</v>
      </c>
      <c r="L71" s="33" t="s">
        <v>72</v>
      </c>
      <c r="M71" s="29" t="n">
        <f aca="false">+YEAR(F71)</f>
        <v>2026</v>
      </c>
      <c r="N71" s="29" t="n">
        <v>2025</v>
      </c>
      <c r="O71" s="29" t="n">
        <v>12</v>
      </c>
      <c r="P71" s="29" t="str">
        <f aca="false">+CONCATENATE(Tabla[[#This Row],[MES CAMPAÑA]],"/",Tabla[[#This Row],[AÑO CAMPAÑA]])</f>
        <v>12/2025</v>
      </c>
      <c r="Q71" s="29" t="s">
        <v>92</v>
      </c>
      <c r="R71" s="29" t="s">
        <v>74</v>
      </c>
      <c r="S71" s="34" t="n">
        <v>0</v>
      </c>
      <c r="T71" s="34" t="n">
        <v>363792</v>
      </c>
      <c r="U71" s="34" t="n">
        <v>69120</v>
      </c>
      <c r="V71" s="29"/>
      <c r="W71" s="35" t="n">
        <v>432912</v>
      </c>
      <c r="X71" s="36" t="n">
        <f aca="false">+Tabla[[#This Row],[TOTAL]]</f>
        <v>432912</v>
      </c>
      <c r="Y71" s="37"/>
      <c r="Z71" s="37"/>
      <c r="AA71" s="37"/>
      <c r="AB71" s="38" t="n">
        <f aca="false">+W71-AC71</f>
        <v>0</v>
      </c>
      <c r="AC71" s="34" t="n">
        <f aca="false">+Tabla[[#This Row],[P4]]+Tabla[[#This Row],[P3]]+Tabla[[#This Row],[P2]]+Tabla[[#This Row],[P1]]</f>
        <v>432912</v>
      </c>
      <c r="AD71" s="34" t="n">
        <f aca="false">+W71-AC71</f>
        <v>0</v>
      </c>
      <c r="AE71" s="21" t="str">
        <f aca="false">IF(AB71&lt;1,"PAGADA","PENDIENTE")</f>
        <v>PAGADA</v>
      </c>
      <c r="AF71" s="21"/>
      <c r="AG71" s="29" t="s">
        <v>77</v>
      </c>
      <c r="AH71" s="39" t="n">
        <v>46142</v>
      </c>
      <c r="AI71" s="40" t="n">
        <f aca="false">+IF(Tabla[[#This Row],[FECHA PAGO / ABONO]]&lt;1,0,(MONTH(Tabla[[#This Row],[FECHA PAGO / ABONO]])))</f>
        <v>4</v>
      </c>
      <c r="AJ71" s="40" t="n">
        <f aca="false">+IF(Tabla[[#This Row],[FECHA PAGO / ABONO]]&lt;1,0,(YEAR(Tabla[[#This Row],[FECHA PAGO / ABONO]])))</f>
        <v>2026</v>
      </c>
      <c r="AK71" s="41"/>
    </row>
    <row r="72" customFormat="false" ht="14.25" hidden="false" customHeight="false" outlineLevel="0" collapsed="false">
      <c r="A72" s="28" t="s">
        <v>127</v>
      </c>
      <c r="B72" s="29" t="s">
        <v>128</v>
      </c>
      <c r="C72" s="29" t="s">
        <v>69</v>
      </c>
      <c r="D72" s="21" t="n">
        <v>46543</v>
      </c>
      <c r="E72" s="21" t="str">
        <f aca="false">+CONCATENATE(Tabla[[#This Row],[RUT]],Tabla[[#This Row],[PROVEEDOR]],Tabla[[#This Row],[FACTURA]])</f>
        <v>84364100-8Publicidad Exterior Publivia SpA46543</v>
      </c>
      <c r="F72" s="30" t="n">
        <v>46037</v>
      </c>
      <c r="G72" s="31" t="n">
        <f aca="false">+F72+30</f>
        <v>46067</v>
      </c>
      <c r="H72" s="29" t="n">
        <f aca="true">+IF(AE72="PAGADA",0,TODAY()-G72)</f>
        <v>0</v>
      </c>
      <c r="I72" s="29" t="str">
        <f aca="false">+IF(H72&gt;180,"Atrasada",IF(H72&gt;150,"150 dias",IF(H72&gt;120,"120 dias",IF(H72&gt;90,"90 dias",IF(H72&gt;60,"60 dias",IF(H72&gt;30,"30 dias","Al Día"))))))</f>
        <v>Al Día</v>
      </c>
      <c r="J72" s="32" t="s">
        <v>80</v>
      </c>
      <c r="K72" s="29" t="s">
        <v>81</v>
      </c>
      <c r="L72" s="33" t="s">
        <v>72</v>
      </c>
      <c r="M72" s="29" t="n">
        <f aca="false">+YEAR(F72)</f>
        <v>2026</v>
      </c>
      <c r="N72" s="29" t="n">
        <v>2025</v>
      </c>
      <c r="O72" s="29" t="n">
        <v>12</v>
      </c>
      <c r="P72" s="29" t="str">
        <f aca="false">+CONCATENATE(Tabla[[#This Row],[MES CAMPAÑA]],"/",Tabla[[#This Row],[AÑO CAMPAÑA]])</f>
        <v>12/2025</v>
      </c>
      <c r="Q72" s="29" t="s">
        <v>92</v>
      </c>
      <c r="R72" s="29" t="s">
        <v>74</v>
      </c>
      <c r="S72" s="34" t="n">
        <v>0</v>
      </c>
      <c r="T72" s="34" t="n">
        <v>412896</v>
      </c>
      <c r="U72" s="34" t="n">
        <v>78450</v>
      </c>
      <c r="V72" s="29"/>
      <c r="W72" s="35" t="n">
        <v>491346</v>
      </c>
      <c r="X72" s="36" t="n">
        <f aca="false">+Tabla[[#This Row],[TOTAL]]</f>
        <v>491346</v>
      </c>
      <c r="Y72" s="37"/>
      <c r="Z72" s="37"/>
      <c r="AA72" s="37"/>
      <c r="AB72" s="38" t="n">
        <f aca="false">+W72-AC72</f>
        <v>0</v>
      </c>
      <c r="AC72" s="34" t="n">
        <f aca="false">+Tabla[[#This Row],[P4]]+Tabla[[#This Row],[P3]]+Tabla[[#This Row],[P2]]+Tabla[[#This Row],[P1]]</f>
        <v>491346</v>
      </c>
      <c r="AD72" s="34" t="n">
        <f aca="false">+W72-AC72</f>
        <v>0</v>
      </c>
      <c r="AE72" s="21" t="str">
        <f aca="false">IF(AB72&lt;1,"PAGADA","PENDIENTE")</f>
        <v>PAGADA</v>
      </c>
      <c r="AF72" s="21"/>
      <c r="AG72" s="29" t="s">
        <v>77</v>
      </c>
      <c r="AH72" s="39" t="n">
        <v>46142</v>
      </c>
      <c r="AI72" s="40" t="n">
        <f aca="false">+IF(Tabla[[#This Row],[FECHA PAGO / ABONO]]&lt;1,0,(MONTH(Tabla[[#This Row],[FECHA PAGO / ABONO]])))</f>
        <v>4</v>
      </c>
      <c r="AJ72" s="40" t="n">
        <f aca="false">+IF(Tabla[[#This Row],[FECHA PAGO / ABONO]]&lt;1,0,(YEAR(Tabla[[#This Row],[FECHA PAGO / ABONO]])))</f>
        <v>2026</v>
      </c>
      <c r="AK72" s="41"/>
    </row>
    <row r="73" customFormat="false" ht="14.25" hidden="false" customHeight="false" outlineLevel="0" collapsed="false">
      <c r="A73" s="28" t="s">
        <v>127</v>
      </c>
      <c r="B73" s="29" t="s">
        <v>128</v>
      </c>
      <c r="C73" s="29" t="s">
        <v>69</v>
      </c>
      <c r="D73" s="21" t="n">
        <v>46544</v>
      </c>
      <c r="E73" s="21" t="str">
        <f aca="false">+CONCATENATE(Tabla[[#This Row],[RUT]],Tabla[[#This Row],[PROVEEDOR]],Tabla[[#This Row],[FACTURA]])</f>
        <v>84364100-8Publicidad Exterior Publivia SpA46544</v>
      </c>
      <c r="F73" s="30" t="n">
        <v>46037</v>
      </c>
      <c r="G73" s="31" t="n">
        <f aca="false">+F73+30</f>
        <v>46067</v>
      </c>
      <c r="H73" s="29" t="n">
        <f aca="true">+IF(AE73="PAGADA",0,TODAY()-G73)</f>
        <v>0</v>
      </c>
      <c r="I73" s="29" t="str">
        <f aca="false">+IF(H73&gt;180,"Atrasada",IF(H73&gt;150,"150 dias",IF(H73&gt;120,"120 dias",IF(H73&gt;90,"90 dias",IF(H73&gt;60,"60 dias",IF(H73&gt;30,"30 dias","Al Día"))))))</f>
        <v>Al Día</v>
      </c>
      <c r="J73" s="32" t="s">
        <v>80</v>
      </c>
      <c r="K73" s="29" t="s">
        <v>81</v>
      </c>
      <c r="L73" s="33" t="s">
        <v>72</v>
      </c>
      <c r="M73" s="29" t="n">
        <f aca="false">+YEAR(F73)</f>
        <v>2026</v>
      </c>
      <c r="N73" s="29" t="n">
        <v>2025</v>
      </c>
      <c r="O73" s="29" t="n">
        <v>12</v>
      </c>
      <c r="P73" s="29" t="str">
        <f aca="false">+CONCATENATE(Tabla[[#This Row],[MES CAMPAÑA]],"/",Tabla[[#This Row],[AÑO CAMPAÑA]])</f>
        <v>12/2025</v>
      </c>
      <c r="Q73" s="29" t="s">
        <v>92</v>
      </c>
      <c r="R73" s="29" t="s">
        <v>74</v>
      </c>
      <c r="S73" s="34" t="n">
        <v>0</v>
      </c>
      <c r="T73" s="34" t="n">
        <v>347360</v>
      </c>
      <c r="U73" s="34" t="n">
        <v>65998</v>
      </c>
      <c r="V73" s="29"/>
      <c r="W73" s="35" t="n">
        <v>413358</v>
      </c>
      <c r="X73" s="36" t="n">
        <f aca="false">+Tabla[[#This Row],[TOTAL]]</f>
        <v>413358</v>
      </c>
      <c r="Y73" s="37"/>
      <c r="Z73" s="37"/>
      <c r="AA73" s="37"/>
      <c r="AB73" s="38" t="n">
        <f aca="false">+W73-AC73</f>
        <v>0</v>
      </c>
      <c r="AC73" s="34" t="n">
        <f aca="false">+Tabla[[#This Row],[P4]]+Tabla[[#This Row],[P3]]+Tabla[[#This Row],[P2]]+Tabla[[#This Row],[P1]]</f>
        <v>413358</v>
      </c>
      <c r="AD73" s="34" t="n">
        <f aca="false">+W73-AC73</f>
        <v>0</v>
      </c>
      <c r="AE73" s="21" t="str">
        <f aca="false">IF(AB73&lt;1,"PAGADA","PENDIENTE")</f>
        <v>PAGADA</v>
      </c>
      <c r="AF73" s="21"/>
      <c r="AG73" s="29" t="s">
        <v>77</v>
      </c>
      <c r="AH73" s="39" t="n">
        <v>46142</v>
      </c>
      <c r="AI73" s="40" t="n">
        <f aca="false">+IF(Tabla[[#This Row],[FECHA PAGO / ABONO]]&lt;1,0,(MONTH(Tabla[[#This Row],[FECHA PAGO / ABONO]])))</f>
        <v>4</v>
      </c>
      <c r="AJ73" s="40" t="n">
        <f aca="false">+IF(Tabla[[#This Row],[FECHA PAGO / ABONO]]&lt;1,0,(YEAR(Tabla[[#This Row],[FECHA PAGO / ABONO]])))</f>
        <v>2026</v>
      </c>
      <c r="AK73" s="41"/>
    </row>
    <row r="74" customFormat="false" ht="14.25" hidden="false" customHeight="false" outlineLevel="0" collapsed="false">
      <c r="A74" s="28" t="s">
        <v>127</v>
      </c>
      <c r="B74" s="29" t="s">
        <v>128</v>
      </c>
      <c r="C74" s="29" t="s">
        <v>69</v>
      </c>
      <c r="D74" s="21" t="n">
        <v>46545</v>
      </c>
      <c r="E74" s="21" t="str">
        <f aca="false">+CONCATENATE(Tabla[[#This Row],[RUT]],Tabla[[#This Row],[PROVEEDOR]],Tabla[[#This Row],[FACTURA]])</f>
        <v>84364100-8Publicidad Exterior Publivia SpA46545</v>
      </c>
      <c r="F74" s="30" t="n">
        <v>46037</v>
      </c>
      <c r="G74" s="31" t="n">
        <f aca="false">+F74+30</f>
        <v>46067</v>
      </c>
      <c r="H74" s="29" t="n">
        <f aca="true">+IF(AE74="PAGADA",0,TODAY()-G74)</f>
        <v>0</v>
      </c>
      <c r="I74" s="29" t="str">
        <f aca="false">+IF(H74&gt;180,"Atrasada",IF(H74&gt;150,"150 dias",IF(H74&gt;120,"120 dias",IF(H74&gt;90,"90 dias",IF(H74&gt;60,"60 dias",IF(H74&gt;30,"30 dias","Al Día"))))))</f>
        <v>Al Día</v>
      </c>
      <c r="J74" s="32" t="s">
        <v>80</v>
      </c>
      <c r="K74" s="29" t="s">
        <v>81</v>
      </c>
      <c r="L74" s="33" t="s">
        <v>72</v>
      </c>
      <c r="M74" s="29" t="n">
        <f aca="false">+YEAR(F74)</f>
        <v>2026</v>
      </c>
      <c r="N74" s="29" t="n">
        <v>2025</v>
      </c>
      <c r="O74" s="29" t="n">
        <v>12</v>
      </c>
      <c r="P74" s="29" t="str">
        <f aca="false">+CONCATENATE(Tabla[[#This Row],[MES CAMPAÑA]],"/",Tabla[[#This Row],[AÑO CAMPAÑA]])</f>
        <v>12/2025</v>
      </c>
      <c r="Q74" s="29" t="s">
        <v>92</v>
      </c>
      <c r="R74" s="29" t="s">
        <v>74</v>
      </c>
      <c r="S74" s="34" t="n">
        <v>0</v>
      </c>
      <c r="T74" s="34" t="n">
        <v>347360</v>
      </c>
      <c r="U74" s="34" t="n">
        <v>65998</v>
      </c>
      <c r="V74" s="29"/>
      <c r="W74" s="35" t="n">
        <v>413358</v>
      </c>
      <c r="X74" s="36" t="n">
        <f aca="false">+Tabla[[#This Row],[TOTAL]]</f>
        <v>413358</v>
      </c>
      <c r="Y74" s="37"/>
      <c r="Z74" s="37"/>
      <c r="AA74" s="37"/>
      <c r="AB74" s="38" t="n">
        <f aca="false">+W74-AC74</f>
        <v>0</v>
      </c>
      <c r="AC74" s="34" t="n">
        <f aca="false">+Tabla[[#This Row],[P4]]+Tabla[[#This Row],[P3]]+Tabla[[#This Row],[P2]]+Tabla[[#This Row],[P1]]</f>
        <v>413358</v>
      </c>
      <c r="AD74" s="34" t="n">
        <f aca="false">+W74-AC74</f>
        <v>0</v>
      </c>
      <c r="AE74" s="21" t="str">
        <f aca="false">IF(AB74&lt;1,"PAGADA","PENDIENTE")</f>
        <v>PAGADA</v>
      </c>
      <c r="AF74" s="21"/>
      <c r="AG74" s="29" t="s">
        <v>77</v>
      </c>
      <c r="AH74" s="39" t="n">
        <v>46142</v>
      </c>
      <c r="AI74" s="40" t="n">
        <f aca="false">+IF(Tabla[[#This Row],[FECHA PAGO / ABONO]]&lt;1,0,(MONTH(Tabla[[#This Row],[FECHA PAGO / ABONO]])))</f>
        <v>4</v>
      </c>
      <c r="AJ74" s="40" t="n">
        <f aca="false">+IF(Tabla[[#This Row],[FECHA PAGO / ABONO]]&lt;1,0,(YEAR(Tabla[[#This Row],[FECHA PAGO / ABONO]])))</f>
        <v>2026</v>
      </c>
      <c r="AK74" s="41"/>
    </row>
    <row r="75" customFormat="false" ht="14.25" hidden="false" customHeight="false" outlineLevel="0" collapsed="false">
      <c r="A75" s="28" t="s">
        <v>118</v>
      </c>
      <c r="B75" s="29" t="s">
        <v>119</v>
      </c>
      <c r="C75" s="29" t="s">
        <v>125</v>
      </c>
      <c r="D75" s="21" t="n">
        <v>506</v>
      </c>
      <c r="E75" s="21" t="str">
        <f aca="false">+CONCATENATE(Tabla[[#This Row],[RUT]],Tabla[[#This Row],[PROVEEDOR]],Tabla[[#This Row],[FACTURA]])</f>
        <v>76425938-6Mediared SpA506</v>
      </c>
      <c r="F75" s="30" t="n">
        <v>46037</v>
      </c>
      <c r="G75" s="31" t="n">
        <f aca="false">+F75+30</f>
        <v>46067</v>
      </c>
      <c r="H75" s="29" t="n">
        <f aca="true">+IF(AE75="PAGADA",0,TODAY()-G75)</f>
        <v>0</v>
      </c>
      <c r="I75" s="29" t="str">
        <f aca="false">+IF(H75&gt;180,"Atrasada",IF(H75&gt;150,"150 dias",IF(H75&gt;120,"120 dias",IF(H75&gt;90,"90 dias",IF(H75&gt;60,"60 dias",IF(H75&gt;30,"30 dias","Al Día"))))))</f>
        <v>Al Día</v>
      </c>
      <c r="J75" s="32" t="s">
        <v>80</v>
      </c>
      <c r="K75" s="29" t="s">
        <v>126</v>
      </c>
      <c r="L75" s="33" t="s">
        <v>72</v>
      </c>
      <c r="M75" s="29" t="n">
        <f aca="false">+YEAR(F75)</f>
        <v>2026</v>
      </c>
      <c r="N75" s="29" t="n">
        <v>2025</v>
      </c>
      <c r="O75" s="29" t="n">
        <v>12</v>
      </c>
      <c r="P75" s="29" t="str">
        <f aca="false">+CONCATENATE(Tabla[[#This Row],[MES CAMPAÑA]],"/",Tabla[[#This Row],[AÑO CAMPAÑA]])</f>
        <v>12/2025</v>
      </c>
      <c r="Q75" s="29" t="s">
        <v>120</v>
      </c>
      <c r="R75" s="29" t="s">
        <v>74</v>
      </c>
      <c r="S75" s="34" t="n">
        <v>0</v>
      </c>
      <c r="T75" s="34" t="n">
        <v>2700000</v>
      </c>
      <c r="U75" s="34" t="n">
        <v>513000</v>
      </c>
      <c r="V75" s="29"/>
      <c r="W75" s="35" t="n">
        <v>3213000</v>
      </c>
      <c r="X75" s="36" t="n">
        <f aca="false">+Tabla[[#This Row],[TOTAL]]</f>
        <v>3213000</v>
      </c>
      <c r="Y75" s="37"/>
      <c r="Z75" s="37"/>
      <c r="AA75" s="37"/>
      <c r="AB75" s="38" t="n">
        <f aca="false">+W75-AC75</f>
        <v>0</v>
      </c>
      <c r="AC75" s="34" t="n">
        <f aca="false">+Tabla[[#This Row],[P4]]+Tabla[[#This Row],[P3]]+Tabla[[#This Row],[P2]]+Tabla[[#This Row],[P1]]</f>
        <v>3213000</v>
      </c>
      <c r="AD75" s="34" t="n">
        <f aca="false">+W75-AC75</f>
        <v>0</v>
      </c>
      <c r="AE75" s="21" t="str">
        <f aca="false">IF(AB75&lt;1,"PAGADA","PENDIENTE")</f>
        <v>PAGADA</v>
      </c>
      <c r="AF75" s="21"/>
      <c r="AG75" s="29" t="s">
        <v>129</v>
      </c>
      <c r="AH75" s="40"/>
      <c r="AI75" s="40" t="n">
        <f aca="false">+IF(Tabla[[#This Row],[FECHA PAGO / ABONO]]&lt;1,0,(MONTH(Tabla[[#This Row],[FECHA PAGO / ABONO]])))</f>
        <v>0</v>
      </c>
      <c r="AJ75" s="40" t="n">
        <f aca="false">+IF(Tabla[[#This Row],[FECHA PAGO / ABONO]]&lt;1,0,(YEAR(Tabla[[#This Row],[FECHA PAGO / ABONO]])))</f>
        <v>0</v>
      </c>
      <c r="AK75" s="41"/>
    </row>
    <row r="76" customFormat="false" ht="14.25" hidden="false" customHeight="false" outlineLevel="0" collapsed="false">
      <c r="A76" s="28" t="s">
        <v>127</v>
      </c>
      <c r="B76" s="29" t="s">
        <v>128</v>
      </c>
      <c r="C76" s="29" t="s">
        <v>69</v>
      </c>
      <c r="D76" s="21" t="n">
        <v>46546</v>
      </c>
      <c r="E76" s="21" t="str">
        <f aca="false">+CONCATENATE(Tabla[[#This Row],[RUT]],Tabla[[#This Row],[PROVEEDOR]],Tabla[[#This Row],[FACTURA]])</f>
        <v>84364100-8Publicidad Exterior Publivia SpA46546</v>
      </c>
      <c r="F76" s="30" t="n">
        <v>46037</v>
      </c>
      <c r="G76" s="31" t="n">
        <f aca="false">+F76+30</f>
        <v>46067</v>
      </c>
      <c r="H76" s="29" t="n">
        <f aca="true">+IF(AE76="PAGADA",0,TODAY()-G76)</f>
        <v>0</v>
      </c>
      <c r="I76" s="29" t="str">
        <f aca="false">+IF(H76&gt;180,"Atrasada",IF(H76&gt;150,"150 dias",IF(H76&gt;120,"120 dias",IF(H76&gt;90,"90 dias",IF(H76&gt;60,"60 dias",IF(H76&gt;30,"30 dias","Al Día"))))))</f>
        <v>Al Día</v>
      </c>
      <c r="J76" s="32" t="s">
        <v>80</v>
      </c>
      <c r="K76" s="29" t="s">
        <v>81</v>
      </c>
      <c r="L76" s="33" t="s">
        <v>72</v>
      </c>
      <c r="M76" s="29" t="n">
        <f aca="false">+YEAR(F76)</f>
        <v>2026</v>
      </c>
      <c r="N76" s="29" t="n">
        <v>2025</v>
      </c>
      <c r="O76" s="29" t="n">
        <v>12</v>
      </c>
      <c r="P76" s="29" t="str">
        <f aca="false">+CONCATENATE(Tabla[[#This Row],[MES CAMPAÑA]],"/",Tabla[[#This Row],[AÑO CAMPAÑA]])</f>
        <v>12/2025</v>
      </c>
      <c r="Q76" s="29" t="s">
        <v>92</v>
      </c>
      <c r="R76" s="29" t="s">
        <v>74</v>
      </c>
      <c r="S76" s="34" t="n">
        <v>0</v>
      </c>
      <c r="T76" s="34" t="n">
        <v>416000</v>
      </c>
      <c r="U76" s="34" t="n">
        <v>79040</v>
      </c>
      <c r="V76" s="29"/>
      <c r="W76" s="35" t="n">
        <v>495040</v>
      </c>
      <c r="X76" s="36" t="n">
        <f aca="false">+Tabla[[#This Row],[TOTAL]]</f>
        <v>495040</v>
      </c>
      <c r="Y76" s="37"/>
      <c r="Z76" s="37"/>
      <c r="AA76" s="37"/>
      <c r="AB76" s="38" t="n">
        <f aca="false">+W76-AC76</f>
        <v>0</v>
      </c>
      <c r="AC76" s="34" t="n">
        <f aca="false">+Tabla[[#This Row],[P4]]+Tabla[[#This Row],[P3]]+Tabla[[#This Row],[P2]]+Tabla[[#This Row],[P1]]</f>
        <v>495040</v>
      </c>
      <c r="AD76" s="34" t="n">
        <f aca="false">+W76-AC76</f>
        <v>0</v>
      </c>
      <c r="AE76" s="21" t="str">
        <f aca="false">IF(AB76&lt;1,"PAGADA","PENDIENTE")</f>
        <v>PAGADA</v>
      </c>
      <c r="AF76" s="21"/>
      <c r="AG76" s="29" t="s">
        <v>77</v>
      </c>
      <c r="AH76" s="39" t="n">
        <v>46142</v>
      </c>
      <c r="AI76" s="40" t="n">
        <f aca="false">+IF(Tabla[[#This Row],[FECHA PAGO / ABONO]]&lt;1,0,(MONTH(Tabla[[#This Row],[FECHA PAGO / ABONO]])))</f>
        <v>4</v>
      </c>
      <c r="AJ76" s="40" t="n">
        <f aca="false">+IF(Tabla[[#This Row],[FECHA PAGO / ABONO]]&lt;1,0,(YEAR(Tabla[[#This Row],[FECHA PAGO / ABONO]])))</f>
        <v>2026</v>
      </c>
      <c r="AK76" s="41"/>
    </row>
    <row r="77" customFormat="false" ht="14.25" hidden="false" customHeight="false" outlineLevel="0" collapsed="false">
      <c r="A77" s="28" t="s">
        <v>127</v>
      </c>
      <c r="B77" s="29" t="s">
        <v>128</v>
      </c>
      <c r="C77" s="29" t="s">
        <v>69</v>
      </c>
      <c r="D77" s="21" t="n">
        <v>46547</v>
      </c>
      <c r="E77" s="21" t="str">
        <f aca="false">+CONCATENATE(Tabla[[#This Row],[RUT]],Tabla[[#This Row],[PROVEEDOR]],Tabla[[#This Row],[FACTURA]])</f>
        <v>84364100-8Publicidad Exterior Publivia SpA46547</v>
      </c>
      <c r="F77" s="30" t="n">
        <v>46037</v>
      </c>
      <c r="G77" s="31" t="n">
        <f aca="false">+F77+30</f>
        <v>46067</v>
      </c>
      <c r="H77" s="29" t="n">
        <f aca="true">+IF(AE77="PAGADA",0,TODAY()-G77)</f>
        <v>0</v>
      </c>
      <c r="I77" s="29" t="str">
        <f aca="false">+IF(H77&gt;180,"Atrasada",IF(H77&gt;150,"150 dias",IF(H77&gt;120,"120 dias",IF(H77&gt;90,"90 dias",IF(H77&gt;60,"60 dias",IF(H77&gt;30,"30 dias","Al Día"))))))</f>
        <v>Al Día</v>
      </c>
      <c r="J77" s="32" t="s">
        <v>80</v>
      </c>
      <c r="K77" s="29" t="s">
        <v>81</v>
      </c>
      <c r="L77" s="33" t="s">
        <v>72</v>
      </c>
      <c r="M77" s="29" t="n">
        <f aca="false">+YEAR(F77)</f>
        <v>2026</v>
      </c>
      <c r="N77" s="29" t="n">
        <v>2025</v>
      </c>
      <c r="O77" s="29" t="n">
        <v>12</v>
      </c>
      <c r="P77" s="29" t="str">
        <f aca="false">+CONCATENATE(Tabla[[#This Row],[MES CAMPAÑA]],"/",Tabla[[#This Row],[AÑO CAMPAÑA]])</f>
        <v>12/2025</v>
      </c>
      <c r="Q77" s="29" t="s">
        <v>92</v>
      </c>
      <c r="R77" s="29" t="s">
        <v>74</v>
      </c>
      <c r="S77" s="34" t="n">
        <v>0</v>
      </c>
      <c r="T77" s="34" t="n">
        <v>1053842</v>
      </c>
      <c r="U77" s="34" t="n">
        <v>200230</v>
      </c>
      <c r="V77" s="29"/>
      <c r="W77" s="35" t="n">
        <v>1254072</v>
      </c>
      <c r="X77" s="36" t="n">
        <f aca="false">+Tabla[[#This Row],[TOTAL]]</f>
        <v>1254072</v>
      </c>
      <c r="Y77" s="37"/>
      <c r="Z77" s="37"/>
      <c r="AA77" s="37"/>
      <c r="AB77" s="38" t="n">
        <f aca="false">+W77-AC77</f>
        <v>0</v>
      </c>
      <c r="AC77" s="34" t="n">
        <f aca="false">+Tabla[[#This Row],[P4]]+Tabla[[#This Row],[P3]]+Tabla[[#This Row],[P2]]+Tabla[[#This Row],[P1]]</f>
        <v>1254072</v>
      </c>
      <c r="AD77" s="34" t="n">
        <f aca="false">+W77-AC77</f>
        <v>0</v>
      </c>
      <c r="AE77" s="21" t="str">
        <f aca="false">IF(AB77&lt;1,"PAGADA","PENDIENTE")</f>
        <v>PAGADA</v>
      </c>
      <c r="AF77" s="21"/>
      <c r="AG77" s="29" t="s">
        <v>77</v>
      </c>
      <c r="AH77" s="39" t="n">
        <v>46142</v>
      </c>
      <c r="AI77" s="40" t="n">
        <f aca="false">+IF(Tabla[[#This Row],[FECHA PAGO / ABONO]]&lt;1,0,(MONTH(Tabla[[#This Row],[FECHA PAGO / ABONO]])))</f>
        <v>4</v>
      </c>
      <c r="AJ77" s="40" t="n">
        <f aca="false">+IF(Tabla[[#This Row],[FECHA PAGO / ABONO]]&lt;1,0,(YEAR(Tabla[[#This Row],[FECHA PAGO / ABONO]])))</f>
        <v>2026</v>
      </c>
      <c r="AK77" s="41"/>
    </row>
    <row r="78" customFormat="false" ht="14.25" hidden="false" customHeight="false" outlineLevel="0" collapsed="false">
      <c r="A78" s="28" t="s">
        <v>127</v>
      </c>
      <c r="B78" s="29" t="s">
        <v>128</v>
      </c>
      <c r="C78" s="29" t="s">
        <v>69</v>
      </c>
      <c r="D78" s="21" t="n">
        <v>46548</v>
      </c>
      <c r="E78" s="21" t="str">
        <f aca="false">+CONCATENATE(Tabla[[#This Row],[RUT]],Tabla[[#This Row],[PROVEEDOR]],Tabla[[#This Row],[FACTURA]])</f>
        <v>84364100-8Publicidad Exterior Publivia SpA46548</v>
      </c>
      <c r="F78" s="30" t="n">
        <v>46037</v>
      </c>
      <c r="G78" s="31" t="n">
        <f aca="false">+F78+30</f>
        <v>46067</v>
      </c>
      <c r="H78" s="29" t="n">
        <f aca="true">+IF(AE78="PAGADA",0,TODAY()-G78)</f>
        <v>0</v>
      </c>
      <c r="I78" s="29" t="str">
        <f aca="false">+IF(H78&gt;180,"Atrasada",IF(H78&gt;150,"150 dias",IF(H78&gt;120,"120 dias",IF(H78&gt;90,"90 dias",IF(H78&gt;60,"60 dias",IF(H78&gt;30,"30 dias","Al Día"))))))</f>
        <v>Al Día</v>
      </c>
      <c r="J78" s="32" t="s">
        <v>80</v>
      </c>
      <c r="K78" s="29" t="s">
        <v>81</v>
      </c>
      <c r="L78" s="33" t="s">
        <v>72</v>
      </c>
      <c r="M78" s="29" t="n">
        <f aca="false">+YEAR(F78)</f>
        <v>2026</v>
      </c>
      <c r="N78" s="29" t="n">
        <v>2025</v>
      </c>
      <c r="O78" s="29" t="n">
        <v>12</v>
      </c>
      <c r="P78" s="29" t="str">
        <f aca="false">+CONCATENATE(Tabla[[#This Row],[MES CAMPAÑA]],"/",Tabla[[#This Row],[AÑO CAMPAÑA]])</f>
        <v>12/2025</v>
      </c>
      <c r="Q78" s="29" t="s">
        <v>92</v>
      </c>
      <c r="R78" s="29" t="s">
        <v>74</v>
      </c>
      <c r="S78" s="34" t="n">
        <v>0</v>
      </c>
      <c r="T78" s="34" t="n">
        <v>396864</v>
      </c>
      <c r="U78" s="34" t="n">
        <v>75404</v>
      </c>
      <c r="V78" s="29"/>
      <c r="W78" s="35" t="n">
        <v>472268</v>
      </c>
      <c r="X78" s="36" t="n">
        <f aca="false">+Tabla[[#This Row],[TOTAL]]</f>
        <v>472268</v>
      </c>
      <c r="Y78" s="37"/>
      <c r="Z78" s="37"/>
      <c r="AA78" s="37"/>
      <c r="AB78" s="38" t="n">
        <f aca="false">+W78-AC78</f>
        <v>0</v>
      </c>
      <c r="AC78" s="34" t="n">
        <f aca="false">+Tabla[[#This Row],[P4]]+Tabla[[#This Row],[P3]]+Tabla[[#This Row],[P2]]+Tabla[[#This Row],[P1]]</f>
        <v>472268</v>
      </c>
      <c r="AD78" s="34" t="n">
        <f aca="false">+W78-AC78</f>
        <v>0</v>
      </c>
      <c r="AE78" s="21" t="str">
        <f aca="false">IF(AB78&lt;1,"PAGADA","PENDIENTE")</f>
        <v>PAGADA</v>
      </c>
      <c r="AF78" s="21"/>
      <c r="AG78" s="29" t="s">
        <v>77</v>
      </c>
      <c r="AH78" s="39" t="n">
        <v>46142</v>
      </c>
      <c r="AI78" s="40" t="n">
        <f aca="false">+IF(Tabla[[#This Row],[FECHA PAGO / ABONO]]&lt;1,0,(MONTH(Tabla[[#This Row],[FECHA PAGO / ABONO]])))</f>
        <v>4</v>
      </c>
      <c r="AJ78" s="40" t="n">
        <f aca="false">+IF(Tabla[[#This Row],[FECHA PAGO / ABONO]]&lt;1,0,(YEAR(Tabla[[#This Row],[FECHA PAGO / ABONO]])))</f>
        <v>2026</v>
      </c>
      <c r="AK78" s="41"/>
    </row>
    <row r="79" customFormat="false" ht="14.25" hidden="false" customHeight="false" outlineLevel="0" collapsed="false">
      <c r="A79" s="28" t="s">
        <v>127</v>
      </c>
      <c r="B79" s="29" t="s">
        <v>128</v>
      </c>
      <c r="C79" s="29" t="s">
        <v>69</v>
      </c>
      <c r="D79" s="21" t="n">
        <v>46549</v>
      </c>
      <c r="E79" s="21" t="str">
        <f aca="false">+CONCATENATE(Tabla[[#This Row],[RUT]],Tabla[[#This Row],[PROVEEDOR]],Tabla[[#This Row],[FACTURA]])</f>
        <v>84364100-8Publicidad Exterior Publivia SpA46549</v>
      </c>
      <c r="F79" s="30" t="n">
        <v>46037</v>
      </c>
      <c r="G79" s="31" t="n">
        <f aca="false">+F79+30</f>
        <v>46067</v>
      </c>
      <c r="H79" s="29" t="n">
        <f aca="true">+IF(AE79="PAGADA",0,TODAY()-G79)</f>
        <v>0</v>
      </c>
      <c r="I79" s="29" t="str">
        <f aca="false">+IF(H79&gt;180,"Atrasada",IF(H79&gt;150,"150 dias",IF(H79&gt;120,"120 dias",IF(H79&gt;90,"90 dias",IF(H79&gt;60,"60 dias",IF(H79&gt;30,"30 dias","Al Día"))))))</f>
        <v>Al Día</v>
      </c>
      <c r="J79" s="32" t="s">
        <v>80</v>
      </c>
      <c r="K79" s="29" t="s">
        <v>81</v>
      </c>
      <c r="L79" s="33" t="s">
        <v>72</v>
      </c>
      <c r="M79" s="29" t="n">
        <f aca="false">+YEAR(F79)</f>
        <v>2026</v>
      </c>
      <c r="N79" s="29" t="n">
        <v>2025</v>
      </c>
      <c r="O79" s="29" t="n">
        <v>12</v>
      </c>
      <c r="P79" s="29" t="str">
        <f aca="false">+CONCATENATE(Tabla[[#This Row],[MES CAMPAÑA]],"/",Tabla[[#This Row],[AÑO CAMPAÑA]])</f>
        <v>12/2025</v>
      </c>
      <c r="Q79" s="29" t="s">
        <v>92</v>
      </c>
      <c r="R79" s="29" t="s">
        <v>74</v>
      </c>
      <c r="S79" s="34" t="n">
        <v>0</v>
      </c>
      <c r="T79" s="34" t="n">
        <v>378013</v>
      </c>
      <c r="U79" s="34" t="n">
        <v>71822</v>
      </c>
      <c r="V79" s="29"/>
      <c r="W79" s="35" t="n">
        <v>449835</v>
      </c>
      <c r="X79" s="36" t="n">
        <f aca="false">+Tabla[[#This Row],[TOTAL]]</f>
        <v>449835</v>
      </c>
      <c r="Y79" s="37"/>
      <c r="Z79" s="37"/>
      <c r="AA79" s="37"/>
      <c r="AB79" s="38" t="n">
        <f aca="false">+W79-AC79</f>
        <v>0</v>
      </c>
      <c r="AC79" s="34" t="n">
        <f aca="false">+Tabla[[#This Row],[P4]]+Tabla[[#This Row],[P3]]+Tabla[[#This Row],[P2]]+Tabla[[#This Row],[P1]]</f>
        <v>449835</v>
      </c>
      <c r="AD79" s="34" t="n">
        <f aca="false">+W79-AC79</f>
        <v>0</v>
      </c>
      <c r="AE79" s="21" t="str">
        <f aca="false">IF(AB79&lt;1,"PAGADA","PENDIENTE")</f>
        <v>PAGADA</v>
      </c>
      <c r="AF79" s="21"/>
      <c r="AG79" s="29" t="s">
        <v>77</v>
      </c>
      <c r="AH79" s="39" t="n">
        <v>46142</v>
      </c>
      <c r="AI79" s="40" t="n">
        <f aca="false">+IF(Tabla[[#This Row],[FECHA PAGO / ABONO]]&lt;1,0,(MONTH(Tabla[[#This Row],[FECHA PAGO / ABONO]])))</f>
        <v>4</v>
      </c>
      <c r="AJ79" s="40" t="n">
        <f aca="false">+IF(Tabla[[#This Row],[FECHA PAGO / ABONO]]&lt;1,0,(YEAR(Tabla[[#This Row],[FECHA PAGO / ABONO]])))</f>
        <v>2026</v>
      </c>
      <c r="AK79" s="41"/>
    </row>
    <row r="80" customFormat="false" ht="14.25" hidden="false" customHeight="false" outlineLevel="0" collapsed="false">
      <c r="A80" s="28" t="s">
        <v>127</v>
      </c>
      <c r="B80" s="29" t="s">
        <v>128</v>
      </c>
      <c r="C80" s="29" t="s">
        <v>69</v>
      </c>
      <c r="D80" s="21" t="n">
        <v>46550</v>
      </c>
      <c r="E80" s="21" t="str">
        <f aca="false">+CONCATENATE(Tabla[[#This Row],[RUT]],Tabla[[#This Row],[PROVEEDOR]],Tabla[[#This Row],[FACTURA]])</f>
        <v>84364100-8Publicidad Exterior Publivia SpA46550</v>
      </c>
      <c r="F80" s="30" t="n">
        <v>46037</v>
      </c>
      <c r="G80" s="31" t="n">
        <f aca="false">+F80+30</f>
        <v>46067</v>
      </c>
      <c r="H80" s="29" t="n">
        <f aca="true">+IF(AE80="PAGADA",0,TODAY()-G80)</f>
        <v>0</v>
      </c>
      <c r="I80" s="29" t="str">
        <f aca="false">+IF(H80&gt;180,"Atrasada",IF(H80&gt;150,"150 dias",IF(H80&gt;120,"120 dias",IF(H80&gt;90,"90 dias",IF(H80&gt;60,"60 dias",IF(H80&gt;30,"30 dias","Al Día"))))))</f>
        <v>Al Día</v>
      </c>
      <c r="J80" s="32" t="s">
        <v>80</v>
      </c>
      <c r="K80" s="29" t="s">
        <v>81</v>
      </c>
      <c r="L80" s="33" t="s">
        <v>72</v>
      </c>
      <c r="M80" s="29" t="n">
        <f aca="false">+YEAR(F80)</f>
        <v>2026</v>
      </c>
      <c r="N80" s="29" t="n">
        <v>2025</v>
      </c>
      <c r="O80" s="29" t="n">
        <v>12</v>
      </c>
      <c r="P80" s="29" t="str">
        <f aca="false">+CONCATENATE(Tabla[[#This Row],[MES CAMPAÑA]],"/",Tabla[[#This Row],[AÑO CAMPAÑA]])</f>
        <v>12/2025</v>
      </c>
      <c r="Q80" s="29" t="s">
        <v>130</v>
      </c>
      <c r="R80" s="29" t="s">
        <v>74</v>
      </c>
      <c r="S80" s="34" t="n">
        <v>0</v>
      </c>
      <c r="T80" s="34" t="n">
        <v>1100000</v>
      </c>
      <c r="U80" s="34" t="n">
        <v>209000</v>
      </c>
      <c r="V80" s="29"/>
      <c r="W80" s="35" t="n">
        <v>1309000</v>
      </c>
      <c r="X80" s="36" t="n">
        <f aca="false">+Tabla[[#This Row],[TOTAL]]</f>
        <v>1309000</v>
      </c>
      <c r="Y80" s="37"/>
      <c r="Z80" s="37"/>
      <c r="AA80" s="37"/>
      <c r="AB80" s="38" t="n">
        <f aca="false">+W80-AC80</f>
        <v>0</v>
      </c>
      <c r="AC80" s="34" t="n">
        <f aca="false">+Tabla[[#This Row],[P4]]+Tabla[[#This Row],[P3]]+Tabla[[#This Row],[P2]]+Tabla[[#This Row],[P1]]</f>
        <v>1309000</v>
      </c>
      <c r="AD80" s="34" t="n">
        <f aca="false">+W80-AC80</f>
        <v>0</v>
      </c>
      <c r="AE80" s="21" t="str">
        <f aca="false">IF(AB80&lt;1,"PAGADA","PENDIENTE")</f>
        <v>PAGADA</v>
      </c>
      <c r="AF80" s="21"/>
      <c r="AG80" s="29" t="s">
        <v>77</v>
      </c>
      <c r="AH80" s="39" t="n">
        <v>46164</v>
      </c>
      <c r="AI80" s="40" t="n">
        <f aca="false">+IF(Tabla[[#This Row],[FECHA PAGO / ABONO]]&lt;1,0,(MONTH(Tabla[[#This Row],[FECHA PAGO / ABONO]])))</f>
        <v>5</v>
      </c>
      <c r="AJ80" s="40" t="n">
        <f aca="false">+IF(Tabla[[#This Row],[FECHA PAGO / ABONO]]&lt;1,0,(YEAR(Tabla[[#This Row],[FECHA PAGO / ABONO]])))</f>
        <v>2026</v>
      </c>
      <c r="AK80" s="41"/>
    </row>
    <row r="81" customFormat="false" ht="14.25" hidden="false" customHeight="false" outlineLevel="0" collapsed="false">
      <c r="A81" s="28" t="s">
        <v>127</v>
      </c>
      <c r="B81" s="29" t="s">
        <v>128</v>
      </c>
      <c r="C81" s="29" t="s">
        <v>69</v>
      </c>
      <c r="D81" s="21" t="n">
        <v>46551</v>
      </c>
      <c r="E81" s="21" t="str">
        <f aca="false">+CONCATENATE(Tabla[[#This Row],[RUT]],Tabla[[#This Row],[PROVEEDOR]],Tabla[[#This Row],[FACTURA]])</f>
        <v>84364100-8Publicidad Exterior Publivia SpA46551</v>
      </c>
      <c r="F81" s="30" t="n">
        <v>46037</v>
      </c>
      <c r="G81" s="31" t="n">
        <f aca="false">+F81+30</f>
        <v>46067</v>
      </c>
      <c r="H81" s="29" t="n">
        <f aca="true">+IF(AE81="PAGADA",0,TODAY()-G81)</f>
        <v>0</v>
      </c>
      <c r="I81" s="29" t="str">
        <f aca="false">+IF(H81&gt;180,"Atrasada",IF(H81&gt;150,"150 dias",IF(H81&gt;120,"120 dias",IF(H81&gt;90,"90 dias",IF(H81&gt;60,"60 dias",IF(H81&gt;30,"30 dias","Al Día"))))))</f>
        <v>Al Día</v>
      </c>
      <c r="J81" s="32" t="s">
        <v>80</v>
      </c>
      <c r="K81" s="29" t="s">
        <v>81</v>
      </c>
      <c r="L81" s="33" t="s">
        <v>72</v>
      </c>
      <c r="M81" s="29" t="n">
        <f aca="false">+YEAR(F81)</f>
        <v>2026</v>
      </c>
      <c r="N81" s="29" t="n">
        <v>2025</v>
      </c>
      <c r="O81" s="29" t="n">
        <v>12</v>
      </c>
      <c r="P81" s="29" t="str">
        <f aca="false">+CONCATENATE(Tabla[[#This Row],[MES CAMPAÑA]],"/",Tabla[[#This Row],[AÑO CAMPAÑA]])</f>
        <v>12/2025</v>
      </c>
      <c r="Q81" s="29" t="s">
        <v>130</v>
      </c>
      <c r="R81" s="29" t="s">
        <v>74</v>
      </c>
      <c r="S81" s="34" t="n">
        <v>0</v>
      </c>
      <c r="T81" s="34" t="n">
        <v>900000</v>
      </c>
      <c r="U81" s="34" t="n">
        <v>171000</v>
      </c>
      <c r="V81" s="29"/>
      <c r="W81" s="35" t="n">
        <v>1071000</v>
      </c>
      <c r="X81" s="36" t="n">
        <f aca="false">+Tabla[[#This Row],[TOTAL]]</f>
        <v>1071000</v>
      </c>
      <c r="Y81" s="37"/>
      <c r="Z81" s="37"/>
      <c r="AA81" s="37"/>
      <c r="AB81" s="38" t="n">
        <f aca="false">+W81-AC81</f>
        <v>0</v>
      </c>
      <c r="AC81" s="34" t="n">
        <f aca="false">+Tabla[[#This Row],[P4]]+Tabla[[#This Row],[P3]]+Tabla[[#This Row],[P2]]+Tabla[[#This Row],[P1]]</f>
        <v>1071000</v>
      </c>
      <c r="AD81" s="34" t="n">
        <f aca="false">+W81-AC81</f>
        <v>0</v>
      </c>
      <c r="AE81" s="21" t="str">
        <f aca="false">IF(AB81&lt;1,"PAGADA","PENDIENTE")</f>
        <v>PAGADA</v>
      </c>
      <c r="AF81" s="21"/>
      <c r="AG81" s="29" t="s">
        <v>77</v>
      </c>
      <c r="AH81" s="39" t="n">
        <v>46164</v>
      </c>
      <c r="AI81" s="40" t="n">
        <f aca="false">+IF(Tabla[[#This Row],[FECHA PAGO / ABONO]]&lt;1,0,(MONTH(Tabla[[#This Row],[FECHA PAGO / ABONO]])))</f>
        <v>5</v>
      </c>
      <c r="AJ81" s="40" t="n">
        <f aca="false">+IF(Tabla[[#This Row],[FECHA PAGO / ABONO]]&lt;1,0,(YEAR(Tabla[[#This Row],[FECHA PAGO / ABONO]])))</f>
        <v>2026</v>
      </c>
      <c r="AK81" s="41"/>
    </row>
    <row r="82" customFormat="false" ht="14.25" hidden="false" customHeight="false" outlineLevel="0" collapsed="false">
      <c r="A82" s="28" t="s">
        <v>127</v>
      </c>
      <c r="B82" s="29" t="s">
        <v>128</v>
      </c>
      <c r="C82" s="29" t="s">
        <v>69</v>
      </c>
      <c r="D82" s="21" t="n">
        <v>46552</v>
      </c>
      <c r="E82" s="21" t="str">
        <f aca="false">+CONCATENATE(Tabla[[#This Row],[RUT]],Tabla[[#This Row],[PROVEEDOR]],Tabla[[#This Row],[FACTURA]])</f>
        <v>84364100-8Publicidad Exterior Publivia SpA46552</v>
      </c>
      <c r="F82" s="30" t="n">
        <v>46037</v>
      </c>
      <c r="G82" s="31" t="n">
        <f aca="false">+F82+30</f>
        <v>46067</v>
      </c>
      <c r="H82" s="29" t="n">
        <f aca="true">+IF(AE82="PAGADA",0,TODAY()-G82)</f>
        <v>0</v>
      </c>
      <c r="I82" s="29" t="str">
        <f aca="false">+IF(H82&gt;180,"Atrasada",IF(H82&gt;150,"150 dias",IF(H82&gt;120,"120 dias",IF(H82&gt;90,"90 dias",IF(H82&gt;60,"60 dias",IF(H82&gt;30,"30 dias","Al Día"))))))</f>
        <v>Al Día</v>
      </c>
      <c r="J82" s="32" t="s">
        <v>80</v>
      </c>
      <c r="K82" s="29" t="s">
        <v>81</v>
      </c>
      <c r="L82" s="33" t="s">
        <v>72</v>
      </c>
      <c r="M82" s="29" t="n">
        <f aca="false">+YEAR(F82)</f>
        <v>2026</v>
      </c>
      <c r="N82" s="29" t="n">
        <v>2025</v>
      </c>
      <c r="O82" s="29" t="n">
        <v>12</v>
      </c>
      <c r="P82" s="29" t="str">
        <f aca="false">+CONCATENATE(Tabla[[#This Row],[MES CAMPAÑA]],"/",Tabla[[#This Row],[AÑO CAMPAÑA]])</f>
        <v>12/2025</v>
      </c>
      <c r="Q82" s="29" t="s">
        <v>130</v>
      </c>
      <c r="R82" s="29" t="s">
        <v>74</v>
      </c>
      <c r="S82" s="34" t="n">
        <v>0</v>
      </c>
      <c r="T82" s="34" t="n">
        <v>2730000</v>
      </c>
      <c r="U82" s="34" t="n">
        <v>518700</v>
      </c>
      <c r="V82" s="29"/>
      <c r="W82" s="35" t="n">
        <v>3248700</v>
      </c>
      <c r="X82" s="36" t="n">
        <f aca="false">+Tabla[[#This Row],[TOTAL]]</f>
        <v>3248700</v>
      </c>
      <c r="Y82" s="37"/>
      <c r="Z82" s="37"/>
      <c r="AA82" s="37"/>
      <c r="AB82" s="38" t="n">
        <f aca="false">+W82-AC82</f>
        <v>0</v>
      </c>
      <c r="AC82" s="34" t="n">
        <f aca="false">+Tabla[[#This Row],[P4]]+Tabla[[#This Row],[P3]]+Tabla[[#This Row],[P2]]+Tabla[[#This Row],[P1]]</f>
        <v>3248700</v>
      </c>
      <c r="AD82" s="34" t="n">
        <f aca="false">+W82-AC82</f>
        <v>0</v>
      </c>
      <c r="AE82" s="21" t="str">
        <f aca="false">IF(AB82&lt;1,"PAGADA","PENDIENTE")</f>
        <v>PAGADA</v>
      </c>
      <c r="AF82" s="21"/>
      <c r="AG82" s="29" t="s">
        <v>77</v>
      </c>
      <c r="AH82" s="39" t="n">
        <v>46164</v>
      </c>
      <c r="AI82" s="40" t="n">
        <f aca="false">+IF(Tabla[[#This Row],[FECHA PAGO / ABONO]]&lt;1,0,(MONTH(Tabla[[#This Row],[FECHA PAGO / ABONO]])))</f>
        <v>5</v>
      </c>
      <c r="AJ82" s="40" t="n">
        <f aca="false">+IF(Tabla[[#This Row],[FECHA PAGO / ABONO]]&lt;1,0,(YEAR(Tabla[[#This Row],[FECHA PAGO / ABONO]])))</f>
        <v>2026</v>
      </c>
      <c r="AK82" s="41"/>
    </row>
    <row r="83" customFormat="false" ht="14.25" hidden="false" customHeight="false" outlineLevel="0" collapsed="false">
      <c r="A83" s="28" t="s">
        <v>131</v>
      </c>
      <c r="B83" s="29" t="s">
        <v>132</v>
      </c>
      <c r="C83" s="29" t="s">
        <v>69</v>
      </c>
      <c r="D83" s="21" t="n">
        <v>17495557</v>
      </c>
      <c r="E83" s="21" t="str">
        <f aca="false">+CONCATENATE(Tabla[[#This Row],[RUT]],Tabla[[#This Row],[PROVEEDOR]],Tabla[[#This Row],[FACTURA]])</f>
        <v>78921690-8WOM S.A.17495557</v>
      </c>
      <c r="F83" s="30" t="n">
        <v>46038</v>
      </c>
      <c r="G83" s="31" t="n">
        <f aca="false">+F83+30</f>
        <v>46068</v>
      </c>
      <c r="H83" s="29" t="n">
        <f aca="true">+IF(AE83="PAGADA",0,TODAY()-G83)</f>
        <v>0</v>
      </c>
      <c r="I83" s="29" t="str">
        <f aca="false">+IF(H83&gt;180,"Atrasada",IF(H83&gt;150,"150 dias",IF(H83&gt;120,"120 dias",IF(H83&gt;90,"90 dias",IF(H83&gt;60,"60 dias",IF(H83&gt;30,"30 dias","Al Día"))))))</f>
        <v>Al Día</v>
      </c>
      <c r="J83" s="32" t="s">
        <v>31</v>
      </c>
      <c r="K83" s="29" t="s">
        <v>71</v>
      </c>
      <c r="L83" s="33" t="s">
        <v>72</v>
      </c>
      <c r="M83" s="29" t="n">
        <f aca="false">+YEAR(F83)</f>
        <v>2026</v>
      </c>
      <c r="N83" s="29" t="n">
        <v>2025</v>
      </c>
      <c r="O83" s="29" t="n">
        <v>12</v>
      </c>
      <c r="P83" s="29" t="str">
        <f aca="false">+CONCATENATE(Tabla[[#This Row],[MES CAMPAÑA]],"/",Tabla[[#This Row],[AÑO CAMPAÑA]])</f>
        <v>12/2025</v>
      </c>
      <c r="Q83" s="29" t="s">
        <v>73</v>
      </c>
      <c r="R83" s="29" t="s">
        <v>74</v>
      </c>
      <c r="S83" s="34" t="n">
        <v>0</v>
      </c>
      <c r="T83" s="34" t="n">
        <v>13104</v>
      </c>
      <c r="U83" s="34" t="n">
        <v>2490</v>
      </c>
      <c r="V83" s="29"/>
      <c r="W83" s="35" t="n">
        <v>15594</v>
      </c>
      <c r="X83" s="36" t="n">
        <f aca="false">+Tabla[[#This Row],[TOTAL]]</f>
        <v>15594</v>
      </c>
      <c r="Y83" s="37"/>
      <c r="Z83" s="37"/>
      <c r="AA83" s="37"/>
      <c r="AB83" s="38" t="n">
        <f aca="false">+W83-AC83</f>
        <v>0</v>
      </c>
      <c r="AC83" s="34" t="n">
        <f aca="false">+Tabla[[#This Row],[P4]]+Tabla[[#This Row],[P3]]+Tabla[[#This Row],[P2]]+Tabla[[#This Row],[P1]]</f>
        <v>15594</v>
      </c>
      <c r="AD83" s="34" t="n">
        <f aca="false">+W83-AC83</f>
        <v>0</v>
      </c>
      <c r="AE83" s="21" t="str">
        <f aca="false">IF(AB83&lt;1,"PAGADA","PENDIENTE")</f>
        <v>PAGADA</v>
      </c>
      <c r="AF83" s="21"/>
      <c r="AG83" s="29"/>
      <c r="AH83" s="40"/>
      <c r="AI83" s="40" t="n">
        <f aca="false">+IF(Tabla[[#This Row],[FECHA PAGO / ABONO]]&lt;1,0,(MONTH(Tabla[[#This Row],[FECHA PAGO / ABONO]])))</f>
        <v>0</v>
      </c>
      <c r="AJ83" s="40" t="n">
        <f aca="false">+IF(Tabla[[#This Row],[FECHA PAGO / ABONO]]&lt;1,0,(YEAR(Tabla[[#This Row],[FECHA PAGO / ABONO]])))</f>
        <v>0</v>
      </c>
      <c r="AK83" s="41"/>
    </row>
    <row r="84" customFormat="false" ht="14.25" hidden="false" customHeight="false" outlineLevel="0" collapsed="false">
      <c r="A84" s="28" t="s">
        <v>133</v>
      </c>
      <c r="B84" s="29" t="s">
        <v>134</v>
      </c>
      <c r="C84" s="29" t="s">
        <v>69</v>
      </c>
      <c r="D84" s="21" t="n">
        <v>1701</v>
      </c>
      <c r="E84" s="21" t="str">
        <f aca="false">+CONCATENATE(Tabla[[#This Row],[RUT]],Tabla[[#This Row],[PROVEEDOR]],Tabla[[#This Row],[FACTURA]])</f>
        <v>52004666-6IQUIQUE TELEVISION PRODUCCIONES TELEVISIVAS Y EVENTOS LIMITADA1701</v>
      </c>
      <c r="F84" s="30" t="n">
        <v>46041</v>
      </c>
      <c r="G84" s="31" t="n">
        <f aca="false">+F84+30</f>
        <v>46071</v>
      </c>
      <c r="H84" s="29" t="n">
        <f aca="true">+IF(AE84="PAGADA",0,TODAY()-G84)</f>
        <v>0</v>
      </c>
      <c r="I84" s="29" t="str">
        <f aca="false">+IF(H84&gt;180,"Atrasada",IF(H84&gt;150,"150 dias",IF(H84&gt;120,"120 dias",IF(H84&gt;90,"90 dias",IF(H84&gt;60,"60 dias",IF(H84&gt;30,"30 dias","Al Día"))))))</f>
        <v>Al Día</v>
      </c>
      <c r="J84" s="32" t="s">
        <v>80</v>
      </c>
      <c r="K84" s="29" t="s">
        <v>81</v>
      </c>
      <c r="L84" s="33" t="s">
        <v>72</v>
      </c>
      <c r="M84" s="29" t="n">
        <f aca="false">+YEAR(F84)</f>
        <v>2026</v>
      </c>
      <c r="N84" s="29" t="n">
        <v>2025</v>
      </c>
      <c r="O84" s="29" t="n">
        <v>12</v>
      </c>
      <c r="P84" s="29" t="str">
        <f aca="false">+CONCATENATE(Tabla[[#This Row],[MES CAMPAÑA]],"/",Tabla[[#This Row],[AÑO CAMPAÑA]])</f>
        <v>12/2025</v>
      </c>
      <c r="Q84" s="29" t="s">
        <v>108</v>
      </c>
      <c r="R84" s="29" t="s">
        <v>74</v>
      </c>
      <c r="S84" s="34" t="n">
        <v>0</v>
      </c>
      <c r="T84" s="34" t="n">
        <v>500000</v>
      </c>
      <c r="U84" s="34" t="n">
        <v>95000</v>
      </c>
      <c r="V84" s="29"/>
      <c r="W84" s="35" t="n">
        <v>595000</v>
      </c>
      <c r="X84" s="36" t="n">
        <f aca="false">+Tabla[[#This Row],[TOTAL]]</f>
        <v>595000</v>
      </c>
      <c r="Y84" s="37"/>
      <c r="Z84" s="37"/>
      <c r="AA84" s="37"/>
      <c r="AB84" s="38" t="n">
        <f aca="false">+W84-AC84</f>
        <v>0</v>
      </c>
      <c r="AC84" s="34" t="n">
        <f aca="false">+Tabla[[#This Row],[P4]]+Tabla[[#This Row],[P3]]+Tabla[[#This Row],[P2]]+Tabla[[#This Row],[P1]]</f>
        <v>595000</v>
      </c>
      <c r="AD84" s="34" t="n">
        <f aca="false">+W84-AC84</f>
        <v>0</v>
      </c>
      <c r="AE84" s="21" t="str">
        <f aca="false">IF(AB84&lt;1,"PAGADA","PENDIENTE")</f>
        <v>PAGADA</v>
      </c>
      <c r="AF84" s="21"/>
      <c r="AG84" s="29" t="s">
        <v>77</v>
      </c>
      <c r="AH84" s="39" t="n">
        <v>46108</v>
      </c>
      <c r="AI84" s="40" t="n">
        <f aca="false">+IF(Tabla[[#This Row],[FECHA PAGO / ABONO]]&lt;1,0,(MONTH(Tabla[[#This Row],[FECHA PAGO / ABONO]])))</f>
        <v>3</v>
      </c>
      <c r="AJ84" s="40" t="n">
        <f aca="false">+IF(Tabla[[#This Row],[FECHA PAGO / ABONO]]&lt;1,0,(YEAR(Tabla[[#This Row],[FECHA PAGO / ABONO]])))</f>
        <v>2026</v>
      </c>
      <c r="AK84" s="41"/>
    </row>
    <row r="85" customFormat="false" ht="14.25" hidden="false" customHeight="false" outlineLevel="0" collapsed="false">
      <c r="A85" s="28" t="s">
        <v>135</v>
      </c>
      <c r="B85" s="29" t="s">
        <v>136</v>
      </c>
      <c r="C85" s="29" t="s">
        <v>69</v>
      </c>
      <c r="D85" s="21" t="n">
        <v>27798</v>
      </c>
      <c r="E85" s="21" t="str">
        <f aca="false">+CONCATENATE(Tabla[[#This Row],[RUT]],Tabla[[#This Row],[PROVEEDOR]],Tabla[[#This Row],[FACTURA]])</f>
        <v>76257507-8OPERACIONES DE RADIO EL CONQUISTADOR LIMITADA27798</v>
      </c>
      <c r="F85" s="30" t="n">
        <v>46041</v>
      </c>
      <c r="G85" s="31" t="n">
        <f aca="false">+F85+30</f>
        <v>46071</v>
      </c>
      <c r="H85" s="29" t="n">
        <f aca="true">+IF(AE85="PAGADA",0,TODAY()-G85)</f>
        <v>0</v>
      </c>
      <c r="I85" s="29" t="str">
        <f aca="false">+IF(H85&gt;180,"Atrasada",IF(H85&gt;150,"150 dias",IF(H85&gt;120,"120 dias",IF(H85&gt;90,"90 dias",IF(H85&gt;60,"60 dias",IF(H85&gt;30,"30 dias","Al Día"))))))</f>
        <v>Al Día</v>
      </c>
      <c r="J85" s="32" t="s">
        <v>80</v>
      </c>
      <c r="K85" s="29" t="s">
        <v>81</v>
      </c>
      <c r="L85" s="33" t="s">
        <v>72</v>
      </c>
      <c r="M85" s="29" t="n">
        <f aca="false">+YEAR(F85)</f>
        <v>2026</v>
      </c>
      <c r="N85" s="29" t="n">
        <v>2025</v>
      </c>
      <c r="O85" s="29" t="n">
        <v>12</v>
      </c>
      <c r="P85" s="29" t="str">
        <f aca="false">+CONCATENATE(Tabla[[#This Row],[MES CAMPAÑA]],"/",Tabla[[#This Row],[AÑO CAMPAÑA]])</f>
        <v>12/2025</v>
      </c>
      <c r="Q85" s="29" t="s">
        <v>108</v>
      </c>
      <c r="R85" s="29" t="s">
        <v>74</v>
      </c>
      <c r="S85" s="34" t="n">
        <v>0</v>
      </c>
      <c r="T85" s="34" t="n">
        <v>900000</v>
      </c>
      <c r="U85" s="34" t="n">
        <v>171000</v>
      </c>
      <c r="V85" s="29"/>
      <c r="W85" s="35" t="n">
        <v>1071000</v>
      </c>
      <c r="X85" s="36" t="n">
        <f aca="false">+Tabla[[#This Row],[TOTAL]]</f>
        <v>1071000</v>
      </c>
      <c r="Y85" s="37"/>
      <c r="Z85" s="37"/>
      <c r="AA85" s="37"/>
      <c r="AB85" s="38" t="n">
        <f aca="false">+W85-AC85</f>
        <v>0</v>
      </c>
      <c r="AC85" s="34" t="n">
        <f aca="false">+Tabla[[#This Row],[P4]]+Tabla[[#This Row],[P3]]+Tabla[[#This Row],[P2]]+Tabla[[#This Row],[P1]]</f>
        <v>1071000</v>
      </c>
      <c r="AD85" s="34" t="n">
        <f aca="false">+W85-AC85</f>
        <v>0</v>
      </c>
      <c r="AE85" s="21" t="str">
        <f aca="false">IF(AB85&lt;1,"PAGADA","PENDIENTE")</f>
        <v>PAGADA</v>
      </c>
      <c r="AF85" s="21"/>
      <c r="AG85" s="29" t="s">
        <v>77</v>
      </c>
      <c r="AH85" s="39" t="n">
        <v>46108</v>
      </c>
      <c r="AI85" s="40" t="n">
        <f aca="false">+IF(Tabla[[#This Row],[FECHA PAGO / ABONO]]&lt;1,0,(MONTH(Tabla[[#This Row],[FECHA PAGO / ABONO]])))</f>
        <v>3</v>
      </c>
      <c r="AJ85" s="40" t="n">
        <f aca="false">+IF(Tabla[[#This Row],[FECHA PAGO / ABONO]]&lt;1,0,(YEAR(Tabla[[#This Row],[FECHA PAGO / ABONO]])))</f>
        <v>2026</v>
      </c>
      <c r="AK85" s="41"/>
    </row>
    <row r="86" customFormat="false" ht="14.25" hidden="false" customHeight="false" outlineLevel="0" collapsed="false">
      <c r="A86" s="28" t="s">
        <v>137</v>
      </c>
      <c r="B86" s="29" t="s">
        <v>138</v>
      </c>
      <c r="C86" s="29" t="s">
        <v>69</v>
      </c>
      <c r="D86" s="21" t="n">
        <v>873</v>
      </c>
      <c r="E86" s="21" t="str">
        <f aca="false">+CONCATENATE(Tabla[[#This Row],[RUT]],Tabla[[#This Row],[PROVEEDOR]],Tabla[[#This Row],[FACTURA]])</f>
        <v>77662837-9POWER ID DIGITAL LIMITADA873</v>
      </c>
      <c r="F86" s="30" t="n">
        <v>46041</v>
      </c>
      <c r="G86" s="31" t="n">
        <f aca="false">+F86+30</f>
        <v>46071</v>
      </c>
      <c r="H86" s="29" t="n">
        <f aca="true">+IF(AE86="PAGADA",0,TODAY()-G86)</f>
        <v>0</v>
      </c>
      <c r="I86" s="29" t="str">
        <f aca="false">+IF(H86&gt;180,"Atrasada",IF(H86&gt;150,"150 dias",IF(H86&gt;120,"120 dias",IF(H86&gt;90,"90 dias",IF(H86&gt;60,"60 dias",IF(H86&gt;30,"30 dias","Al Día"))))))</f>
        <v>Al Día</v>
      </c>
      <c r="J86" s="32" t="s">
        <v>80</v>
      </c>
      <c r="K86" s="29" t="s">
        <v>81</v>
      </c>
      <c r="L86" s="33" t="s">
        <v>72</v>
      </c>
      <c r="M86" s="29" t="n">
        <f aca="false">+YEAR(F86)</f>
        <v>2026</v>
      </c>
      <c r="N86" s="29" t="n">
        <v>2025</v>
      </c>
      <c r="O86" s="29" t="n">
        <v>12</v>
      </c>
      <c r="P86" s="29" t="str">
        <f aca="false">+CONCATENATE(Tabla[[#This Row],[MES CAMPAÑA]],"/",Tabla[[#This Row],[AÑO CAMPAÑA]])</f>
        <v>12/2025</v>
      </c>
      <c r="Q86" s="29" t="s">
        <v>82</v>
      </c>
      <c r="R86" s="29" t="s">
        <v>74</v>
      </c>
      <c r="S86" s="34" t="n">
        <v>0</v>
      </c>
      <c r="T86" s="34" t="n">
        <v>2108000</v>
      </c>
      <c r="U86" s="34" t="n">
        <v>400520</v>
      </c>
      <c r="V86" s="29"/>
      <c r="W86" s="35" t="n">
        <v>2508520</v>
      </c>
      <c r="X86" s="36" t="n">
        <f aca="false">+Tabla[[#This Row],[TOTAL]]</f>
        <v>2508520</v>
      </c>
      <c r="Y86" s="37"/>
      <c r="Z86" s="37"/>
      <c r="AA86" s="37"/>
      <c r="AB86" s="38" t="n">
        <f aca="false">+W86-AC86</f>
        <v>0</v>
      </c>
      <c r="AC86" s="34" t="n">
        <f aca="false">+Tabla[[#This Row],[P4]]+Tabla[[#This Row],[P3]]+Tabla[[#This Row],[P2]]+Tabla[[#This Row],[P1]]</f>
        <v>2508520</v>
      </c>
      <c r="AD86" s="34" t="n">
        <f aca="false">+W86-AC86</f>
        <v>0</v>
      </c>
      <c r="AE86" s="21" t="str">
        <f aca="false">IF(AB86&lt;1,"PAGADA","PENDIENTE")</f>
        <v>PAGADA</v>
      </c>
      <c r="AF86" s="21"/>
      <c r="AG86" s="29" t="s">
        <v>77</v>
      </c>
      <c r="AH86" s="39" t="n">
        <v>46073</v>
      </c>
      <c r="AI86" s="40" t="n">
        <f aca="false">+IF(Tabla[[#This Row],[FECHA PAGO / ABONO]]&lt;1,0,(MONTH(Tabla[[#This Row],[FECHA PAGO / ABONO]])))</f>
        <v>2</v>
      </c>
      <c r="AJ86" s="40" t="n">
        <f aca="false">+IF(Tabla[[#This Row],[FECHA PAGO / ABONO]]&lt;1,0,(YEAR(Tabla[[#This Row],[FECHA PAGO / ABONO]])))</f>
        <v>2026</v>
      </c>
      <c r="AK86" s="41"/>
    </row>
    <row r="87" customFormat="false" ht="14.25" hidden="false" customHeight="false" outlineLevel="0" collapsed="false">
      <c r="A87" s="28" t="s">
        <v>139</v>
      </c>
      <c r="B87" s="29" t="s">
        <v>140</v>
      </c>
      <c r="C87" s="29" t="s">
        <v>69</v>
      </c>
      <c r="D87" s="21" t="n">
        <v>2552</v>
      </c>
      <c r="E87" s="21" t="str">
        <f aca="false">+CONCATENATE(Tabla[[#This Row],[RUT]],Tabla[[#This Row],[PROVEEDOR]],Tabla[[#This Row],[FACTURA]])</f>
        <v>76126782-5VISUAL MEDIA LTDA.2552</v>
      </c>
      <c r="F87" s="30" t="n">
        <v>46041</v>
      </c>
      <c r="G87" s="31" t="n">
        <f aca="false">+F87+30</f>
        <v>46071</v>
      </c>
      <c r="H87" s="29" t="n">
        <f aca="true">+IF(AE87="PAGADA",0,TODAY()-G87)</f>
        <v>0</v>
      </c>
      <c r="I87" s="29" t="str">
        <f aca="false">+IF(H87&gt;180,"Atrasada",IF(H87&gt;150,"150 dias",IF(H87&gt;120,"120 dias",IF(H87&gt;90,"90 dias",IF(H87&gt;60,"60 dias",IF(H87&gt;30,"30 dias","Al Día"))))))</f>
        <v>Al Día</v>
      </c>
      <c r="J87" s="32" t="s">
        <v>80</v>
      </c>
      <c r="K87" s="29" t="s">
        <v>81</v>
      </c>
      <c r="L87" s="33" t="s">
        <v>72</v>
      </c>
      <c r="M87" s="29" t="n">
        <f aca="false">+YEAR(F87)</f>
        <v>2026</v>
      </c>
      <c r="N87" s="29" t="n">
        <v>2025</v>
      </c>
      <c r="O87" s="29" t="n">
        <v>12</v>
      </c>
      <c r="P87" s="29" t="str">
        <f aca="false">+CONCATENATE(Tabla[[#This Row],[MES CAMPAÑA]],"/",Tabla[[#This Row],[AÑO CAMPAÑA]])</f>
        <v>12/2025</v>
      </c>
      <c r="Q87" s="29" t="s">
        <v>92</v>
      </c>
      <c r="R87" s="29" t="s">
        <v>74</v>
      </c>
      <c r="S87" s="34" t="n">
        <v>0</v>
      </c>
      <c r="T87" s="34" t="n">
        <v>350000</v>
      </c>
      <c r="U87" s="34" t="n">
        <v>66500</v>
      </c>
      <c r="V87" s="29"/>
      <c r="W87" s="35" t="n">
        <v>416500</v>
      </c>
      <c r="X87" s="36" t="n">
        <f aca="false">+Tabla[[#This Row],[TOTAL]]</f>
        <v>416500</v>
      </c>
      <c r="Y87" s="37"/>
      <c r="Z87" s="37"/>
      <c r="AA87" s="37"/>
      <c r="AB87" s="38" t="n">
        <f aca="false">+W87-AC87</f>
        <v>0</v>
      </c>
      <c r="AC87" s="34" t="n">
        <f aca="false">+Tabla[[#This Row],[P4]]+Tabla[[#This Row],[P3]]+Tabla[[#This Row],[P2]]+Tabla[[#This Row],[P1]]</f>
        <v>416500</v>
      </c>
      <c r="AD87" s="34" t="n">
        <f aca="false">+W87-AC87</f>
        <v>0</v>
      </c>
      <c r="AE87" s="21" t="str">
        <f aca="false">IF(AB87&lt;1,"PAGADA","PENDIENTE")</f>
        <v>PAGADA</v>
      </c>
      <c r="AF87" s="21"/>
      <c r="AG87" s="29" t="s">
        <v>77</v>
      </c>
      <c r="AH87" s="39" t="n">
        <v>46087</v>
      </c>
      <c r="AI87" s="40" t="n">
        <f aca="false">+IF(Tabla[[#This Row],[FECHA PAGO / ABONO]]&lt;1,0,(MONTH(Tabla[[#This Row],[FECHA PAGO / ABONO]])))</f>
        <v>3</v>
      </c>
      <c r="AJ87" s="40" t="n">
        <f aca="false">+IF(Tabla[[#This Row],[FECHA PAGO / ABONO]]&lt;1,0,(YEAR(Tabla[[#This Row],[FECHA PAGO / ABONO]])))</f>
        <v>2026</v>
      </c>
      <c r="AK87" s="41"/>
    </row>
    <row r="88" customFormat="false" ht="14.25" hidden="false" customHeight="false" outlineLevel="0" collapsed="false">
      <c r="A88" s="28" t="s">
        <v>141</v>
      </c>
      <c r="B88" s="29" t="s">
        <v>142</v>
      </c>
      <c r="C88" s="29" t="s">
        <v>69</v>
      </c>
      <c r="D88" s="21" t="n">
        <v>316</v>
      </c>
      <c r="E88" s="21" t="str">
        <f aca="false">+CONCATENATE(Tabla[[#This Row],[RUT]],Tabla[[#This Row],[PROVEEDOR]],Tabla[[#This Row],[FACTURA]])</f>
        <v>76872917-4COMUNICACIONES SERGIO ARMANDO MONTIVERO BRUNA E.I.R.L.316</v>
      </c>
      <c r="F88" s="30" t="n">
        <v>46041</v>
      </c>
      <c r="G88" s="31" t="n">
        <f aca="false">+F88+30</f>
        <v>46071</v>
      </c>
      <c r="H88" s="29" t="n">
        <f aca="true">+IF(AE88="PAGADA",0,TODAY()-G88)</f>
        <v>0</v>
      </c>
      <c r="I88" s="29" t="str">
        <f aca="false">+IF(H88&gt;180,"Atrasada",IF(H88&gt;150,"150 dias",IF(H88&gt;120,"120 dias",IF(H88&gt;90,"90 dias",IF(H88&gt;60,"60 dias",IF(H88&gt;30,"30 dias","Al Día"))))))</f>
        <v>Al Día</v>
      </c>
      <c r="J88" s="32" t="s">
        <v>80</v>
      </c>
      <c r="K88" s="29" t="s">
        <v>81</v>
      </c>
      <c r="L88" s="33" t="s">
        <v>72</v>
      </c>
      <c r="M88" s="29" t="n">
        <f aca="false">+YEAR(F88)</f>
        <v>2026</v>
      </c>
      <c r="N88" s="29" t="n">
        <v>2025</v>
      </c>
      <c r="O88" s="29" t="n">
        <v>12</v>
      </c>
      <c r="P88" s="29" t="str">
        <f aca="false">+CONCATENATE(Tabla[[#This Row],[MES CAMPAÑA]],"/",Tabla[[#This Row],[AÑO CAMPAÑA]])</f>
        <v>12/2025</v>
      </c>
      <c r="Q88" s="29" t="s">
        <v>108</v>
      </c>
      <c r="R88" s="29" t="s">
        <v>74</v>
      </c>
      <c r="S88" s="34" t="n">
        <v>0</v>
      </c>
      <c r="T88" s="34" t="n">
        <v>220000</v>
      </c>
      <c r="U88" s="34" t="n">
        <v>41800</v>
      </c>
      <c r="V88" s="29"/>
      <c r="W88" s="35" t="n">
        <v>261800</v>
      </c>
      <c r="X88" s="36" t="n">
        <f aca="false">+Tabla[[#This Row],[TOTAL]]</f>
        <v>261800</v>
      </c>
      <c r="Y88" s="37"/>
      <c r="Z88" s="37"/>
      <c r="AA88" s="37"/>
      <c r="AB88" s="38" t="n">
        <f aca="false">+W88-AC88</f>
        <v>0</v>
      </c>
      <c r="AC88" s="34" t="n">
        <f aca="false">+Tabla[[#This Row],[P4]]+Tabla[[#This Row],[P3]]+Tabla[[#This Row],[P2]]+Tabla[[#This Row],[P1]]</f>
        <v>261800</v>
      </c>
      <c r="AD88" s="34" t="n">
        <f aca="false">+W88-AC88</f>
        <v>0</v>
      </c>
      <c r="AE88" s="21" t="str">
        <f aca="false">IF(AB88&lt;1,"PAGADA","PENDIENTE")</f>
        <v>PAGADA</v>
      </c>
      <c r="AF88" s="21"/>
      <c r="AG88" s="29" t="s">
        <v>77</v>
      </c>
      <c r="AH88" s="39" t="n">
        <v>46079</v>
      </c>
      <c r="AI88" s="40" t="n">
        <f aca="false">+IF(Tabla[[#This Row],[FECHA PAGO / ABONO]]&lt;1,0,(MONTH(Tabla[[#This Row],[FECHA PAGO / ABONO]])))</f>
        <v>2</v>
      </c>
      <c r="AJ88" s="40" t="n">
        <f aca="false">+IF(Tabla[[#This Row],[FECHA PAGO / ABONO]]&lt;1,0,(YEAR(Tabla[[#This Row],[FECHA PAGO / ABONO]])))</f>
        <v>2026</v>
      </c>
      <c r="AK88" s="41"/>
    </row>
    <row r="89" customFormat="false" ht="14.25" hidden="false" customHeight="false" outlineLevel="0" collapsed="false">
      <c r="A89" s="28" t="s">
        <v>143</v>
      </c>
      <c r="B89" s="29" t="s">
        <v>144</v>
      </c>
      <c r="C89" s="29" t="s">
        <v>69</v>
      </c>
      <c r="D89" s="21" t="n">
        <v>509</v>
      </c>
      <c r="E89" s="21" t="str">
        <f aca="false">+CONCATENATE(Tabla[[#This Row],[RUT]],Tabla[[#This Row],[PROVEEDOR]],Tabla[[#This Row],[FACTURA]])</f>
        <v>76631768-5PATRICIO FÃ‰LIX MEZA FLORES,  E.I.R.L.509</v>
      </c>
      <c r="F89" s="30" t="n">
        <v>46041</v>
      </c>
      <c r="G89" s="31" t="n">
        <f aca="false">+F89+30</f>
        <v>46071</v>
      </c>
      <c r="H89" s="29" t="n">
        <f aca="true">+IF(AE89="PAGADA",0,TODAY()-G89)</f>
        <v>0</v>
      </c>
      <c r="I89" s="29" t="str">
        <f aca="false">+IF(H89&gt;180,"Atrasada",IF(H89&gt;150,"150 dias",IF(H89&gt;120,"120 dias",IF(H89&gt;90,"90 dias",IF(H89&gt;60,"60 dias",IF(H89&gt;30,"30 dias","Al Día"))))))</f>
        <v>Al Día</v>
      </c>
      <c r="J89" s="32" t="s">
        <v>80</v>
      </c>
      <c r="K89" s="29" t="s">
        <v>81</v>
      </c>
      <c r="L89" s="33" t="s">
        <v>72</v>
      </c>
      <c r="M89" s="29" t="n">
        <f aca="false">+YEAR(F89)</f>
        <v>2026</v>
      </c>
      <c r="N89" s="29" t="n">
        <v>2025</v>
      </c>
      <c r="O89" s="29" t="n">
        <v>12</v>
      </c>
      <c r="P89" s="29" t="str">
        <f aca="false">+CONCATENATE(Tabla[[#This Row],[MES CAMPAÑA]],"/",Tabla[[#This Row],[AÑO CAMPAÑA]])</f>
        <v>12/2025</v>
      </c>
      <c r="Q89" s="29" t="s">
        <v>108</v>
      </c>
      <c r="R89" s="29" t="s">
        <v>74</v>
      </c>
      <c r="S89" s="34" t="n">
        <v>0</v>
      </c>
      <c r="T89" s="34" t="n">
        <v>600000</v>
      </c>
      <c r="U89" s="34" t="n">
        <v>114000</v>
      </c>
      <c r="V89" s="29"/>
      <c r="W89" s="35" t="n">
        <v>714000</v>
      </c>
      <c r="X89" s="36" t="n">
        <f aca="false">+Tabla[[#This Row],[TOTAL]]</f>
        <v>714000</v>
      </c>
      <c r="Y89" s="37"/>
      <c r="Z89" s="37"/>
      <c r="AA89" s="37"/>
      <c r="AB89" s="38" t="n">
        <f aca="false">+W89-AC89</f>
        <v>0</v>
      </c>
      <c r="AC89" s="34" t="n">
        <f aca="false">+Tabla[[#This Row],[P4]]+Tabla[[#This Row],[P3]]+Tabla[[#This Row],[P2]]+Tabla[[#This Row],[P1]]</f>
        <v>714000</v>
      </c>
      <c r="AD89" s="34" t="n">
        <f aca="false">+W89-AC89</f>
        <v>0</v>
      </c>
      <c r="AE89" s="21" t="str">
        <f aca="false">IF(AB89&lt;1,"PAGADA","PENDIENTE")</f>
        <v>PAGADA</v>
      </c>
      <c r="AF89" s="21"/>
      <c r="AG89" s="29" t="s">
        <v>77</v>
      </c>
      <c r="AH89" s="39" t="n">
        <v>46058</v>
      </c>
      <c r="AI89" s="40" t="n">
        <f aca="false">+IF(Tabla[[#This Row],[FECHA PAGO / ABONO]]&lt;1,0,(MONTH(Tabla[[#This Row],[FECHA PAGO / ABONO]])))</f>
        <v>2</v>
      </c>
      <c r="AJ89" s="40" t="n">
        <f aca="false">+IF(Tabla[[#This Row],[FECHA PAGO / ABONO]]&lt;1,0,(YEAR(Tabla[[#This Row],[FECHA PAGO / ABONO]])))</f>
        <v>2026</v>
      </c>
      <c r="AK89" s="41"/>
    </row>
    <row r="90" customFormat="false" ht="14.25" hidden="false" customHeight="false" outlineLevel="0" collapsed="false">
      <c r="A90" s="28" t="s">
        <v>145</v>
      </c>
      <c r="B90" s="29" t="s">
        <v>146</v>
      </c>
      <c r="C90" s="29" t="s">
        <v>69</v>
      </c>
      <c r="D90" s="21" t="n">
        <v>239</v>
      </c>
      <c r="E90" s="21" t="str">
        <f aca="false">+CONCATENATE(Tabla[[#This Row],[RUT]],Tabla[[#This Row],[PROVEEDOR]],Tabla[[#This Row],[FACTURA]])</f>
        <v>77131718-9COMUNICACIONES LA HUAYCA SPA239</v>
      </c>
      <c r="F90" s="30" t="n">
        <v>46041</v>
      </c>
      <c r="G90" s="31" t="n">
        <f aca="false">+F90+30</f>
        <v>46071</v>
      </c>
      <c r="H90" s="29" t="n">
        <f aca="true">+IF(AE90="PAGADA",0,TODAY()-G90)</f>
        <v>0</v>
      </c>
      <c r="I90" s="29" t="str">
        <f aca="false">+IF(H90&gt;180,"Atrasada",IF(H90&gt;150,"150 dias",IF(H90&gt;120,"120 dias",IF(H90&gt;90,"90 dias",IF(H90&gt;60,"60 dias",IF(H90&gt;30,"30 dias","Al Día"))))))</f>
        <v>Al Día</v>
      </c>
      <c r="J90" s="32" t="s">
        <v>80</v>
      </c>
      <c r="K90" s="29" t="s">
        <v>81</v>
      </c>
      <c r="L90" s="33" t="s">
        <v>72</v>
      </c>
      <c r="M90" s="29" t="n">
        <f aca="false">+YEAR(F90)</f>
        <v>2026</v>
      </c>
      <c r="N90" s="29" t="n">
        <v>2025</v>
      </c>
      <c r="O90" s="29" t="n">
        <v>12</v>
      </c>
      <c r="P90" s="29" t="str">
        <f aca="false">+CONCATENATE(Tabla[[#This Row],[MES CAMPAÑA]],"/",Tabla[[#This Row],[AÑO CAMPAÑA]])</f>
        <v>12/2025</v>
      </c>
      <c r="Q90" s="29" t="s">
        <v>108</v>
      </c>
      <c r="R90" s="29" t="s">
        <v>74</v>
      </c>
      <c r="S90" s="34" t="n">
        <v>0</v>
      </c>
      <c r="T90" s="34" t="n">
        <v>500001</v>
      </c>
      <c r="U90" s="34" t="n">
        <v>95000</v>
      </c>
      <c r="V90" s="29"/>
      <c r="W90" s="35" t="n">
        <v>595001</v>
      </c>
      <c r="X90" s="36" t="n">
        <f aca="false">+Tabla[[#This Row],[TOTAL]]</f>
        <v>595001</v>
      </c>
      <c r="Y90" s="37"/>
      <c r="Z90" s="37"/>
      <c r="AA90" s="37"/>
      <c r="AB90" s="38" t="n">
        <f aca="false">+W90-AC90</f>
        <v>0</v>
      </c>
      <c r="AC90" s="34" t="n">
        <f aca="false">+Tabla[[#This Row],[P4]]+Tabla[[#This Row],[P3]]+Tabla[[#This Row],[P2]]+Tabla[[#This Row],[P1]]</f>
        <v>595001</v>
      </c>
      <c r="AD90" s="34" t="n">
        <f aca="false">+W90-AC90</f>
        <v>0</v>
      </c>
      <c r="AE90" s="21" t="str">
        <f aca="false">IF(AB90&lt;1,"PAGADA","PENDIENTE")</f>
        <v>PAGADA</v>
      </c>
      <c r="AF90" s="21"/>
      <c r="AG90" s="29" t="s">
        <v>77</v>
      </c>
      <c r="AH90" s="39" t="n">
        <v>46079</v>
      </c>
      <c r="AI90" s="40" t="n">
        <f aca="false">+IF(Tabla[[#This Row],[FECHA PAGO / ABONO]]&lt;1,0,(MONTH(Tabla[[#This Row],[FECHA PAGO / ABONO]])))</f>
        <v>2</v>
      </c>
      <c r="AJ90" s="40" t="n">
        <f aca="false">+IF(Tabla[[#This Row],[FECHA PAGO / ABONO]]&lt;1,0,(YEAR(Tabla[[#This Row],[FECHA PAGO / ABONO]])))</f>
        <v>2026</v>
      </c>
      <c r="AK90" s="41"/>
    </row>
    <row r="91" customFormat="false" ht="14.25" hidden="false" customHeight="false" outlineLevel="0" collapsed="false">
      <c r="A91" s="28" t="s">
        <v>147</v>
      </c>
      <c r="B91" s="29" t="s">
        <v>148</v>
      </c>
      <c r="C91" s="29" t="s">
        <v>69</v>
      </c>
      <c r="D91" s="21" t="n">
        <v>11401</v>
      </c>
      <c r="E91" s="21" t="str">
        <f aca="false">+CONCATENATE(Tabla[[#This Row],[RUT]],Tabla[[#This Row],[PROVEEDOR]],Tabla[[#This Row],[FACTURA]])</f>
        <v>80314100-2EMPRESA PUBLICITARIA ANEPCO SPA11401</v>
      </c>
      <c r="F91" s="30" t="n">
        <v>46041</v>
      </c>
      <c r="G91" s="31" t="n">
        <f aca="false">+F91+30</f>
        <v>46071</v>
      </c>
      <c r="H91" s="29" t="n">
        <f aca="true">+IF(AE91="PAGADA",0,TODAY()-G91)</f>
        <v>0</v>
      </c>
      <c r="I91" s="29" t="str">
        <f aca="false">+IF(H91&gt;180,"Atrasada",IF(H91&gt;150,"150 dias",IF(H91&gt;120,"120 dias",IF(H91&gt;90,"90 dias",IF(H91&gt;60,"60 dias",IF(H91&gt;30,"30 dias","Al Día"))))))</f>
        <v>Al Día</v>
      </c>
      <c r="J91" s="32" t="s">
        <v>80</v>
      </c>
      <c r="K91" s="29" t="s">
        <v>81</v>
      </c>
      <c r="L91" s="33" t="s">
        <v>72</v>
      </c>
      <c r="M91" s="29" t="n">
        <f aca="false">+YEAR(F91)</f>
        <v>2026</v>
      </c>
      <c r="N91" s="29" t="n">
        <v>2025</v>
      </c>
      <c r="O91" s="29" t="n">
        <v>12</v>
      </c>
      <c r="P91" s="29" t="str">
        <f aca="false">+CONCATENATE(Tabla[[#This Row],[MES CAMPAÑA]],"/",Tabla[[#This Row],[AÑO CAMPAÑA]])</f>
        <v>12/2025</v>
      </c>
      <c r="Q91" s="29" t="s">
        <v>92</v>
      </c>
      <c r="R91" s="29" t="s">
        <v>74</v>
      </c>
      <c r="S91" s="34" t="n">
        <v>0</v>
      </c>
      <c r="T91" s="34" t="n">
        <v>580000</v>
      </c>
      <c r="U91" s="34" t="n">
        <v>110200</v>
      </c>
      <c r="V91" s="29"/>
      <c r="W91" s="35" t="n">
        <v>690200</v>
      </c>
      <c r="X91" s="36" t="n">
        <f aca="false">+Tabla[[#This Row],[TOTAL]]</f>
        <v>690200</v>
      </c>
      <c r="Y91" s="37"/>
      <c r="Z91" s="37"/>
      <c r="AA91" s="37"/>
      <c r="AB91" s="38" t="n">
        <f aca="false">+W91-AC91</f>
        <v>0</v>
      </c>
      <c r="AC91" s="34" t="n">
        <f aca="false">+Tabla[[#This Row],[P4]]+Tabla[[#This Row],[P3]]+Tabla[[#This Row],[P2]]+Tabla[[#This Row],[P1]]</f>
        <v>690200</v>
      </c>
      <c r="AD91" s="34" t="n">
        <f aca="false">+W91-AC91</f>
        <v>0</v>
      </c>
      <c r="AE91" s="21" t="str">
        <f aca="false">IF(AB91&lt;1,"PAGADA","PENDIENTE")</f>
        <v>PAGADA</v>
      </c>
      <c r="AF91" s="21"/>
      <c r="AG91" s="29" t="s">
        <v>77</v>
      </c>
      <c r="AH91" s="39" t="n">
        <v>46076</v>
      </c>
      <c r="AI91" s="40" t="n">
        <f aca="false">+IF(Tabla[[#This Row],[FECHA PAGO / ABONO]]&lt;1,0,(MONTH(Tabla[[#This Row],[FECHA PAGO / ABONO]])))</f>
        <v>2</v>
      </c>
      <c r="AJ91" s="40" t="n">
        <f aca="false">+IF(Tabla[[#This Row],[FECHA PAGO / ABONO]]&lt;1,0,(YEAR(Tabla[[#This Row],[FECHA PAGO / ABONO]])))</f>
        <v>2026</v>
      </c>
      <c r="AK91" s="41"/>
    </row>
    <row r="92" customFormat="false" ht="14.25" hidden="false" customHeight="false" outlineLevel="0" collapsed="false">
      <c r="A92" s="28" t="s">
        <v>149</v>
      </c>
      <c r="B92" s="29" t="s">
        <v>150</v>
      </c>
      <c r="C92" s="29" t="s">
        <v>69</v>
      </c>
      <c r="D92" s="21" t="n">
        <v>18</v>
      </c>
      <c r="E92" s="21" t="str">
        <f aca="false">+CONCATENATE(Tabla[[#This Row],[RUT]],Tabla[[#This Row],[PROVEEDOR]],Tabla[[#This Row],[FACTURA]])</f>
        <v>78042909-7TIERRA DE DRAGONES SPA18</v>
      </c>
      <c r="F92" s="30" t="n">
        <v>46041</v>
      </c>
      <c r="G92" s="31" t="n">
        <f aca="false">+F92+30</f>
        <v>46071</v>
      </c>
      <c r="H92" s="29" t="n">
        <f aca="true">+IF(AE92="PAGADA",0,TODAY()-G92)</f>
        <v>0</v>
      </c>
      <c r="I92" s="29" t="str">
        <f aca="false">+IF(H92&gt;180,"Atrasada",IF(H92&gt;150,"150 dias",IF(H92&gt;120,"120 dias",IF(H92&gt;90,"90 dias",IF(H92&gt;60,"60 dias",IF(H92&gt;30,"30 dias","Al Día"))))))</f>
        <v>Al Día</v>
      </c>
      <c r="J92" s="32" t="s">
        <v>80</v>
      </c>
      <c r="K92" s="29" t="s">
        <v>81</v>
      </c>
      <c r="L92" s="33" t="s">
        <v>72</v>
      </c>
      <c r="M92" s="29" t="n">
        <f aca="false">+YEAR(F92)</f>
        <v>2026</v>
      </c>
      <c r="N92" s="29" t="n">
        <v>2025</v>
      </c>
      <c r="O92" s="29" t="n">
        <v>12</v>
      </c>
      <c r="P92" s="29" t="str">
        <f aca="false">+CONCATENATE(Tabla[[#This Row],[MES CAMPAÑA]],"/",Tabla[[#This Row],[AÑO CAMPAÑA]])</f>
        <v>12/2025</v>
      </c>
      <c r="Q92" s="29" t="s">
        <v>108</v>
      </c>
      <c r="R92" s="29" t="s">
        <v>74</v>
      </c>
      <c r="S92" s="34" t="n">
        <v>0</v>
      </c>
      <c r="T92" s="34" t="n">
        <v>400000</v>
      </c>
      <c r="U92" s="34" t="n">
        <v>76000</v>
      </c>
      <c r="V92" s="29"/>
      <c r="W92" s="35" t="n">
        <v>476000</v>
      </c>
      <c r="X92" s="36" t="n">
        <f aca="false">+Tabla[[#This Row],[TOTAL]]</f>
        <v>476000</v>
      </c>
      <c r="Y92" s="37"/>
      <c r="Z92" s="37"/>
      <c r="AA92" s="37"/>
      <c r="AB92" s="38" t="n">
        <f aca="false">+W92-AC92</f>
        <v>0</v>
      </c>
      <c r="AC92" s="34" t="n">
        <f aca="false">+Tabla[[#This Row],[P4]]+Tabla[[#This Row],[P3]]+Tabla[[#This Row],[P2]]+Tabla[[#This Row],[P1]]</f>
        <v>476000</v>
      </c>
      <c r="AD92" s="34" t="n">
        <f aca="false">+W92-AC92</f>
        <v>0</v>
      </c>
      <c r="AE92" s="21" t="str">
        <f aca="false">IF(AB92&lt;1,"PAGADA","PENDIENTE")</f>
        <v>PAGADA</v>
      </c>
      <c r="AF92" s="21"/>
      <c r="AG92" s="29" t="s">
        <v>77</v>
      </c>
      <c r="AH92" s="39" t="n">
        <v>46059</v>
      </c>
      <c r="AI92" s="40" t="n">
        <f aca="false">+IF(Tabla[[#This Row],[FECHA PAGO / ABONO]]&lt;1,0,(MONTH(Tabla[[#This Row],[FECHA PAGO / ABONO]])))</f>
        <v>2</v>
      </c>
      <c r="AJ92" s="40" t="n">
        <f aca="false">+IF(Tabla[[#This Row],[FECHA PAGO / ABONO]]&lt;1,0,(YEAR(Tabla[[#This Row],[FECHA PAGO / ABONO]])))</f>
        <v>2026</v>
      </c>
      <c r="AK92" s="41"/>
    </row>
    <row r="93" customFormat="false" ht="14.25" hidden="false" customHeight="false" outlineLevel="0" collapsed="false">
      <c r="A93" s="28" t="s">
        <v>151</v>
      </c>
      <c r="B93" s="29" t="s">
        <v>152</v>
      </c>
      <c r="C93" s="29" t="s">
        <v>69</v>
      </c>
      <c r="D93" s="21" t="n">
        <v>9035</v>
      </c>
      <c r="E93" s="21" t="str">
        <f aca="false">+CONCATENATE(Tabla[[#This Row],[RUT]],Tabla[[#This Row],[PROVEEDOR]],Tabla[[#This Row],[FACTURA]])</f>
        <v>70938800-2CORP MUNICIPAL DE DESARROLLO SOCIAL DE IQUIQUE9035</v>
      </c>
      <c r="F93" s="30" t="n">
        <v>46042</v>
      </c>
      <c r="G93" s="31" t="n">
        <f aca="false">+F93+30</f>
        <v>46072</v>
      </c>
      <c r="H93" s="29" t="n">
        <f aca="true">+IF(AE93="PAGADA",0,TODAY()-G93)</f>
        <v>0</v>
      </c>
      <c r="I93" s="29" t="str">
        <f aca="false">+IF(H93&gt;180,"Atrasada",IF(H93&gt;150,"150 dias",IF(H93&gt;120,"120 dias",IF(H93&gt;90,"90 dias",IF(H93&gt;60,"60 dias",IF(H93&gt;30,"30 dias","Al Día"))))))</f>
        <v>Al Día</v>
      </c>
      <c r="J93" s="32" t="s">
        <v>80</v>
      </c>
      <c r="K93" s="29" t="s">
        <v>81</v>
      </c>
      <c r="L93" s="33" t="s">
        <v>72</v>
      </c>
      <c r="M93" s="29" t="n">
        <f aca="false">+YEAR(F93)</f>
        <v>2026</v>
      </c>
      <c r="N93" s="29" t="n">
        <v>2025</v>
      </c>
      <c r="O93" s="29" t="n">
        <v>12</v>
      </c>
      <c r="P93" s="29" t="str">
        <f aca="false">+CONCATENATE(Tabla[[#This Row],[MES CAMPAÑA]],"/",Tabla[[#This Row],[AÑO CAMPAÑA]])</f>
        <v>12/2025</v>
      </c>
      <c r="Q93" s="29" t="s">
        <v>108</v>
      </c>
      <c r="R93" s="29" t="s">
        <v>74</v>
      </c>
      <c r="S93" s="34" t="n">
        <v>0</v>
      </c>
      <c r="T93" s="34" t="n">
        <v>500000</v>
      </c>
      <c r="U93" s="34" t="n">
        <v>95000</v>
      </c>
      <c r="V93" s="29"/>
      <c r="W93" s="35" t="n">
        <v>595000</v>
      </c>
      <c r="X93" s="36" t="n">
        <f aca="false">+Tabla[[#This Row],[TOTAL]]</f>
        <v>595000</v>
      </c>
      <c r="Y93" s="37"/>
      <c r="Z93" s="37"/>
      <c r="AA93" s="37"/>
      <c r="AB93" s="38" t="n">
        <f aca="false">+W93-AC93</f>
        <v>0</v>
      </c>
      <c r="AC93" s="34" t="n">
        <f aca="false">+Tabla[[#This Row],[P4]]+Tabla[[#This Row],[P3]]+Tabla[[#This Row],[P2]]+Tabla[[#This Row],[P1]]</f>
        <v>595000</v>
      </c>
      <c r="AD93" s="34" t="n">
        <f aca="false">+W93-AC93</f>
        <v>0</v>
      </c>
      <c r="AE93" s="21" t="str">
        <f aca="false">IF(AB93&lt;1,"PAGADA","PENDIENTE")</f>
        <v>PAGADA</v>
      </c>
      <c r="AF93" s="21"/>
      <c r="AG93" s="29" t="s">
        <v>77</v>
      </c>
      <c r="AH93" s="39" t="n">
        <v>46108</v>
      </c>
      <c r="AI93" s="40" t="n">
        <f aca="false">+IF(Tabla[[#This Row],[FECHA PAGO / ABONO]]&lt;1,0,(MONTH(Tabla[[#This Row],[FECHA PAGO / ABONO]])))</f>
        <v>3</v>
      </c>
      <c r="AJ93" s="40" t="n">
        <f aca="false">+IF(Tabla[[#This Row],[FECHA PAGO / ABONO]]&lt;1,0,(YEAR(Tabla[[#This Row],[FECHA PAGO / ABONO]])))</f>
        <v>2026</v>
      </c>
      <c r="AK93" s="41"/>
    </row>
    <row r="94" customFormat="false" ht="14.25" hidden="false" customHeight="false" outlineLevel="0" collapsed="false">
      <c r="A94" s="28" t="s">
        <v>153</v>
      </c>
      <c r="B94" s="29" t="s">
        <v>154</v>
      </c>
      <c r="C94" s="29" t="s">
        <v>69</v>
      </c>
      <c r="D94" s="21" t="n">
        <v>1340</v>
      </c>
      <c r="E94" s="21" t="str">
        <f aca="false">+CONCATENATE(Tabla[[#This Row],[RUT]],Tabla[[#This Row],[PROVEEDOR]],Tabla[[#This Row],[FACTURA]])</f>
        <v>77176333-2MARKETING, PUBLICIDAD E INFORMÃTICA GRUPO 4 LIMITADA1340</v>
      </c>
      <c r="F94" s="30" t="n">
        <v>46042</v>
      </c>
      <c r="G94" s="31" t="n">
        <f aca="false">+F94+30</f>
        <v>46072</v>
      </c>
      <c r="H94" s="29" t="n">
        <f aca="true">+IF(AE94="PAGADA",0,TODAY()-G94)</f>
        <v>0</v>
      </c>
      <c r="I94" s="29" t="str">
        <f aca="false">+IF(H94&gt;180,"Atrasada",IF(H94&gt;150,"150 dias",IF(H94&gt;120,"120 dias",IF(H94&gt;90,"90 dias",IF(H94&gt;60,"60 dias",IF(H94&gt;30,"30 dias","Al Día"))))))</f>
        <v>Al Día</v>
      </c>
      <c r="J94" s="32" t="s">
        <v>80</v>
      </c>
      <c r="K94" s="29" t="s">
        <v>81</v>
      </c>
      <c r="L94" s="33" t="s">
        <v>72</v>
      </c>
      <c r="M94" s="29" t="n">
        <f aca="false">+YEAR(F94)</f>
        <v>2026</v>
      </c>
      <c r="N94" s="29" t="n">
        <v>2025</v>
      </c>
      <c r="O94" s="29" t="n">
        <v>12</v>
      </c>
      <c r="P94" s="29" t="str">
        <f aca="false">+CONCATENATE(Tabla[[#This Row],[MES CAMPAÑA]],"/",Tabla[[#This Row],[AÑO CAMPAÑA]])</f>
        <v>12/2025</v>
      </c>
      <c r="Q94" s="29" t="s">
        <v>108</v>
      </c>
      <c r="R94" s="29" t="s">
        <v>74</v>
      </c>
      <c r="S94" s="34" t="n">
        <v>0</v>
      </c>
      <c r="T94" s="34" t="n">
        <v>500000</v>
      </c>
      <c r="U94" s="34" t="n">
        <v>95000</v>
      </c>
      <c r="V94" s="29"/>
      <c r="W94" s="35" t="n">
        <v>595000</v>
      </c>
      <c r="X94" s="36" t="n">
        <f aca="false">+Tabla[[#This Row],[TOTAL]]</f>
        <v>595000</v>
      </c>
      <c r="Y94" s="37"/>
      <c r="Z94" s="37"/>
      <c r="AA94" s="37"/>
      <c r="AB94" s="38" t="n">
        <f aca="false">+W94-AC94</f>
        <v>0</v>
      </c>
      <c r="AC94" s="34" t="n">
        <f aca="false">+Tabla[[#This Row],[P4]]+Tabla[[#This Row],[P3]]+Tabla[[#This Row],[P2]]+Tabla[[#This Row],[P1]]</f>
        <v>595000</v>
      </c>
      <c r="AD94" s="34" t="n">
        <f aca="false">+W94-AC94</f>
        <v>0</v>
      </c>
      <c r="AE94" s="21" t="str">
        <f aca="false">IF(AB94&lt;1,"PAGADA","PENDIENTE")</f>
        <v>PAGADA</v>
      </c>
      <c r="AF94" s="21"/>
      <c r="AG94" s="29" t="s">
        <v>77</v>
      </c>
      <c r="AH94" s="39" t="n">
        <v>46108</v>
      </c>
      <c r="AI94" s="40" t="n">
        <f aca="false">+IF(Tabla[[#This Row],[FECHA PAGO / ABONO]]&lt;1,0,(MONTH(Tabla[[#This Row],[FECHA PAGO / ABONO]])))</f>
        <v>3</v>
      </c>
      <c r="AJ94" s="40" t="n">
        <f aca="false">+IF(Tabla[[#This Row],[FECHA PAGO / ABONO]]&lt;1,0,(YEAR(Tabla[[#This Row],[FECHA PAGO / ABONO]])))</f>
        <v>2026</v>
      </c>
      <c r="AK94" s="41"/>
    </row>
    <row r="95" customFormat="false" ht="14.25" hidden="false" customHeight="false" outlineLevel="0" collapsed="false">
      <c r="A95" s="28" t="s">
        <v>153</v>
      </c>
      <c r="B95" s="29" t="s">
        <v>154</v>
      </c>
      <c r="C95" s="29" t="s">
        <v>69</v>
      </c>
      <c r="D95" s="21" t="n">
        <v>1341</v>
      </c>
      <c r="E95" s="21" t="str">
        <f aca="false">+CONCATENATE(Tabla[[#This Row],[RUT]],Tabla[[#This Row],[PROVEEDOR]],Tabla[[#This Row],[FACTURA]])</f>
        <v>77176333-2MARKETING, PUBLICIDAD E INFORMÃTICA GRUPO 4 LIMITADA1341</v>
      </c>
      <c r="F95" s="30" t="n">
        <v>46042</v>
      </c>
      <c r="G95" s="31" t="n">
        <f aca="false">+F95+30</f>
        <v>46072</v>
      </c>
      <c r="H95" s="29" t="n">
        <f aca="true">+IF(AE95="PAGADA",0,TODAY()-G95)</f>
        <v>0</v>
      </c>
      <c r="I95" s="29" t="str">
        <f aca="false">+IF(H95&gt;180,"Atrasada",IF(H95&gt;150,"150 dias",IF(H95&gt;120,"120 dias",IF(H95&gt;90,"90 dias",IF(H95&gt;60,"60 dias",IF(H95&gt;30,"30 dias","Al Día"))))))</f>
        <v>Al Día</v>
      </c>
      <c r="J95" s="32" t="s">
        <v>80</v>
      </c>
      <c r="K95" s="29" t="s">
        <v>81</v>
      </c>
      <c r="L95" s="33" t="s">
        <v>72</v>
      </c>
      <c r="M95" s="29" t="n">
        <f aca="false">+YEAR(F95)</f>
        <v>2026</v>
      </c>
      <c r="N95" s="29" t="n">
        <v>2025</v>
      </c>
      <c r="O95" s="29" t="n">
        <v>12</v>
      </c>
      <c r="P95" s="29" t="str">
        <f aca="false">+CONCATENATE(Tabla[[#This Row],[MES CAMPAÑA]],"/",Tabla[[#This Row],[AÑO CAMPAÑA]])</f>
        <v>12/2025</v>
      </c>
      <c r="Q95" s="29" t="s">
        <v>108</v>
      </c>
      <c r="R95" s="29" t="s">
        <v>74</v>
      </c>
      <c r="S95" s="34" t="n">
        <v>0</v>
      </c>
      <c r="T95" s="34" t="n">
        <v>325000</v>
      </c>
      <c r="U95" s="34" t="n">
        <v>61750</v>
      </c>
      <c r="V95" s="29"/>
      <c r="W95" s="35" t="n">
        <v>386750</v>
      </c>
      <c r="X95" s="36" t="n">
        <f aca="false">+Tabla[[#This Row],[TOTAL]]</f>
        <v>386750</v>
      </c>
      <c r="Y95" s="37"/>
      <c r="Z95" s="37"/>
      <c r="AA95" s="37"/>
      <c r="AB95" s="38" t="n">
        <f aca="false">+W95-AC95</f>
        <v>0</v>
      </c>
      <c r="AC95" s="34" t="n">
        <f aca="false">+Tabla[[#This Row],[P4]]+Tabla[[#This Row],[P3]]+Tabla[[#This Row],[P2]]+Tabla[[#This Row],[P1]]</f>
        <v>386750</v>
      </c>
      <c r="AD95" s="34" t="n">
        <f aca="false">+W95-AC95</f>
        <v>0</v>
      </c>
      <c r="AE95" s="21" t="str">
        <f aca="false">IF(AB95&lt;1,"PAGADA","PENDIENTE")</f>
        <v>PAGADA</v>
      </c>
      <c r="AF95" s="21"/>
      <c r="AG95" s="29" t="s">
        <v>77</v>
      </c>
      <c r="AH95" s="39" t="n">
        <v>46108</v>
      </c>
      <c r="AI95" s="40" t="n">
        <f aca="false">+IF(Tabla[[#This Row],[FECHA PAGO / ABONO]]&lt;1,0,(MONTH(Tabla[[#This Row],[FECHA PAGO / ABONO]])))</f>
        <v>3</v>
      </c>
      <c r="AJ95" s="40" t="n">
        <f aca="false">+IF(Tabla[[#This Row],[FECHA PAGO / ABONO]]&lt;1,0,(YEAR(Tabla[[#This Row],[FECHA PAGO / ABONO]])))</f>
        <v>2026</v>
      </c>
      <c r="AK95" s="41"/>
    </row>
    <row r="96" customFormat="false" ht="14.25" hidden="false" customHeight="false" outlineLevel="0" collapsed="false">
      <c r="A96" s="28" t="s">
        <v>155</v>
      </c>
      <c r="B96" s="29" t="s">
        <v>156</v>
      </c>
      <c r="C96" s="29" t="s">
        <v>69</v>
      </c>
      <c r="D96" s="21" t="n">
        <v>860</v>
      </c>
      <c r="E96" s="21" t="str">
        <f aca="false">+CONCATENATE(Tabla[[#This Row],[RUT]],Tabla[[#This Row],[PROVEEDOR]],Tabla[[#This Row],[FACTURA]])</f>
        <v>76574832-1DANTE INTERACTIVE PUBLICIDAD COMPUTACION Y MARKETING SPA860</v>
      </c>
      <c r="F96" s="30" t="n">
        <v>46042</v>
      </c>
      <c r="G96" s="31" t="n">
        <f aca="false">+F96+30</f>
        <v>46072</v>
      </c>
      <c r="H96" s="29" t="n">
        <f aca="true">+IF(AE96="PAGADA",0,TODAY()-G96)</f>
        <v>132</v>
      </c>
      <c r="I96" s="29" t="str">
        <f aca="false">+IF(H96&gt;180,"Atrasada",IF(H96&gt;150,"150 dias",IF(H96&gt;120,"120 dias",IF(H96&gt;90,"90 dias",IF(H96&gt;60,"60 dias",IF(H96&gt;30,"30 dias","Al Día"))))))</f>
        <v>120 dias</v>
      </c>
      <c r="J96" s="32" t="s">
        <v>80</v>
      </c>
      <c r="K96" s="29" t="s">
        <v>81</v>
      </c>
      <c r="L96" s="33" t="s">
        <v>72</v>
      </c>
      <c r="M96" s="29" t="n">
        <f aca="false">+YEAR(F96)</f>
        <v>2026</v>
      </c>
      <c r="N96" s="29" t="n">
        <v>2025</v>
      </c>
      <c r="O96" s="29" t="n">
        <v>12</v>
      </c>
      <c r="P96" s="29" t="str">
        <f aca="false">+CONCATENATE(Tabla[[#This Row],[MES CAMPAÑA]],"/",Tabla[[#This Row],[AÑO CAMPAÑA]])</f>
        <v>12/2025</v>
      </c>
      <c r="Q96" s="29" t="s">
        <v>82</v>
      </c>
      <c r="R96" s="29" t="s">
        <v>74</v>
      </c>
      <c r="S96" s="34" t="n">
        <v>0</v>
      </c>
      <c r="T96" s="34" t="n">
        <v>1351351</v>
      </c>
      <c r="U96" s="34" t="n">
        <v>256757</v>
      </c>
      <c r="V96" s="29"/>
      <c r="W96" s="35" t="n">
        <v>1608108</v>
      </c>
      <c r="X96" s="36"/>
      <c r="Y96" s="37"/>
      <c r="Z96" s="37"/>
      <c r="AA96" s="37"/>
      <c r="AB96" s="38" t="n">
        <f aca="false">+W96-AC96</f>
        <v>1608108</v>
      </c>
      <c r="AC96" s="34" t="n">
        <f aca="false">+Tabla[[#This Row],[P4]]+Tabla[[#This Row],[P3]]+Tabla[[#This Row],[P2]]+Tabla[[#This Row],[P1]]</f>
        <v>0</v>
      </c>
      <c r="AD96" s="34" t="n">
        <f aca="false">+W96-AC96</f>
        <v>1608108</v>
      </c>
      <c r="AE96" s="21" t="str">
        <f aca="false">IF(AB96&lt;1,"PAGADA","PENDIENTE")</f>
        <v>PENDIENTE</v>
      </c>
      <c r="AF96" s="21"/>
      <c r="AG96" s="29"/>
      <c r="AH96" s="40"/>
      <c r="AI96" s="40" t="n">
        <f aca="false">+IF(Tabla[[#This Row],[FECHA PAGO / ABONO]]&lt;1,0,(MONTH(Tabla[[#This Row],[FECHA PAGO / ABONO]])))</f>
        <v>0</v>
      </c>
      <c r="AJ96" s="40" t="n">
        <f aca="false">+IF(Tabla[[#This Row],[FECHA PAGO / ABONO]]&lt;1,0,(YEAR(Tabla[[#This Row],[FECHA PAGO / ABONO]])))</f>
        <v>0</v>
      </c>
      <c r="AK96" s="41"/>
    </row>
    <row r="97" customFormat="false" ht="14.25" hidden="false" customHeight="false" outlineLevel="0" collapsed="false">
      <c r="A97" s="28" t="s">
        <v>157</v>
      </c>
      <c r="B97" s="29" t="s">
        <v>158</v>
      </c>
      <c r="C97" s="29" t="s">
        <v>69</v>
      </c>
      <c r="D97" s="21" t="n">
        <v>4269</v>
      </c>
      <c r="E97" s="21" t="str">
        <f aca="false">+CONCATENATE(Tabla[[#This Row],[RUT]],Tabla[[#This Row],[PROVEEDOR]],Tabla[[#This Row],[FACTURA]])</f>
        <v>76617260-1IMPORTADORA Y COMERCIALIZADORA GREPSA LTDA4269</v>
      </c>
      <c r="F97" s="30" t="n">
        <v>46042</v>
      </c>
      <c r="G97" s="31" t="n">
        <f aca="false">+F97+30</f>
        <v>46072</v>
      </c>
      <c r="H97" s="29" t="n">
        <f aca="true">+IF(AE97="PAGADA",0,TODAY()-G97)</f>
        <v>0</v>
      </c>
      <c r="I97" s="29" t="str">
        <f aca="false">+IF(H97&gt;180,"Atrasada",IF(H97&gt;150,"150 dias",IF(H97&gt;120,"120 dias",IF(H97&gt;90,"90 dias",IF(H97&gt;60,"60 dias",IF(H97&gt;30,"30 dias","Al Día"))))))</f>
        <v>Al Día</v>
      </c>
      <c r="J97" s="32" t="s">
        <v>80</v>
      </c>
      <c r="K97" s="29" t="s">
        <v>81</v>
      </c>
      <c r="L97" s="33" t="s">
        <v>72</v>
      </c>
      <c r="M97" s="29" t="n">
        <f aca="false">+YEAR(F97)</f>
        <v>2026</v>
      </c>
      <c r="N97" s="29" t="n">
        <v>2025</v>
      </c>
      <c r="O97" s="29" t="n">
        <v>12</v>
      </c>
      <c r="P97" s="29" t="str">
        <f aca="false">+CONCATENATE(Tabla[[#This Row],[MES CAMPAÑA]],"/",Tabla[[#This Row],[AÑO CAMPAÑA]])</f>
        <v>12/2025</v>
      </c>
      <c r="Q97" s="29" t="s">
        <v>92</v>
      </c>
      <c r="R97" s="29" t="s">
        <v>74</v>
      </c>
      <c r="S97" s="34" t="n">
        <v>0</v>
      </c>
      <c r="T97" s="34" t="n">
        <v>790000</v>
      </c>
      <c r="U97" s="34" t="n">
        <v>150100</v>
      </c>
      <c r="V97" s="29"/>
      <c r="W97" s="35" t="n">
        <v>940100</v>
      </c>
      <c r="X97" s="36" t="n">
        <f aca="false">+Tabla[[#This Row],[TOTAL]]</f>
        <v>940100</v>
      </c>
      <c r="Y97" s="37"/>
      <c r="Z97" s="37"/>
      <c r="AA97" s="37"/>
      <c r="AB97" s="38" t="n">
        <f aca="false">+W97-AC97</f>
        <v>0</v>
      </c>
      <c r="AC97" s="34" t="n">
        <f aca="false">+Tabla[[#This Row],[P4]]+Tabla[[#This Row],[P3]]+Tabla[[#This Row],[P2]]+Tabla[[#This Row],[P1]]</f>
        <v>940100</v>
      </c>
      <c r="AD97" s="34" t="n">
        <f aca="false">+W97-AC97</f>
        <v>0</v>
      </c>
      <c r="AE97" s="21" t="str">
        <f aca="false">IF(AB97&lt;1,"PAGADA","PENDIENTE")</f>
        <v>PAGADA</v>
      </c>
      <c r="AF97" s="21"/>
      <c r="AG97" s="29" t="s">
        <v>77</v>
      </c>
      <c r="AH97" s="39" t="n">
        <v>46078</v>
      </c>
      <c r="AI97" s="40" t="n">
        <f aca="false">+IF(Tabla[[#This Row],[FECHA PAGO / ABONO]]&lt;1,0,(MONTH(Tabla[[#This Row],[FECHA PAGO / ABONO]])))</f>
        <v>2</v>
      </c>
      <c r="AJ97" s="40" t="n">
        <f aca="false">+IF(Tabla[[#This Row],[FECHA PAGO / ABONO]]&lt;1,0,(YEAR(Tabla[[#This Row],[FECHA PAGO / ABONO]])))</f>
        <v>2026</v>
      </c>
      <c r="AK97" s="41"/>
    </row>
    <row r="98" customFormat="false" ht="14.25" hidden="false" customHeight="false" outlineLevel="0" collapsed="false">
      <c r="A98" s="28" t="s">
        <v>159</v>
      </c>
      <c r="B98" s="29" t="s">
        <v>160</v>
      </c>
      <c r="C98" s="29" t="s">
        <v>69</v>
      </c>
      <c r="D98" s="21" t="n">
        <v>108794</v>
      </c>
      <c r="E98" s="21" t="str">
        <f aca="false">+CONCATENATE(Tabla[[#This Row],[RUT]],Tabla[[#This Row],[PROVEEDOR]],Tabla[[#This Row],[FACTURA]])</f>
        <v>81689800-5TVN108794</v>
      </c>
      <c r="F98" s="30" t="n">
        <v>46042</v>
      </c>
      <c r="G98" s="31" t="n">
        <f aca="false">+F98+30</f>
        <v>46072</v>
      </c>
      <c r="H98" s="29" t="n">
        <f aca="true">+IF(AE98="PAGADA",0,TODAY()-G98)</f>
        <v>132</v>
      </c>
      <c r="I98" s="29" t="str">
        <f aca="false">+IF(H98&gt;180,"Atrasada",IF(H98&gt;150,"150 dias",IF(H98&gt;120,"120 dias",IF(H98&gt;90,"90 dias",IF(H98&gt;60,"60 dias",IF(H98&gt;30,"30 dias","Al Día"))))))</f>
        <v>120 dias</v>
      </c>
      <c r="J98" s="32" t="s">
        <v>80</v>
      </c>
      <c r="K98" s="29" t="s">
        <v>81</v>
      </c>
      <c r="L98" s="33" t="s">
        <v>72</v>
      </c>
      <c r="M98" s="29" t="n">
        <f aca="false">+YEAR(F98)</f>
        <v>2026</v>
      </c>
      <c r="N98" s="29" t="n">
        <v>2025</v>
      </c>
      <c r="O98" s="29" t="n">
        <v>12</v>
      </c>
      <c r="P98" s="29" t="str">
        <f aca="false">+CONCATENATE(Tabla[[#This Row],[MES CAMPAÑA]],"/",Tabla[[#This Row],[AÑO CAMPAÑA]])</f>
        <v>12/2025</v>
      </c>
      <c r="Q98" s="29" t="s">
        <v>161</v>
      </c>
      <c r="R98" s="29" t="s">
        <v>74</v>
      </c>
      <c r="S98" s="34" t="n">
        <v>0</v>
      </c>
      <c r="T98" s="34" t="n">
        <v>775000</v>
      </c>
      <c r="U98" s="34" t="n">
        <v>147250</v>
      </c>
      <c r="V98" s="29"/>
      <c r="W98" s="35" t="n">
        <v>922250</v>
      </c>
      <c r="X98" s="36"/>
      <c r="Y98" s="37"/>
      <c r="Z98" s="37"/>
      <c r="AA98" s="37"/>
      <c r="AB98" s="38" t="n">
        <f aca="false">+W98-AC98</f>
        <v>922250</v>
      </c>
      <c r="AC98" s="34" t="n">
        <f aca="false">+Tabla[[#This Row],[P4]]+Tabla[[#This Row],[P3]]+Tabla[[#This Row],[P2]]+Tabla[[#This Row],[P1]]</f>
        <v>0</v>
      </c>
      <c r="AD98" s="34" t="n">
        <f aca="false">+W98-AC98</f>
        <v>922250</v>
      </c>
      <c r="AE98" s="21" t="str">
        <f aca="false">IF(AB98&lt;1,"PAGADA","PENDIENTE")</f>
        <v>PENDIENTE</v>
      </c>
      <c r="AF98" s="21"/>
      <c r="AG98" s="29"/>
      <c r="AH98" s="40"/>
      <c r="AI98" s="40" t="n">
        <f aca="false">+IF(Tabla[[#This Row],[FECHA PAGO / ABONO]]&lt;1,0,(MONTH(Tabla[[#This Row],[FECHA PAGO / ABONO]])))</f>
        <v>0</v>
      </c>
      <c r="AJ98" s="40" t="n">
        <f aca="false">+IF(Tabla[[#This Row],[FECHA PAGO / ABONO]]&lt;1,0,(YEAR(Tabla[[#This Row],[FECHA PAGO / ABONO]])))</f>
        <v>0</v>
      </c>
      <c r="AK98" s="41"/>
    </row>
    <row r="99" customFormat="false" ht="14.25" hidden="false" customHeight="false" outlineLevel="0" collapsed="false">
      <c r="A99" s="28" t="s">
        <v>162</v>
      </c>
      <c r="B99" s="29" t="s">
        <v>163</v>
      </c>
      <c r="C99" s="29" t="s">
        <v>69</v>
      </c>
      <c r="D99" s="21" t="n">
        <v>12999</v>
      </c>
      <c r="E99" s="21" t="str">
        <f aca="false">+CONCATENATE(Tabla[[#This Row],[RUT]],Tabla[[#This Row],[PROVEEDOR]],Tabla[[#This Row],[FACTURA]])</f>
        <v>76808030-5MEDIASTREAM SPA12999</v>
      </c>
      <c r="F99" s="30" t="n">
        <v>46042</v>
      </c>
      <c r="G99" s="31" t="n">
        <f aca="false">+F99+30</f>
        <v>46072</v>
      </c>
      <c r="H99" s="29" t="n">
        <f aca="true">+IF(AE99="PAGADA",0,TODAY()-G99)</f>
        <v>132</v>
      </c>
      <c r="I99" s="29" t="str">
        <f aca="false">+IF(H99&gt;180,"Atrasada",IF(H99&gt;150,"150 dias",IF(H99&gt;120,"120 dias",IF(H99&gt;90,"90 dias",IF(H99&gt;60,"60 dias",IF(H99&gt;30,"30 dias","Al Día"))))))</f>
        <v>120 dias</v>
      </c>
      <c r="J99" s="32" t="s">
        <v>80</v>
      </c>
      <c r="K99" s="29" t="s">
        <v>81</v>
      </c>
      <c r="L99" s="33" t="s">
        <v>72</v>
      </c>
      <c r="M99" s="29" t="n">
        <f aca="false">+YEAR(F99)</f>
        <v>2026</v>
      </c>
      <c r="N99" s="29" t="n">
        <v>2025</v>
      </c>
      <c r="O99" s="29" t="n">
        <v>12</v>
      </c>
      <c r="P99" s="29" t="str">
        <f aca="false">+CONCATENATE(Tabla[[#This Row],[MES CAMPAÑA]],"/",Tabla[[#This Row],[AÑO CAMPAÑA]])</f>
        <v>12/2025</v>
      </c>
      <c r="Q99" s="29" t="s">
        <v>82</v>
      </c>
      <c r="R99" s="29" t="s">
        <v>74</v>
      </c>
      <c r="S99" s="34" t="n">
        <v>0</v>
      </c>
      <c r="T99" s="34" t="n">
        <v>1657059</v>
      </c>
      <c r="U99" s="34" t="n">
        <v>314841</v>
      </c>
      <c r="V99" s="29"/>
      <c r="W99" s="35" t="n">
        <v>1971900</v>
      </c>
      <c r="X99" s="36"/>
      <c r="Y99" s="37"/>
      <c r="Z99" s="37"/>
      <c r="AA99" s="37"/>
      <c r="AB99" s="38" t="n">
        <f aca="false">+W99-AC99</f>
        <v>1971900</v>
      </c>
      <c r="AC99" s="34" t="n">
        <f aca="false">+Tabla[[#This Row],[P4]]+Tabla[[#This Row],[P3]]+Tabla[[#This Row],[P2]]+Tabla[[#This Row],[P1]]</f>
        <v>0</v>
      </c>
      <c r="AD99" s="34" t="n">
        <f aca="false">+W99-AC99</f>
        <v>1971900</v>
      </c>
      <c r="AE99" s="21" t="str">
        <f aca="false">IF(AB99&lt;1,"PAGADA","PENDIENTE")</f>
        <v>PENDIENTE</v>
      </c>
      <c r="AF99" s="21"/>
      <c r="AG99" s="29"/>
      <c r="AH99" s="40"/>
      <c r="AI99" s="40" t="n">
        <f aca="false">+IF(Tabla[[#This Row],[FECHA PAGO / ABONO]]&lt;1,0,(MONTH(Tabla[[#This Row],[FECHA PAGO / ABONO]])))</f>
        <v>0</v>
      </c>
      <c r="AJ99" s="40" t="n">
        <f aca="false">+IF(Tabla[[#This Row],[FECHA PAGO / ABONO]]&lt;1,0,(YEAR(Tabla[[#This Row],[FECHA PAGO / ABONO]])))</f>
        <v>0</v>
      </c>
      <c r="AK99" s="41"/>
    </row>
    <row r="100" customFormat="false" ht="14.25" hidden="false" customHeight="false" outlineLevel="0" collapsed="false">
      <c r="A100" s="28" t="s">
        <v>164</v>
      </c>
      <c r="B100" s="29" t="s">
        <v>165</v>
      </c>
      <c r="C100" s="29" t="s">
        <v>69</v>
      </c>
      <c r="D100" s="21" t="n">
        <v>40</v>
      </c>
      <c r="E100" s="21" t="str">
        <f aca="false">+CONCATENATE(Tabla[[#This Row],[RUT]],Tabla[[#This Row],[PROVEEDOR]],Tabla[[#This Row],[FACTURA]])</f>
        <v>77983786-6COMUNICACIONES HDR SPA40</v>
      </c>
      <c r="F100" s="30" t="n">
        <v>46042</v>
      </c>
      <c r="G100" s="31" t="n">
        <f aca="false">+F100+30</f>
        <v>46072</v>
      </c>
      <c r="H100" s="29" t="n">
        <f aca="true">+IF(AE100="PAGADA",0,TODAY()-G100)</f>
        <v>0</v>
      </c>
      <c r="I100" s="29" t="str">
        <f aca="false">+IF(H100&gt;180,"Atrasada",IF(H100&gt;150,"150 dias",IF(H100&gt;120,"120 dias",IF(H100&gt;90,"90 dias",IF(H100&gt;60,"60 dias",IF(H100&gt;30,"30 dias","Al Día"))))))</f>
        <v>Al Día</v>
      </c>
      <c r="J100" s="32" t="s">
        <v>80</v>
      </c>
      <c r="K100" s="29" t="s">
        <v>81</v>
      </c>
      <c r="L100" s="33" t="s">
        <v>72</v>
      </c>
      <c r="M100" s="29" t="n">
        <f aca="false">+YEAR(F100)</f>
        <v>2026</v>
      </c>
      <c r="N100" s="29" t="n">
        <v>2025</v>
      </c>
      <c r="O100" s="29" t="n">
        <v>12</v>
      </c>
      <c r="P100" s="29" t="str">
        <f aca="false">+CONCATENATE(Tabla[[#This Row],[MES CAMPAÑA]],"/",Tabla[[#This Row],[AÑO CAMPAÑA]])</f>
        <v>12/2025</v>
      </c>
      <c r="Q100" s="29" t="s">
        <v>108</v>
      </c>
      <c r="R100" s="29" t="s">
        <v>74</v>
      </c>
      <c r="S100" s="34" t="n">
        <v>0</v>
      </c>
      <c r="T100" s="34" t="n">
        <v>650000</v>
      </c>
      <c r="U100" s="34" t="n">
        <v>123500</v>
      </c>
      <c r="V100" s="29"/>
      <c r="W100" s="35" t="n">
        <v>773500</v>
      </c>
      <c r="X100" s="36" t="n">
        <f aca="false">+Tabla[[#This Row],[TOTAL]]</f>
        <v>773500</v>
      </c>
      <c r="Y100" s="37"/>
      <c r="Z100" s="37"/>
      <c r="AA100" s="37"/>
      <c r="AB100" s="38" t="n">
        <f aca="false">+W100-AC100</f>
        <v>0</v>
      </c>
      <c r="AC100" s="34" t="n">
        <f aca="false">+Tabla[[#This Row],[P4]]+Tabla[[#This Row],[P3]]+Tabla[[#This Row],[P2]]+Tabla[[#This Row],[P1]]</f>
        <v>773500</v>
      </c>
      <c r="AD100" s="34" t="n">
        <f aca="false">+W100-AC100</f>
        <v>0</v>
      </c>
      <c r="AE100" s="21" t="str">
        <f aca="false">IF(AB100&lt;1,"PAGADA","PENDIENTE")</f>
        <v>PAGADA</v>
      </c>
      <c r="AF100" s="21"/>
      <c r="AG100" s="29" t="s">
        <v>77</v>
      </c>
      <c r="AH100" s="39" t="n">
        <v>46097</v>
      </c>
      <c r="AI100" s="40" t="n">
        <f aca="false">+IF(Tabla[[#This Row],[FECHA PAGO / ABONO]]&lt;1,0,(MONTH(Tabla[[#This Row],[FECHA PAGO / ABONO]])))</f>
        <v>3</v>
      </c>
      <c r="AJ100" s="40" t="n">
        <f aca="false">+IF(Tabla[[#This Row],[FECHA PAGO / ABONO]]&lt;1,0,(YEAR(Tabla[[#This Row],[FECHA PAGO / ABONO]])))</f>
        <v>2026</v>
      </c>
      <c r="AK100" s="41"/>
    </row>
    <row r="101" customFormat="false" ht="14.25" hidden="false" customHeight="false" outlineLevel="0" collapsed="false">
      <c r="A101" s="28" t="s">
        <v>166</v>
      </c>
      <c r="B101" s="29" t="s">
        <v>167</v>
      </c>
      <c r="C101" s="29" t="s">
        <v>69</v>
      </c>
      <c r="D101" s="21" t="n">
        <v>1155</v>
      </c>
      <c r="E101" s="21" t="str">
        <f aca="false">+CONCATENATE(Tabla[[#This Row],[RUT]],Tabla[[#This Row],[PROVEEDOR]],Tabla[[#This Row],[FACTURA]])</f>
        <v>76564873-4SERVICIOS DE PRODUCCIÃ“N CRISTIAN MARCELO LABBÃ‰ VENEGAS E.I.R.L.1155</v>
      </c>
      <c r="F101" s="30" t="n">
        <v>46042</v>
      </c>
      <c r="G101" s="31" t="n">
        <f aca="false">+F101+30</f>
        <v>46072</v>
      </c>
      <c r="H101" s="29" t="n">
        <f aca="true">+IF(AE101="PAGADA",0,TODAY()-G101)</f>
        <v>0</v>
      </c>
      <c r="I101" s="29" t="str">
        <f aca="false">+IF(H101&gt;180,"Atrasada",IF(H101&gt;150,"150 dias",IF(H101&gt;120,"120 dias",IF(H101&gt;90,"90 dias",IF(H101&gt;60,"60 dias",IF(H101&gt;30,"30 dias","Al Día"))))))</f>
        <v>Al Día</v>
      </c>
      <c r="J101" s="32" t="s">
        <v>80</v>
      </c>
      <c r="K101" s="29" t="s">
        <v>81</v>
      </c>
      <c r="L101" s="33" t="s">
        <v>72</v>
      </c>
      <c r="M101" s="29" t="n">
        <f aca="false">+YEAR(F101)</f>
        <v>2026</v>
      </c>
      <c r="N101" s="29" t="n">
        <v>2025</v>
      </c>
      <c r="O101" s="29" t="n">
        <v>12</v>
      </c>
      <c r="P101" s="29" t="str">
        <f aca="false">+CONCATENATE(Tabla[[#This Row],[MES CAMPAÑA]],"/",Tabla[[#This Row],[AÑO CAMPAÑA]])</f>
        <v>12/2025</v>
      </c>
      <c r="Q101" s="29" t="s">
        <v>108</v>
      </c>
      <c r="R101" s="29" t="s">
        <v>74</v>
      </c>
      <c r="S101" s="34" t="n">
        <v>0</v>
      </c>
      <c r="T101" s="34" t="n">
        <v>607200</v>
      </c>
      <c r="U101" s="34" t="n">
        <v>115368</v>
      </c>
      <c r="V101" s="29"/>
      <c r="W101" s="35" t="n">
        <v>722568</v>
      </c>
      <c r="X101" s="36" t="n">
        <f aca="false">+Tabla[[#This Row],[TOTAL]]</f>
        <v>722568</v>
      </c>
      <c r="Y101" s="37"/>
      <c r="Z101" s="37"/>
      <c r="AA101" s="37"/>
      <c r="AB101" s="38" t="n">
        <f aca="false">+W101-AC101</f>
        <v>0</v>
      </c>
      <c r="AC101" s="34" t="n">
        <f aca="false">+Tabla[[#This Row],[P4]]+Tabla[[#This Row],[P3]]+Tabla[[#This Row],[P2]]+Tabla[[#This Row],[P1]]</f>
        <v>722568</v>
      </c>
      <c r="AD101" s="34" t="n">
        <f aca="false">+W101-AC101</f>
        <v>0</v>
      </c>
      <c r="AE101" s="21" t="str">
        <f aca="false">IF(AB101&lt;1,"PAGADA","PENDIENTE")</f>
        <v>PAGADA</v>
      </c>
      <c r="AF101" s="21"/>
      <c r="AG101" s="29" t="s">
        <v>77</v>
      </c>
      <c r="AH101" s="39" t="n">
        <v>46087</v>
      </c>
      <c r="AI101" s="40" t="n">
        <f aca="false">+IF(Tabla[[#This Row],[FECHA PAGO / ABONO]]&lt;1,0,(MONTH(Tabla[[#This Row],[FECHA PAGO / ABONO]])))</f>
        <v>3</v>
      </c>
      <c r="AJ101" s="40" t="n">
        <f aca="false">+IF(Tabla[[#This Row],[FECHA PAGO / ABONO]]&lt;1,0,(YEAR(Tabla[[#This Row],[FECHA PAGO / ABONO]])))</f>
        <v>2026</v>
      </c>
      <c r="AK101" s="41"/>
    </row>
    <row r="102" customFormat="false" ht="14.25" hidden="false" customHeight="false" outlineLevel="0" collapsed="false">
      <c r="A102" s="28" t="s">
        <v>166</v>
      </c>
      <c r="B102" s="29" t="s">
        <v>167</v>
      </c>
      <c r="C102" s="29" t="s">
        <v>69</v>
      </c>
      <c r="D102" s="21" t="n">
        <v>1156</v>
      </c>
      <c r="E102" s="21" t="str">
        <f aca="false">+CONCATENATE(Tabla[[#This Row],[RUT]],Tabla[[#This Row],[PROVEEDOR]],Tabla[[#This Row],[FACTURA]])</f>
        <v>76564873-4SERVICIOS DE PRODUCCIÃ“N CRISTIAN MARCELO LABBÃ‰ VENEGAS E.I.R.L.1156</v>
      </c>
      <c r="F102" s="30" t="n">
        <v>46042</v>
      </c>
      <c r="G102" s="31" t="n">
        <f aca="false">+F102+30</f>
        <v>46072</v>
      </c>
      <c r="H102" s="29" t="n">
        <f aca="true">+IF(AE102="PAGADA",0,TODAY()-G102)</f>
        <v>0</v>
      </c>
      <c r="I102" s="29" t="str">
        <f aca="false">+IF(H102&gt;180,"Atrasada",IF(H102&gt;150,"150 dias",IF(H102&gt;120,"120 dias",IF(H102&gt;90,"90 dias",IF(H102&gt;60,"60 dias",IF(H102&gt;30,"30 dias","Al Día"))))))</f>
        <v>Al Día</v>
      </c>
      <c r="J102" s="32" t="s">
        <v>80</v>
      </c>
      <c r="K102" s="29" t="s">
        <v>81</v>
      </c>
      <c r="L102" s="33" t="s">
        <v>72</v>
      </c>
      <c r="M102" s="29" t="n">
        <f aca="false">+YEAR(F102)</f>
        <v>2026</v>
      </c>
      <c r="N102" s="29" t="n">
        <v>2025</v>
      </c>
      <c r="O102" s="29" t="n">
        <v>12</v>
      </c>
      <c r="P102" s="29" t="str">
        <f aca="false">+CONCATENATE(Tabla[[#This Row],[MES CAMPAÑA]],"/",Tabla[[#This Row],[AÑO CAMPAÑA]])</f>
        <v>12/2025</v>
      </c>
      <c r="Q102" s="29" t="s">
        <v>108</v>
      </c>
      <c r="R102" s="29" t="s">
        <v>74</v>
      </c>
      <c r="S102" s="34" t="n">
        <v>0</v>
      </c>
      <c r="T102" s="34" t="n">
        <v>1500000</v>
      </c>
      <c r="U102" s="34" t="n">
        <v>285000</v>
      </c>
      <c r="V102" s="29"/>
      <c r="W102" s="35" t="n">
        <v>1785000</v>
      </c>
      <c r="X102" s="36" t="n">
        <f aca="false">+Tabla[[#This Row],[TOTAL]]</f>
        <v>1785000</v>
      </c>
      <c r="Y102" s="37"/>
      <c r="Z102" s="37"/>
      <c r="AA102" s="37"/>
      <c r="AB102" s="38" t="n">
        <f aca="false">+W102-AC102</f>
        <v>0</v>
      </c>
      <c r="AC102" s="34" t="n">
        <f aca="false">+Tabla[[#This Row],[P4]]+Tabla[[#This Row],[P3]]+Tabla[[#This Row],[P2]]+Tabla[[#This Row],[P1]]</f>
        <v>1785000</v>
      </c>
      <c r="AD102" s="34" t="n">
        <f aca="false">+W102-AC102</f>
        <v>0</v>
      </c>
      <c r="AE102" s="21" t="str">
        <f aca="false">IF(AB102&lt;1,"PAGADA","PENDIENTE")</f>
        <v>PAGADA</v>
      </c>
      <c r="AF102" s="21"/>
      <c r="AG102" s="29" t="s">
        <v>77</v>
      </c>
      <c r="AH102" s="39" t="n">
        <v>46087</v>
      </c>
      <c r="AI102" s="40" t="n">
        <f aca="false">+IF(Tabla[[#This Row],[FECHA PAGO / ABONO]]&lt;1,0,(MONTH(Tabla[[#This Row],[FECHA PAGO / ABONO]])))</f>
        <v>3</v>
      </c>
      <c r="AJ102" s="40" t="n">
        <f aca="false">+IF(Tabla[[#This Row],[FECHA PAGO / ABONO]]&lt;1,0,(YEAR(Tabla[[#This Row],[FECHA PAGO / ABONO]])))</f>
        <v>2026</v>
      </c>
      <c r="AK102" s="41"/>
    </row>
    <row r="103" customFormat="false" ht="14.25" hidden="false" customHeight="false" outlineLevel="0" collapsed="false">
      <c r="A103" s="28" t="s">
        <v>162</v>
      </c>
      <c r="B103" s="29" t="s">
        <v>163</v>
      </c>
      <c r="C103" s="29" t="s">
        <v>69</v>
      </c>
      <c r="D103" s="21" t="n">
        <v>13000</v>
      </c>
      <c r="E103" s="21" t="str">
        <f aca="false">+CONCATENATE(Tabla[[#This Row],[RUT]],Tabla[[#This Row],[PROVEEDOR]],Tabla[[#This Row],[FACTURA]])</f>
        <v>76808030-5MEDIASTREAM SPA13000</v>
      </c>
      <c r="F103" s="30" t="n">
        <v>46042</v>
      </c>
      <c r="G103" s="31" t="n">
        <f aca="false">+F103+30</f>
        <v>46072</v>
      </c>
      <c r="H103" s="29" t="n">
        <f aca="true">+IF(AE103="PAGADA",0,TODAY()-G103)</f>
        <v>132</v>
      </c>
      <c r="I103" s="29" t="str">
        <f aca="false">+IF(H103&gt;180,"Atrasada",IF(H103&gt;150,"150 dias",IF(H103&gt;120,"120 dias",IF(H103&gt;90,"90 dias",IF(H103&gt;60,"60 dias",IF(H103&gt;30,"30 dias","Al Día"))))))</f>
        <v>120 dias</v>
      </c>
      <c r="J103" s="32" t="s">
        <v>80</v>
      </c>
      <c r="K103" s="29" t="s">
        <v>81</v>
      </c>
      <c r="L103" s="33" t="s">
        <v>72</v>
      </c>
      <c r="M103" s="29" t="n">
        <f aca="false">+YEAR(F103)</f>
        <v>2026</v>
      </c>
      <c r="N103" s="29" t="n">
        <v>2025</v>
      </c>
      <c r="O103" s="29" t="n">
        <v>12</v>
      </c>
      <c r="P103" s="29" t="str">
        <f aca="false">+CONCATENATE(Tabla[[#This Row],[MES CAMPAÑA]],"/",Tabla[[#This Row],[AÑO CAMPAÑA]])</f>
        <v>12/2025</v>
      </c>
      <c r="Q103" s="29" t="s">
        <v>168</v>
      </c>
      <c r="R103" s="29" t="s">
        <v>74</v>
      </c>
      <c r="S103" s="34" t="n">
        <v>0</v>
      </c>
      <c r="T103" s="34" t="n">
        <v>2000000</v>
      </c>
      <c r="U103" s="34" t="n">
        <v>380000</v>
      </c>
      <c r="V103" s="29"/>
      <c r="W103" s="35" t="n">
        <v>2380000</v>
      </c>
      <c r="X103" s="36"/>
      <c r="Y103" s="37"/>
      <c r="Z103" s="37"/>
      <c r="AA103" s="37"/>
      <c r="AB103" s="38" t="n">
        <f aca="false">+W103-AC103</f>
        <v>2380000</v>
      </c>
      <c r="AC103" s="34" t="n">
        <f aca="false">+Tabla[[#This Row],[P4]]+Tabla[[#This Row],[P3]]+Tabla[[#This Row],[P2]]+Tabla[[#This Row],[P1]]</f>
        <v>0</v>
      </c>
      <c r="AD103" s="34" t="n">
        <f aca="false">+W103-AC103</f>
        <v>2380000</v>
      </c>
      <c r="AE103" s="21" t="str">
        <f aca="false">IF(AB103&lt;1,"PAGADA","PENDIENTE")</f>
        <v>PENDIENTE</v>
      </c>
      <c r="AF103" s="21"/>
      <c r="AG103" s="29"/>
      <c r="AH103" s="40"/>
      <c r="AI103" s="40" t="n">
        <f aca="false">+IF(Tabla[[#This Row],[FECHA PAGO / ABONO]]&lt;1,0,(MONTH(Tabla[[#This Row],[FECHA PAGO / ABONO]])))</f>
        <v>0</v>
      </c>
      <c r="AJ103" s="40" t="n">
        <f aca="false">+IF(Tabla[[#This Row],[FECHA PAGO / ABONO]]&lt;1,0,(YEAR(Tabla[[#This Row],[FECHA PAGO / ABONO]])))</f>
        <v>0</v>
      </c>
      <c r="AK103" s="41"/>
    </row>
    <row r="104" customFormat="false" ht="14.25" hidden="false" customHeight="false" outlineLevel="0" collapsed="false">
      <c r="A104" s="28" t="s">
        <v>169</v>
      </c>
      <c r="B104" s="29" t="s">
        <v>170</v>
      </c>
      <c r="C104" s="29" t="s">
        <v>69</v>
      </c>
      <c r="D104" s="21" t="n">
        <v>32872</v>
      </c>
      <c r="E104" s="21" t="str">
        <f aca="false">+CONCATENATE(Tabla[[#This Row],[RUT]],Tabla[[#This Row],[PROVEEDOR]],Tabla[[#This Row],[FACTURA]])</f>
        <v>78319760-KSOC. RADIO DIFUSORA F.M 102 LTDA.32872</v>
      </c>
      <c r="F104" s="30" t="n">
        <v>46042</v>
      </c>
      <c r="G104" s="31" t="n">
        <f aca="false">+F104+30</f>
        <v>46072</v>
      </c>
      <c r="H104" s="29" t="n">
        <f aca="true">+IF(AE104="PAGADA",0,TODAY()-G104)</f>
        <v>132</v>
      </c>
      <c r="I104" s="29" t="str">
        <f aca="false">+IF(H104&gt;180,"Atrasada",IF(H104&gt;150,"150 dias",IF(H104&gt;120,"120 dias",IF(H104&gt;90,"90 dias",IF(H104&gt;60,"60 dias",IF(H104&gt;30,"30 dias","Al Día"))))))</f>
        <v>120 dias</v>
      </c>
      <c r="J104" s="32" t="s">
        <v>80</v>
      </c>
      <c r="K104" s="29" t="s">
        <v>81</v>
      </c>
      <c r="L104" s="33" t="s">
        <v>72</v>
      </c>
      <c r="M104" s="29" t="n">
        <f aca="false">+YEAR(F104)</f>
        <v>2026</v>
      </c>
      <c r="N104" s="29" t="n">
        <v>2025</v>
      </c>
      <c r="O104" s="29" t="n">
        <v>12</v>
      </c>
      <c r="P104" s="29" t="str">
        <f aca="false">+CONCATENATE(Tabla[[#This Row],[MES CAMPAÑA]],"/",Tabla[[#This Row],[AÑO CAMPAÑA]])</f>
        <v>12/2025</v>
      </c>
      <c r="Q104" s="29" t="s">
        <v>105</v>
      </c>
      <c r="R104" s="29" t="s">
        <v>74</v>
      </c>
      <c r="S104" s="34" t="n">
        <v>0</v>
      </c>
      <c r="T104" s="34" t="n">
        <v>427380</v>
      </c>
      <c r="U104" s="34" t="n">
        <v>81202</v>
      </c>
      <c r="V104" s="29"/>
      <c r="W104" s="35" t="n">
        <v>508582</v>
      </c>
      <c r="X104" s="36"/>
      <c r="Y104" s="37"/>
      <c r="Z104" s="37"/>
      <c r="AA104" s="37"/>
      <c r="AB104" s="38" t="n">
        <f aca="false">+W104-AC104</f>
        <v>508582</v>
      </c>
      <c r="AC104" s="34" t="n">
        <f aca="false">+Tabla[[#This Row],[P4]]+Tabla[[#This Row],[P3]]+Tabla[[#This Row],[P2]]+Tabla[[#This Row],[P1]]</f>
        <v>0</v>
      </c>
      <c r="AD104" s="34" t="n">
        <f aca="false">+W104-AC104</f>
        <v>508582</v>
      </c>
      <c r="AE104" s="21" t="str">
        <f aca="false">IF(AB104&lt;1,"PAGADA","PENDIENTE")</f>
        <v>PENDIENTE</v>
      </c>
      <c r="AF104" s="21"/>
      <c r="AG104" s="29"/>
      <c r="AH104" s="40"/>
      <c r="AI104" s="40" t="n">
        <f aca="false">+IF(Tabla[[#This Row],[FECHA PAGO / ABONO]]&lt;1,0,(MONTH(Tabla[[#This Row],[FECHA PAGO / ABONO]])))</f>
        <v>0</v>
      </c>
      <c r="AJ104" s="40" t="n">
        <f aca="false">+IF(Tabla[[#This Row],[FECHA PAGO / ABONO]]&lt;1,0,(YEAR(Tabla[[#This Row],[FECHA PAGO / ABONO]])))</f>
        <v>0</v>
      </c>
      <c r="AK104" s="41"/>
    </row>
    <row r="105" customFormat="false" ht="14.25" hidden="false" customHeight="false" outlineLevel="0" collapsed="false">
      <c r="A105" s="28" t="s">
        <v>78</v>
      </c>
      <c r="B105" s="29" t="s">
        <v>79</v>
      </c>
      <c r="C105" s="29" t="s">
        <v>69</v>
      </c>
      <c r="D105" s="21" t="n">
        <v>108071</v>
      </c>
      <c r="E105" s="21" t="str">
        <f aca="false">+CONCATENATE(Tabla[[#This Row],[RUT]],Tabla[[#This Row],[PROVEEDOR]],Tabla[[#This Row],[FACTURA]])</f>
        <v>96516560-6BIO BIO COMUNICACIONES S.A.108071</v>
      </c>
      <c r="F105" s="30" t="n">
        <v>46042</v>
      </c>
      <c r="G105" s="31" t="n">
        <f aca="false">+F105+30</f>
        <v>46072</v>
      </c>
      <c r="H105" s="29" t="n">
        <f aca="true">+IF(AE105="PAGADA",0,TODAY()-G105)</f>
        <v>132</v>
      </c>
      <c r="I105" s="29" t="str">
        <f aca="false">+IF(H105&gt;180,"Atrasada",IF(H105&gt;150,"150 dias",IF(H105&gt;120,"120 dias",IF(H105&gt;90,"90 dias",IF(H105&gt;60,"60 dias",IF(H105&gt;30,"30 dias","Al Día"))))))</f>
        <v>120 dias</v>
      </c>
      <c r="J105" s="32" t="s">
        <v>80</v>
      </c>
      <c r="K105" s="29" t="s">
        <v>81</v>
      </c>
      <c r="L105" s="33" t="s">
        <v>72</v>
      </c>
      <c r="M105" s="29" t="n">
        <f aca="false">+YEAR(F105)</f>
        <v>2026</v>
      </c>
      <c r="N105" s="29" t="n">
        <v>2025</v>
      </c>
      <c r="O105" s="29" t="n">
        <v>12</v>
      </c>
      <c r="P105" s="29" t="str">
        <f aca="false">+CONCATENATE(Tabla[[#This Row],[MES CAMPAÑA]],"/",Tabla[[#This Row],[AÑO CAMPAÑA]])</f>
        <v>12/2025</v>
      </c>
      <c r="Q105" s="29" t="s">
        <v>105</v>
      </c>
      <c r="R105" s="29" t="s">
        <v>74</v>
      </c>
      <c r="S105" s="34" t="n">
        <v>0</v>
      </c>
      <c r="T105" s="34" t="n">
        <v>5460000</v>
      </c>
      <c r="U105" s="34" t="n">
        <v>1037400</v>
      </c>
      <c r="V105" s="29"/>
      <c r="W105" s="35" t="n">
        <v>6497400</v>
      </c>
      <c r="X105" s="36"/>
      <c r="Y105" s="37"/>
      <c r="Z105" s="37"/>
      <c r="AA105" s="37"/>
      <c r="AB105" s="38" t="n">
        <f aca="false">+W105-AC105</f>
        <v>6497400</v>
      </c>
      <c r="AC105" s="34" t="n">
        <f aca="false">+Tabla[[#This Row],[P4]]+Tabla[[#This Row],[P3]]+Tabla[[#This Row],[P2]]+Tabla[[#This Row],[P1]]</f>
        <v>0</v>
      </c>
      <c r="AD105" s="34" t="n">
        <f aca="false">+W105-AC105</f>
        <v>6497400</v>
      </c>
      <c r="AE105" s="21" t="str">
        <f aca="false">IF(AB105&lt;1,"PAGADA","PENDIENTE")</f>
        <v>PENDIENTE</v>
      </c>
      <c r="AF105" s="21"/>
      <c r="AG105" s="29"/>
      <c r="AH105" s="40"/>
      <c r="AI105" s="40" t="n">
        <f aca="false">+IF(Tabla[[#This Row],[FECHA PAGO / ABONO]]&lt;1,0,(MONTH(Tabla[[#This Row],[FECHA PAGO / ABONO]])))</f>
        <v>0</v>
      </c>
      <c r="AJ105" s="40" t="n">
        <f aca="false">+IF(Tabla[[#This Row],[FECHA PAGO / ABONO]]&lt;1,0,(YEAR(Tabla[[#This Row],[FECHA PAGO / ABONO]])))</f>
        <v>0</v>
      </c>
      <c r="AK105" s="41"/>
    </row>
    <row r="106" customFormat="false" ht="14.25" hidden="false" customHeight="false" outlineLevel="0" collapsed="false">
      <c r="A106" s="28" t="s">
        <v>171</v>
      </c>
      <c r="B106" s="29" t="s">
        <v>172</v>
      </c>
      <c r="C106" s="29" t="s">
        <v>69</v>
      </c>
      <c r="D106" s="21" t="n">
        <v>2291</v>
      </c>
      <c r="E106" s="21" t="str">
        <f aca="false">+CONCATENATE(Tabla[[#This Row],[RUT]],Tabla[[#This Row],[PROVEEDOR]],Tabla[[#This Row],[FACTURA]])</f>
        <v>76279899-9COMUNICACIONES BRAVA SOCIEDAD ANONIMA2291</v>
      </c>
      <c r="F106" s="30" t="n">
        <v>46042</v>
      </c>
      <c r="G106" s="31" t="n">
        <f aca="false">+F106+30</f>
        <v>46072</v>
      </c>
      <c r="H106" s="29" t="n">
        <f aca="true">+IF(AE106="PAGADA",0,TODAY()-G106)</f>
        <v>0</v>
      </c>
      <c r="I106" s="29" t="str">
        <f aca="false">+IF(H106&gt;180,"Atrasada",IF(H106&gt;150,"150 dias",IF(H106&gt;120,"120 dias",IF(H106&gt;90,"90 dias",IF(H106&gt;60,"60 dias",IF(H106&gt;30,"30 dias","Al Día"))))))</f>
        <v>Al Día</v>
      </c>
      <c r="J106" s="32" t="s">
        <v>80</v>
      </c>
      <c r="K106" s="29" t="s">
        <v>81</v>
      </c>
      <c r="L106" s="33" t="s">
        <v>72</v>
      </c>
      <c r="M106" s="29" t="n">
        <f aca="false">+YEAR(F106)</f>
        <v>2026</v>
      </c>
      <c r="N106" s="29" t="n">
        <v>2025</v>
      </c>
      <c r="O106" s="29" t="n">
        <v>11</v>
      </c>
      <c r="P106" s="29" t="str">
        <f aca="false">+CONCATENATE(Tabla[[#This Row],[MES CAMPAÑA]],"/",Tabla[[#This Row],[AÑO CAMPAÑA]])</f>
        <v>11/2025</v>
      </c>
      <c r="Q106" s="29" t="s">
        <v>108</v>
      </c>
      <c r="R106" s="29" t="s">
        <v>74</v>
      </c>
      <c r="S106" s="34" t="n">
        <v>0</v>
      </c>
      <c r="T106" s="34" t="n">
        <v>700000</v>
      </c>
      <c r="U106" s="34" t="n">
        <v>133000</v>
      </c>
      <c r="V106" s="29"/>
      <c r="W106" s="35" t="n">
        <v>833000</v>
      </c>
      <c r="X106" s="36" t="n">
        <f aca="false">+Tabla[[#This Row],[TOTAL]]</f>
        <v>833000</v>
      </c>
      <c r="Y106" s="37"/>
      <c r="Z106" s="37"/>
      <c r="AA106" s="37"/>
      <c r="AB106" s="38" t="n">
        <f aca="false">+W106-AC106</f>
        <v>0</v>
      </c>
      <c r="AC106" s="34" t="n">
        <f aca="false">+Tabla[[#This Row],[P4]]+Tabla[[#This Row],[P3]]+Tabla[[#This Row],[P2]]+Tabla[[#This Row],[P1]]</f>
        <v>833000</v>
      </c>
      <c r="AD106" s="34" t="n">
        <f aca="false">+W106-AC106</f>
        <v>0</v>
      </c>
      <c r="AE106" s="21" t="str">
        <f aca="false">IF(AB106&lt;1,"PAGADA","PENDIENTE")</f>
        <v>PAGADA</v>
      </c>
      <c r="AF106" s="21"/>
      <c r="AG106" s="29" t="s">
        <v>77</v>
      </c>
      <c r="AH106" s="39" t="n">
        <v>46080</v>
      </c>
      <c r="AI106" s="40" t="n">
        <f aca="false">+IF(Tabla[[#This Row],[FECHA PAGO / ABONO]]&lt;1,0,(MONTH(Tabla[[#This Row],[FECHA PAGO / ABONO]])))</f>
        <v>2</v>
      </c>
      <c r="AJ106" s="40" t="n">
        <f aca="false">+IF(Tabla[[#This Row],[FECHA PAGO / ABONO]]&lt;1,0,(YEAR(Tabla[[#This Row],[FECHA PAGO / ABONO]])))</f>
        <v>2026</v>
      </c>
      <c r="AK106" s="41"/>
    </row>
    <row r="107" customFormat="false" ht="14.25" hidden="false" customHeight="false" outlineLevel="0" collapsed="false">
      <c r="A107" s="28" t="s">
        <v>171</v>
      </c>
      <c r="B107" s="29" t="s">
        <v>172</v>
      </c>
      <c r="C107" s="29" t="s">
        <v>69</v>
      </c>
      <c r="D107" s="21" t="n">
        <v>2292</v>
      </c>
      <c r="E107" s="21" t="str">
        <f aca="false">+CONCATENATE(Tabla[[#This Row],[RUT]],Tabla[[#This Row],[PROVEEDOR]],Tabla[[#This Row],[FACTURA]])</f>
        <v>76279899-9COMUNICACIONES BRAVA SOCIEDAD ANONIMA2292</v>
      </c>
      <c r="F107" s="30" t="n">
        <v>46042</v>
      </c>
      <c r="G107" s="31" t="n">
        <f aca="false">+F107+30</f>
        <v>46072</v>
      </c>
      <c r="H107" s="29" t="n">
        <f aca="true">+IF(AE107="PAGADA",0,TODAY()-G107)</f>
        <v>0</v>
      </c>
      <c r="I107" s="29" t="str">
        <f aca="false">+IF(H107&gt;180,"Atrasada",IF(H107&gt;150,"150 dias",IF(H107&gt;120,"120 dias",IF(H107&gt;90,"90 dias",IF(H107&gt;60,"60 dias",IF(H107&gt;30,"30 dias","Al Día"))))))</f>
        <v>Al Día</v>
      </c>
      <c r="J107" s="32" t="s">
        <v>80</v>
      </c>
      <c r="K107" s="29" t="s">
        <v>81</v>
      </c>
      <c r="L107" s="33" t="s">
        <v>72</v>
      </c>
      <c r="M107" s="29" t="n">
        <f aca="false">+YEAR(F107)</f>
        <v>2026</v>
      </c>
      <c r="N107" s="29" t="n">
        <v>2025</v>
      </c>
      <c r="O107" s="29" t="n">
        <v>12</v>
      </c>
      <c r="P107" s="29" t="str">
        <f aca="false">+CONCATENATE(Tabla[[#This Row],[MES CAMPAÑA]],"/",Tabla[[#This Row],[AÑO CAMPAÑA]])</f>
        <v>12/2025</v>
      </c>
      <c r="Q107" s="29" t="s">
        <v>108</v>
      </c>
      <c r="R107" s="29" t="s">
        <v>74</v>
      </c>
      <c r="S107" s="34" t="n">
        <v>0</v>
      </c>
      <c r="T107" s="34" t="n">
        <v>700000</v>
      </c>
      <c r="U107" s="34" t="n">
        <v>133000</v>
      </c>
      <c r="V107" s="29"/>
      <c r="W107" s="35" t="n">
        <v>833000</v>
      </c>
      <c r="X107" s="36" t="n">
        <f aca="false">+Tabla[[#This Row],[TOTAL]]</f>
        <v>833000</v>
      </c>
      <c r="Y107" s="37"/>
      <c r="Z107" s="37"/>
      <c r="AA107" s="37"/>
      <c r="AB107" s="38" t="n">
        <f aca="false">+W107-AC107</f>
        <v>0</v>
      </c>
      <c r="AC107" s="34" t="n">
        <f aca="false">+Tabla[[#This Row],[P4]]+Tabla[[#This Row],[P3]]+Tabla[[#This Row],[P2]]+Tabla[[#This Row],[P1]]</f>
        <v>833000</v>
      </c>
      <c r="AD107" s="34" t="n">
        <f aca="false">+W107-AC107</f>
        <v>0</v>
      </c>
      <c r="AE107" s="21" t="str">
        <f aca="false">IF(AB107&lt;1,"PAGADA","PENDIENTE")</f>
        <v>PAGADA</v>
      </c>
      <c r="AF107" s="21"/>
      <c r="AG107" s="29" t="s">
        <v>77</v>
      </c>
      <c r="AH107" s="39" t="n">
        <v>46080</v>
      </c>
      <c r="AI107" s="40" t="n">
        <f aca="false">+IF(Tabla[[#This Row],[FECHA PAGO / ABONO]]&lt;1,0,(MONTH(Tabla[[#This Row],[FECHA PAGO / ABONO]])))</f>
        <v>2</v>
      </c>
      <c r="AJ107" s="40" t="n">
        <f aca="false">+IF(Tabla[[#This Row],[FECHA PAGO / ABONO]]&lt;1,0,(YEAR(Tabla[[#This Row],[FECHA PAGO / ABONO]])))</f>
        <v>2026</v>
      </c>
      <c r="AK107" s="41"/>
    </row>
    <row r="108" customFormat="false" ht="14.25" hidden="false" customHeight="false" outlineLevel="0" collapsed="false">
      <c r="A108" s="28" t="s">
        <v>173</v>
      </c>
      <c r="B108" s="29" t="s">
        <v>174</v>
      </c>
      <c r="C108" s="29" t="s">
        <v>69</v>
      </c>
      <c r="D108" s="21" t="n">
        <v>10732</v>
      </c>
      <c r="E108" s="21" t="str">
        <f aca="false">+CONCATENATE(Tabla[[#This Row],[RUT]],Tabla[[#This Row],[PROVEEDOR]],Tabla[[#This Row],[FACTURA]])</f>
        <v>76454512-5MEDIA 23 SPA.10732</v>
      </c>
      <c r="F108" s="30" t="n">
        <v>46042</v>
      </c>
      <c r="G108" s="31" t="n">
        <f aca="false">+F108+30</f>
        <v>46072</v>
      </c>
      <c r="H108" s="29" t="n">
        <f aca="true">+IF(AE108="PAGADA",0,TODAY()-G108)</f>
        <v>0</v>
      </c>
      <c r="I108" s="29" t="str">
        <f aca="false">+IF(H108&gt;180,"Atrasada",IF(H108&gt;150,"150 dias",IF(H108&gt;120,"120 dias",IF(H108&gt;90,"90 dias",IF(H108&gt;60,"60 dias",IF(H108&gt;30,"30 dias","Al Día"))))))</f>
        <v>Al Día</v>
      </c>
      <c r="J108" s="32" t="s">
        <v>80</v>
      </c>
      <c r="K108" s="29" t="s">
        <v>81</v>
      </c>
      <c r="L108" s="33" t="s">
        <v>72</v>
      </c>
      <c r="M108" s="29" t="n">
        <f aca="false">+YEAR(F108)</f>
        <v>2026</v>
      </c>
      <c r="N108" s="29" t="n">
        <v>2025</v>
      </c>
      <c r="O108" s="29" t="n">
        <v>12</v>
      </c>
      <c r="P108" s="29" t="str">
        <f aca="false">+CONCATENATE(Tabla[[#This Row],[MES CAMPAÑA]],"/",Tabla[[#This Row],[AÑO CAMPAÑA]])</f>
        <v>12/2025</v>
      </c>
      <c r="Q108" s="29" t="s">
        <v>82</v>
      </c>
      <c r="R108" s="29" t="s">
        <v>74</v>
      </c>
      <c r="S108" s="34" t="n">
        <v>0</v>
      </c>
      <c r="T108" s="34" t="n">
        <v>620000</v>
      </c>
      <c r="U108" s="34" t="n">
        <v>117800</v>
      </c>
      <c r="V108" s="29"/>
      <c r="W108" s="35" t="n">
        <v>737800</v>
      </c>
      <c r="X108" s="36" t="n">
        <f aca="false">+Tabla[[#This Row],[TOTAL]]</f>
        <v>737800</v>
      </c>
      <c r="Y108" s="37"/>
      <c r="Z108" s="37"/>
      <c r="AA108" s="37"/>
      <c r="AB108" s="38" t="n">
        <f aca="false">+W108-AC108</f>
        <v>0</v>
      </c>
      <c r="AC108" s="34" t="n">
        <f aca="false">+Tabla[[#This Row],[P4]]+Tabla[[#This Row],[P3]]+Tabla[[#This Row],[P2]]+Tabla[[#This Row],[P1]]</f>
        <v>737800</v>
      </c>
      <c r="AD108" s="34" t="n">
        <f aca="false">+W108-AC108</f>
        <v>0</v>
      </c>
      <c r="AE108" s="21" t="str">
        <f aca="false">IF(AB108&lt;1,"PAGADA","PENDIENTE")</f>
        <v>PAGADA</v>
      </c>
      <c r="AF108" s="21"/>
      <c r="AG108" s="29" t="s">
        <v>77</v>
      </c>
      <c r="AH108" s="39" t="n">
        <v>46058</v>
      </c>
      <c r="AI108" s="40" t="n">
        <f aca="false">+IF(Tabla[[#This Row],[FECHA PAGO / ABONO]]&lt;1,0,(MONTH(Tabla[[#This Row],[FECHA PAGO / ABONO]])))</f>
        <v>2</v>
      </c>
      <c r="AJ108" s="40" t="n">
        <f aca="false">+IF(Tabla[[#This Row],[FECHA PAGO / ABONO]]&lt;1,0,(YEAR(Tabla[[#This Row],[FECHA PAGO / ABONO]])))</f>
        <v>2026</v>
      </c>
      <c r="AK108" s="41"/>
    </row>
    <row r="109" customFormat="false" ht="14.25" hidden="false" customHeight="false" outlineLevel="0" collapsed="false">
      <c r="A109" s="28" t="s">
        <v>175</v>
      </c>
      <c r="B109" s="29" t="s">
        <v>176</v>
      </c>
      <c r="C109" s="29" t="s">
        <v>69</v>
      </c>
      <c r="D109" s="21" t="n">
        <v>2008</v>
      </c>
      <c r="E109" s="21" t="str">
        <f aca="false">+CONCATENATE(Tabla[[#This Row],[RUT]],Tabla[[#This Row],[PROVEEDOR]],Tabla[[#This Row],[FACTURA]])</f>
        <v>77837600-8COMUNICACIONES SAN ANDRES LIMITADA2008</v>
      </c>
      <c r="F109" s="30" t="n">
        <v>46042</v>
      </c>
      <c r="G109" s="31" t="n">
        <f aca="false">+F109+30</f>
        <v>46072</v>
      </c>
      <c r="H109" s="29" t="n">
        <f aca="true">+IF(AE109="PAGADA",0,TODAY()-G109)</f>
        <v>0</v>
      </c>
      <c r="I109" s="29" t="str">
        <f aca="false">+IF(H109&gt;180,"Atrasada",IF(H109&gt;150,"150 dias",IF(H109&gt;120,"120 dias",IF(H109&gt;90,"90 dias",IF(H109&gt;60,"60 dias",IF(H109&gt;30,"30 dias","Al Día"))))))</f>
        <v>Al Día</v>
      </c>
      <c r="J109" s="32" t="s">
        <v>80</v>
      </c>
      <c r="K109" s="29" t="s">
        <v>81</v>
      </c>
      <c r="L109" s="33" t="s">
        <v>72</v>
      </c>
      <c r="M109" s="29" t="n">
        <f aca="false">+YEAR(F109)</f>
        <v>2026</v>
      </c>
      <c r="N109" s="29" t="n">
        <v>2025</v>
      </c>
      <c r="O109" s="29" t="n">
        <v>12</v>
      </c>
      <c r="P109" s="29" t="str">
        <f aca="false">+CONCATENATE(Tabla[[#This Row],[MES CAMPAÑA]],"/",Tabla[[#This Row],[AÑO CAMPAÑA]])</f>
        <v>12/2025</v>
      </c>
      <c r="Q109" s="29" t="s">
        <v>108</v>
      </c>
      <c r="R109" s="29" t="s">
        <v>74</v>
      </c>
      <c r="S109" s="34" t="n">
        <v>0</v>
      </c>
      <c r="T109" s="34" t="n">
        <v>500000</v>
      </c>
      <c r="U109" s="34" t="n">
        <v>95000</v>
      </c>
      <c r="V109" s="29"/>
      <c r="W109" s="35" t="n">
        <v>595000</v>
      </c>
      <c r="X109" s="36" t="n">
        <f aca="false">+Tabla[[#This Row],[TOTAL]]</f>
        <v>595000</v>
      </c>
      <c r="Y109" s="37"/>
      <c r="Z109" s="37"/>
      <c r="AA109" s="37"/>
      <c r="AB109" s="38" t="n">
        <f aca="false">+W109-AC109</f>
        <v>0</v>
      </c>
      <c r="AC109" s="34" t="n">
        <f aca="false">+Tabla[[#This Row],[P4]]+Tabla[[#This Row],[P3]]+Tabla[[#This Row],[P2]]+Tabla[[#This Row],[P1]]</f>
        <v>595000</v>
      </c>
      <c r="AD109" s="34" t="n">
        <f aca="false">+W109-AC109</f>
        <v>0</v>
      </c>
      <c r="AE109" s="21" t="str">
        <f aca="false">IF(AB109&lt;1,"PAGADA","PENDIENTE")</f>
        <v>PAGADA</v>
      </c>
      <c r="AF109" s="21"/>
      <c r="AG109" s="29" t="s">
        <v>77</v>
      </c>
      <c r="AH109" s="39" t="n">
        <v>46066</v>
      </c>
      <c r="AI109" s="40" t="n">
        <f aca="false">+IF(Tabla[[#This Row],[FECHA PAGO / ABONO]]&lt;1,0,(MONTH(Tabla[[#This Row],[FECHA PAGO / ABONO]])))</f>
        <v>2</v>
      </c>
      <c r="AJ109" s="40" t="n">
        <f aca="false">+IF(Tabla[[#This Row],[FECHA PAGO / ABONO]]&lt;1,0,(YEAR(Tabla[[#This Row],[FECHA PAGO / ABONO]])))</f>
        <v>2026</v>
      </c>
      <c r="AK109" s="41"/>
    </row>
    <row r="110" customFormat="false" ht="14.25" hidden="false" customHeight="false" outlineLevel="0" collapsed="false">
      <c r="A110" s="28" t="s">
        <v>177</v>
      </c>
      <c r="B110" s="29" t="s">
        <v>178</v>
      </c>
      <c r="C110" s="29" t="s">
        <v>69</v>
      </c>
      <c r="D110" s="21" t="n">
        <v>37424</v>
      </c>
      <c r="E110" s="21" t="str">
        <f aca="false">+CONCATENATE(Tabla[[#This Row],[RUT]],Tabla[[#This Row],[PROVEEDOR]],Tabla[[#This Row],[FACTURA]])</f>
        <v>84383200-8GLOBAL MEDIA SPA37424</v>
      </c>
      <c r="F110" s="30" t="n">
        <v>46042</v>
      </c>
      <c r="G110" s="31" t="n">
        <f aca="false">+F110+30</f>
        <v>46072</v>
      </c>
      <c r="H110" s="29" t="n">
        <f aca="true">+IF(AE110="PAGADA",0,TODAY()-G110)</f>
        <v>0</v>
      </c>
      <c r="I110" s="29" t="str">
        <f aca="false">+IF(H110&gt;180,"Atrasada",IF(H110&gt;150,"150 dias",IF(H110&gt;120,"120 dias",IF(H110&gt;90,"90 dias",IF(H110&gt;60,"60 dias",IF(H110&gt;30,"30 dias","Al Día"))))))</f>
        <v>Al Día</v>
      </c>
      <c r="J110" s="32" t="s">
        <v>80</v>
      </c>
      <c r="K110" s="29" t="s">
        <v>124</v>
      </c>
      <c r="L110" s="33" t="s">
        <v>72</v>
      </c>
      <c r="M110" s="29" t="n">
        <f aca="false">+YEAR(F110)</f>
        <v>2026</v>
      </c>
      <c r="N110" s="29" t="n">
        <v>2025</v>
      </c>
      <c r="O110" s="29" t="n">
        <v>11</v>
      </c>
      <c r="P110" s="29" t="str">
        <f aca="false">+CONCATENATE(Tabla[[#This Row],[MES CAMPAÑA]],"/",Tabla[[#This Row],[AÑO CAMPAÑA]])</f>
        <v>11/2025</v>
      </c>
      <c r="Q110" s="29" t="s">
        <v>179</v>
      </c>
      <c r="R110" s="29" t="s">
        <v>74</v>
      </c>
      <c r="S110" s="34" t="n">
        <v>0</v>
      </c>
      <c r="T110" s="34" t="n">
        <v>10000000</v>
      </c>
      <c r="U110" s="34" t="n">
        <v>1900000</v>
      </c>
      <c r="V110" s="29"/>
      <c r="W110" s="35" t="n">
        <v>11900000</v>
      </c>
      <c r="X110" s="36" t="n">
        <f aca="false">+Tabla[[#This Row],[TOTAL]]</f>
        <v>11900000</v>
      </c>
      <c r="Y110" s="37"/>
      <c r="Z110" s="37"/>
      <c r="AA110" s="37"/>
      <c r="AB110" s="38" t="n">
        <f aca="false">+W110-AC110</f>
        <v>0</v>
      </c>
      <c r="AC110" s="34" t="n">
        <f aca="false">+Tabla[[#This Row],[P4]]+Tabla[[#This Row],[P3]]+Tabla[[#This Row],[P2]]+Tabla[[#This Row],[P1]]</f>
        <v>11900000</v>
      </c>
      <c r="AD110" s="34" t="n">
        <f aca="false">+W110-AC110</f>
        <v>0</v>
      </c>
      <c r="AE110" s="21" t="str">
        <f aca="false">IF(AB110&lt;1,"PAGADA","PENDIENTE")</f>
        <v>PAGADA</v>
      </c>
      <c r="AF110" s="21"/>
      <c r="AG110" s="29" t="s">
        <v>180</v>
      </c>
      <c r="AH110" s="40"/>
      <c r="AI110" s="40" t="n">
        <f aca="false">+IF(Tabla[[#This Row],[FECHA PAGO / ABONO]]&lt;1,0,(MONTH(Tabla[[#This Row],[FECHA PAGO / ABONO]])))</f>
        <v>0</v>
      </c>
      <c r="AJ110" s="40" t="n">
        <f aca="false">+IF(Tabla[[#This Row],[FECHA PAGO / ABONO]]&lt;1,0,(YEAR(Tabla[[#This Row],[FECHA PAGO / ABONO]])))</f>
        <v>0</v>
      </c>
      <c r="AK110" s="41"/>
    </row>
    <row r="111" customFormat="false" ht="14.25" hidden="false" customHeight="false" outlineLevel="0" collapsed="false">
      <c r="A111" s="28" t="s">
        <v>175</v>
      </c>
      <c r="B111" s="29" t="s">
        <v>176</v>
      </c>
      <c r="C111" s="29" t="s">
        <v>69</v>
      </c>
      <c r="D111" s="21" t="n">
        <v>2009</v>
      </c>
      <c r="E111" s="21" t="str">
        <f aca="false">+CONCATENATE(Tabla[[#This Row],[RUT]],Tabla[[#This Row],[PROVEEDOR]],Tabla[[#This Row],[FACTURA]])</f>
        <v>77837600-8COMUNICACIONES SAN ANDRES LIMITADA2009</v>
      </c>
      <c r="F111" s="30" t="n">
        <v>46042</v>
      </c>
      <c r="G111" s="31" t="n">
        <f aca="false">+F111+30</f>
        <v>46072</v>
      </c>
      <c r="H111" s="29" t="n">
        <f aca="true">+IF(AE111="PAGADA",0,TODAY()-G111)</f>
        <v>0</v>
      </c>
      <c r="I111" s="29" t="str">
        <f aca="false">+IF(H111&gt;180,"Atrasada",IF(H111&gt;150,"150 dias",IF(H111&gt;120,"120 dias",IF(H111&gt;90,"90 dias",IF(H111&gt;60,"60 dias",IF(H111&gt;30,"30 dias","Al Día"))))))</f>
        <v>Al Día</v>
      </c>
      <c r="J111" s="32" t="s">
        <v>80</v>
      </c>
      <c r="K111" s="29" t="s">
        <v>81</v>
      </c>
      <c r="L111" s="33" t="s">
        <v>72</v>
      </c>
      <c r="M111" s="29" t="n">
        <f aca="false">+YEAR(F111)</f>
        <v>2026</v>
      </c>
      <c r="N111" s="29" t="n">
        <v>2025</v>
      </c>
      <c r="O111" s="29" t="n">
        <v>12</v>
      </c>
      <c r="P111" s="29" t="str">
        <f aca="false">+CONCATENATE(Tabla[[#This Row],[MES CAMPAÑA]],"/",Tabla[[#This Row],[AÑO CAMPAÑA]])</f>
        <v>12/2025</v>
      </c>
      <c r="Q111" s="29" t="s">
        <v>108</v>
      </c>
      <c r="R111" s="29" t="s">
        <v>74</v>
      </c>
      <c r="S111" s="34" t="n">
        <v>0</v>
      </c>
      <c r="T111" s="34" t="n">
        <v>499800</v>
      </c>
      <c r="U111" s="34" t="n">
        <v>94962</v>
      </c>
      <c r="V111" s="29"/>
      <c r="W111" s="35" t="n">
        <v>594762</v>
      </c>
      <c r="X111" s="36" t="n">
        <f aca="false">+Tabla[[#This Row],[TOTAL]]</f>
        <v>594762</v>
      </c>
      <c r="Y111" s="37"/>
      <c r="Z111" s="37"/>
      <c r="AA111" s="37"/>
      <c r="AB111" s="38" t="n">
        <f aca="false">+W111-AC111</f>
        <v>0</v>
      </c>
      <c r="AC111" s="34" t="n">
        <f aca="false">+Tabla[[#This Row],[P4]]+Tabla[[#This Row],[P3]]+Tabla[[#This Row],[P2]]+Tabla[[#This Row],[P1]]</f>
        <v>594762</v>
      </c>
      <c r="AD111" s="34" t="n">
        <f aca="false">+W111-AC111</f>
        <v>0</v>
      </c>
      <c r="AE111" s="21" t="str">
        <f aca="false">IF(AB111&lt;1,"PAGADA","PENDIENTE")</f>
        <v>PAGADA</v>
      </c>
      <c r="AF111" s="21"/>
      <c r="AG111" s="29" t="s">
        <v>77</v>
      </c>
      <c r="AH111" s="39" t="n">
        <v>46066</v>
      </c>
      <c r="AI111" s="40" t="n">
        <f aca="false">+IF(Tabla[[#This Row],[FECHA PAGO / ABONO]]&lt;1,0,(MONTH(Tabla[[#This Row],[FECHA PAGO / ABONO]])))</f>
        <v>2</v>
      </c>
      <c r="AJ111" s="40" t="n">
        <f aca="false">+IF(Tabla[[#This Row],[FECHA PAGO / ABONO]]&lt;1,0,(YEAR(Tabla[[#This Row],[FECHA PAGO / ABONO]])))</f>
        <v>2026</v>
      </c>
      <c r="AK111" s="41"/>
    </row>
    <row r="112" customFormat="false" ht="14.25" hidden="false" customHeight="false" outlineLevel="0" collapsed="false">
      <c r="A112" s="28" t="s">
        <v>181</v>
      </c>
      <c r="B112" s="29" t="s">
        <v>182</v>
      </c>
      <c r="C112" s="29" t="s">
        <v>69</v>
      </c>
      <c r="D112" s="21" t="n">
        <v>32449</v>
      </c>
      <c r="E112" s="21" t="str">
        <f aca="false">+CONCATENATE(Tabla[[#This Row],[RUT]],Tabla[[#This Row],[PROVEEDOR]],Tabla[[#This Row],[FACTURA]])</f>
        <v>96810030-0RDF MEDIA SPA32449</v>
      </c>
      <c r="F112" s="30" t="n">
        <v>46042</v>
      </c>
      <c r="G112" s="31" t="n">
        <f aca="false">+F112+30</f>
        <v>46072</v>
      </c>
      <c r="H112" s="29" t="n">
        <f aca="true">+IF(AE112="PAGADA",0,TODAY()-G112)</f>
        <v>0</v>
      </c>
      <c r="I112" s="29" t="str">
        <f aca="false">+IF(H112&gt;180,"Atrasada",IF(H112&gt;150,"150 dias",IF(H112&gt;120,"120 dias",IF(H112&gt;90,"90 dias",IF(H112&gt;60,"60 dias",IF(H112&gt;30,"30 dias","Al Día"))))))</f>
        <v>Al Día</v>
      </c>
      <c r="J112" s="32" t="s">
        <v>80</v>
      </c>
      <c r="K112" s="29" t="s">
        <v>81</v>
      </c>
      <c r="L112" s="33" t="s">
        <v>72</v>
      </c>
      <c r="M112" s="29" t="n">
        <f aca="false">+YEAR(F112)</f>
        <v>2026</v>
      </c>
      <c r="N112" s="29" t="n">
        <v>2025</v>
      </c>
      <c r="O112" s="29" t="n">
        <v>12</v>
      </c>
      <c r="P112" s="29" t="str">
        <f aca="false">+CONCATENATE(Tabla[[#This Row],[MES CAMPAÑA]],"/",Tabla[[#This Row],[AÑO CAMPAÑA]])</f>
        <v>12/2025</v>
      </c>
      <c r="Q112" s="29" t="s">
        <v>111</v>
      </c>
      <c r="R112" s="29" t="s">
        <v>74</v>
      </c>
      <c r="S112" s="34" t="n">
        <v>0</v>
      </c>
      <c r="T112" s="34" t="n">
        <v>5600000</v>
      </c>
      <c r="U112" s="34" t="n">
        <v>1064000</v>
      </c>
      <c r="V112" s="29"/>
      <c r="W112" s="35" t="n">
        <v>6664000</v>
      </c>
      <c r="X112" s="36" t="n">
        <f aca="false">+Tabla[[#This Row],[TOTAL]]</f>
        <v>6664000</v>
      </c>
      <c r="Y112" s="37"/>
      <c r="Z112" s="37"/>
      <c r="AA112" s="37"/>
      <c r="AB112" s="38" t="n">
        <f aca="false">+W112-AC112</f>
        <v>0</v>
      </c>
      <c r="AC112" s="34" t="n">
        <f aca="false">+Tabla[[#This Row],[P4]]+Tabla[[#This Row],[P3]]+Tabla[[#This Row],[P2]]+Tabla[[#This Row],[P1]]</f>
        <v>6664000</v>
      </c>
      <c r="AD112" s="34" t="n">
        <f aca="false">+W112-AC112</f>
        <v>0</v>
      </c>
      <c r="AE112" s="21" t="str">
        <f aca="false">IF(AB112&lt;1,"PAGADA","PENDIENTE")</f>
        <v>PAGADA</v>
      </c>
      <c r="AF112" s="21"/>
      <c r="AG112" s="29" t="s">
        <v>77</v>
      </c>
      <c r="AH112" s="39" t="n">
        <v>46108</v>
      </c>
      <c r="AI112" s="40" t="n">
        <f aca="false">+IF(Tabla[[#This Row],[FECHA PAGO / ABONO]]&lt;1,0,(MONTH(Tabla[[#This Row],[FECHA PAGO / ABONO]])))</f>
        <v>3</v>
      </c>
      <c r="AJ112" s="40" t="n">
        <f aca="false">+IF(Tabla[[#This Row],[FECHA PAGO / ABONO]]&lt;1,0,(YEAR(Tabla[[#This Row],[FECHA PAGO / ABONO]])))</f>
        <v>2026</v>
      </c>
      <c r="AK112" s="41"/>
    </row>
    <row r="113" customFormat="false" ht="14.25" hidden="false" customHeight="false" outlineLevel="0" collapsed="false">
      <c r="A113" s="28" t="s">
        <v>181</v>
      </c>
      <c r="B113" s="29" t="s">
        <v>182</v>
      </c>
      <c r="C113" s="29" t="s">
        <v>69</v>
      </c>
      <c r="D113" s="21" t="n">
        <v>32450</v>
      </c>
      <c r="E113" s="21" t="str">
        <f aca="false">+CONCATENATE(Tabla[[#This Row],[RUT]],Tabla[[#This Row],[PROVEEDOR]],Tabla[[#This Row],[FACTURA]])</f>
        <v>96810030-0RDF MEDIA SPA32450</v>
      </c>
      <c r="F113" s="30" t="n">
        <v>46042</v>
      </c>
      <c r="G113" s="31" t="n">
        <f aca="false">+F113+30</f>
        <v>46072</v>
      </c>
      <c r="H113" s="29" t="n">
        <f aca="true">+IF(AE113="PAGADA",0,TODAY()-G113)</f>
        <v>0</v>
      </c>
      <c r="I113" s="29" t="str">
        <f aca="false">+IF(H113&gt;180,"Atrasada",IF(H113&gt;150,"150 dias",IF(H113&gt;120,"120 dias",IF(H113&gt;90,"90 dias",IF(H113&gt;60,"60 dias",IF(H113&gt;30,"30 dias","Al Día"))))))</f>
        <v>Al Día</v>
      </c>
      <c r="J113" s="32" t="s">
        <v>80</v>
      </c>
      <c r="K113" s="29" t="s">
        <v>81</v>
      </c>
      <c r="L113" s="33" t="s">
        <v>72</v>
      </c>
      <c r="M113" s="29" t="n">
        <f aca="false">+YEAR(F113)</f>
        <v>2026</v>
      </c>
      <c r="N113" s="29" t="n">
        <v>2025</v>
      </c>
      <c r="O113" s="29" t="n">
        <v>12</v>
      </c>
      <c r="P113" s="29" t="str">
        <f aca="false">+CONCATENATE(Tabla[[#This Row],[MES CAMPAÑA]],"/",Tabla[[#This Row],[AÑO CAMPAÑA]])</f>
        <v>12/2025</v>
      </c>
      <c r="Q113" s="29" t="s">
        <v>111</v>
      </c>
      <c r="R113" s="29" t="s">
        <v>74</v>
      </c>
      <c r="S113" s="34" t="n">
        <v>0</v>
      </c>
      <c r="T113" s="34" t="n">
        <v>4200000</v>
      </c>
      <c r="U113" s="34" t="n">
        <v>798000</v>
      </c>
      <c r="V113" s="29"/>
      <c r="W113" s="35" t="n">
        <v>4998000</v>
      </c>
      <c r="X113" s="36" t="n">
        <f aca="false">+Tabla[[#This Row],[TOTAL]]</f>
        <v>4998000</v>
      </c>
      <c r="Y113" s="37"/>
      <c r="Z113" s="37"/>
      <c r="AA113" s="37"/>
      <c r="AB113" s="38" t="n">
        <f aca="false">+W113-AC113</f>
        <v>0</v>
      </c>
      <c r="AC113" s="34" t="n">
        <f aca="false">+Tabla[[#This Row],[P4]]+Tabla[[#This Row],[P3]]+Tabla[[#This Row],[P2]]+Tabla[[#This Row],[P1]]</f>
        <v>4998000</v>
      </c>
      <c r="AD113" s="34" t="n">
        <f aca="false">+W113-AC113</f>
        <v>0</v>
      </c>
      <c r="AE113" s="21" t="str">
        <f aca="false">IF(AB113&lt;1,"PAGADA","PENDIENTE")</f>
        <v>PAGADA</v>
      </c>
      <c r="AF113" s="21"/>
      <c r="AG113" s="29" t="s">
        <v>77</v>
      </c>
      <c r="AH113" s="39" t="n">
        <v>46108</v>
      </c>
      <c r="AI113" s="40" t="n">
        <f aca="false">+IF(Tabla[[#This Row],[FECHA PAGO / ABONO]]&lt;1,0,(MONTH(Tabla[[#This Row],[FECHA PAGO / ABONO]])))</f>
        <v>3</v>
      </c>
      <c r="AJ113" s="40" t="n">
        <f aca="false">+IF(Tabla[[#This Row],[FECHA PAGO / ABONO]]&lt;1,0,(YEAR(Tabla[[#This Row],[FECHA PAGO / ABONO]])))</f>
        <v>2026</v>
      </c>
      <c r="AK113" s="41"/>
    </row>
    <row r="114" customFormat="false" ht="14.25" hidden="false" customHeight="false" outlineLevel="0" collapsed="false">
      <c r="A114" s="28" t="s">
        <v>181</v>
      </c>
      <c r="B114" s="29" t="s">
        <v>182</v>
      </c>
      <c r="C114" s="29" t="s">
        <v>69</v>
      </c>
      <c r="D114" s="21" t="n">
        <v>32451</v>
      </c>
      <c r="E114" s="21" t="str">
        <f aca="false">+CONCATENATE(Tabla[[#This Row],[RUT]],Tabla[[#This Row],[PROVEEDOR]],Tabla[[#This Row],[FACTURA]])</f>
        <v>96810030-0RDF MEDIA SPA32451</v>
      </c>
      <c r="F114" s="30" t="n">
        <v>46042</v>
      </c>
      <c r="G114" s="31" t="n">
        <f aca="false">+F114+30</f>
        <v>46072</v>
      </c>
      <c r="H114" s="29" t="n">
        <f aca="true">+IF(AE114="PAGADA",0,TODAY()-G114)</f>
        <v>0</v>
      </c>
      <c r="I114" s="29" t="str">
        <f aca="false">+IF(H114&gt;180,"Atrasada",IF(H114&gt;150,"150 dias",IF(H114&gt;120,"120 dias",IF(H114&gt;90,"90 dias",IF(H114&gt;60,"60 dias",IF(H114&gt;30,"30 dias","Al Día"))))))</f>
        <v>Al Día</v>
      </c>
      <c r="J114" s="32" t="s">
        <v>80</v>
      </c>
      <c r="K114" s="29" t="s">
        <v>81</v>
      </c>
      <c r="L114" s="33" t="s">
        <v>72</v>
      </c>
      <c r="M114" s="29" t="n">
        <f aca="false">+YEAR(F114)</f>
        <v>2026</v>
      </c>
      <c r="N114" s="29" t="n">
        <v>2025</v>
      </c>
      <c r="O114" s="29" t="n">
        <v>12</v>
      </c>
      <c r="P114" s="29" t="str">
        <f aca="false">+CONCATENATE(Tabla[[#This Row],[MES CAMPAÑA]],"/",Tabla[[#This Row],[AÑO CAMPAÑA]])</f>
        <v>12/2025</v>
      </c>
      <c r="Q114" s="29" t="s">
        <v>183</v>
      </c>
      <c r="R114" s="29" t="s">
        <v>74</v>
      </c>
      <c r="S114" s="34" t="n">
        <v>0</v>
      </c>
      <c r="T114" s="34" t="n">
        <v>6600000</v>
      </c>
      <c r="U114" s="34" t="n">
        <v>1254000</v>
      </c>
      <c r="V114" s="29"/>
      <c r="W114" s="35" t="n">
        <v>7854000</v>
      </c>
      <c r="X114" s="36" t="n">
        <f aca="false">+Tabla[[#This Row],[TOTAL]]</f>
        <v>7854000</v>
      </c>
      <c r="Y114" s="37"/>
      <c r="Z114" s="37"/>
      <c r="AA114" s="37"/>
      <c r="AB114" s="38" t="n">
        <f aca="false">+W114-AC114</f>
        <v>0</v>
      </c>
      <c r="AC114" s="34" t="n">
        <f aca="false">+Tabla[[#This Row],[P4]]+Tabla[[#This Row],[P3]]+Tabla[[#This Row],[P2]]+Tabla[[#This Row],[P1]]</f>
        <v>7854000</v>
      </c>
      <c r="AD114" s="34" t="n">
        <f aca="false">+W114-AC114</f>
        <v>0</v>
      </c>
      <c r="AE114" s="21" t="str">
        <f aca="false">IF(AB114&lt;1,"PAGADA","PENDIENTE")</f>
        <v>PAGADA</v>
      </c>
      <c r="AF114" s="21"/>
      <c r="AG114" s="29" t="s">
        <v>77</v>
      </c>
      <c r="AH114" s="39" t="n">
        <v>46108</v>
      </c>
      <c r="AI114" s="40" t="n">
        <f aca="false">+IF(Tabla[[#This Row],[FECHA PAGO / ABONO]]&lt;1,0,(MONTH(Tabla[[#This Row],[FECHA PAGO / ABONO]])))</f>
        <v>3</v>
      </c>
      <c r="AJ114" s="40" t="n">
        <f aca="false">+IF(Tabla[[#This Row],[FECHA PAGO / ABONO]]&lt;1,0,(YEAR(Tabla[[#This Row],[FECHA PAGO / ABONO]])))</f>
        <v>2026</v>
      </c>
      <c r="AK114" s="41"/>
    </row>
    <row r="115" customFormat="false" ht="14.25" hidden="false" customHeight="false" outlineLevel="0" collapsed="false">
      <c r="A115" s="28" t="s">
        <v>181</v>
      </c>
      <c r="B115" s="29" t="s">
        <v>182</v>
      </c>
      <c r="C115" s="29" t="s">
        <v>69</v>
      </c>
      <c r="D115" s="21" t="n">
        <v>32452</v>
      </c>
      <c r="E115" s="21" t="str">
        <f aca="false">+CONCATENATE(Tabla[[#This Row],[RUT]],Tabla[[#This Row],[PROVEEDOR]],Tabla[[#This Row],[FACTURA]])</f>
        <v>96810030-0RDF MEDIA SPA32452</v>
      </c>
      <c r="F115" s="30" t="n">
        <v>46042</v>
      </c>
      <c r="G115" s="31" t="n">
        <f aca="false">+F115+30</f>
        <v>46072</v>
      </c>
      <c r="H115" s="29" t="n">
        <f aca="true">+IF(AE115="PAGADA",0,TODAY()-G115)</f>
        <v>0</v>
      </c>
      <c r="I115" s="29" t="str">
        <f aca="false">+IF(H115&gt;180,"Atrasada",IF(H115&gt;150,"150 dias",IF(H115&gt;120,"120 dias",IF(H115&gt;90,"90 dias",IF(H115&gt;60,"60 dias",IF(H115&gt;30,"30 dias","Al Día"))))))</f>
        <v>Al Día</v>
      </c>
      <c r="J115" s="32" t="s">
        <v>80</v>
      </c>
      <c r="K115" s="29" t="s">
        <v>81</v>
      </c>
      <c r="L115" s="33" t="s">
        <v>72</v>
      </c>
      <c r="M115" s="29" t="n">
        <f aca="false">+YEAR(F115)</f>
        <v>2026</v>
      </c>
      <c r="N115" s="29" t="n">
        <v>2025</v>
      </c>
      <c r="O115" s="29" t="n">
        <v>12</v>
      </c>
      <c r="P115" s="29" t="str">
        <f aca="false">+CONCATENATE(Tabla[[#This Row],[MES CAMPAÑA]],"/",Tabla[[#This Row],[AÑO CAMPAÑA]])</f>
        <v>12/2025</v>
      </c>
      <c r="Q115" s="29" t="s">
        <v>184</v>
      </c>
      <c r="R115" s="29" t="s">
        <v>74</v>
      </c>
      <c r="S115" s="34" t="n">
        <v>0</v>
      </c>
      <c r="T115" s="34" t="n">
        <v>105000</v>
      </c>
      <c r="U115" s="34" t="n">
        <v>19950</v>
      </c>
      <c r="V115" s="29"/>
      <c r="W115" s="35" t="n">
        <v>124950</v>
      </c>
      <c r="X115" s="36" t="n">
        <f aca="false">+Tabla[[#This Row],[TOTAL]]</f>
        <v>124950</v>
      </c>
      <c r="Y115" s="37"/>
      <c r="Z115" s="37"/>
      <c r="AA115" s="37"/>
      <c r="AB115" s="38" t="n">
        <f aca="false">+W115-AC115</f>
        <v>0</v>
      </c>
      <c r="AC115" s="34" t="n">
        <f aca="false">+Tabla[[#This Row],[P4]]+Tabla[[#This Row],[P3]]+Tabla[[#This Row],[P2]]+Tabla[[#This Row],[P1]]</f>
        <v>124950</v>
      </c>
      <c r="AD115" s="34" t="n">
        <f aca="false">+W115-AC115</f>
        <v>0</v>
      </c>
      <c r="AE115" s="21" t="str">
        <f aca="false">IF(AB115&lt;1,"PAGADA","PENDIENTE")</f>
        <v>PAGADA</v>
      </c>
      <c r="AF115" s="21"/>
      <c r="AG115" s="29" t="s">
        <v>77</v>
      </c>
      <c r="AH115" s="39" t="n">
        <v>46108</v>
      </c>
      <c r="AI115" s="40" t="n">
        <f aca="false">+IF(Tabla[[#This Row],[FECHA PAGO / ABONO]]&lt;1,0,(MONTH(Tabla[[#This Row],[FECHA PAGO / ABONO]])))</f>
        <v>3</v>
      </c>
      <c r="AJ115" s="40" t="n">
        <f aca="false">+IF(Tabla[[#This Row],[FECHA PAGO / ABONO]]&lt;1,0,(YEAR(Tabla[[#This Row],[FECHA PAGO / ABONO]])))</f>
        <v>2026</v>
      </c>
      <c r="AK115" s="41"/>
    </row>
    <row r="116" customFormat="false" ht="14.25" hidden="false" customHeight="false" outlineLevel="0" collapsed="false">
      <c r="A116" s="28" t="s">
        <v>185</v>
      </c>
      <c r="B116" s="29" t="s">
        <v>186</v>
      </c>
      <c r="C116" s="29" t="s">
        <v>69</v>
      </c>
      <c r="D116" s="21" t="n">
        <v>138444</v>
      </c>
      <c r="E116" s="21" t="str">
        <f aca="false">+CONCATENATE(Tabla[[#This Row],[RUT]],Tabla[[#This Row],[PROVEEDOR]],Tabla[[#This Row],[FACTURA]])</f>
        <v>79947310-0PRISA MEDIA CHILE S.A.138444</v>
      </c>
      <c r="F116" s="30" t="n">
        <v>46042</v>
      </c>
      <c r="G116" s="31" t="n">
        <f aca="false">+F116+30</f>
        <v>46072</v>
      </c>
      <c r="H116" s="29" t="n">
        <f aca="true">+IF(AE116="PAGADA",0,TODAY()-G116)</f>
        <v>0</v>
      </c>
      <c r="I116" s="29" t="str">
        <f aca="false">+IF(H116&gt;180,"Atrasada",IF(H116&gt;150,"150 dias",IF(H116&gt;120,"120 dias",IF(H116&gt;90,"90 dias",IF(H116&gt;60,"60 dias",IF(H116&gt;30,"30 dias","Al Día"))))))</f>
        <v>Al Día</v>
      </c>
      <c r="J116" s="32" t="s">
        <v>80</v>
      </c>
      <c r="K116" s="29" t="s">
        <v>81</v>
      </c>
      <c r="L116" s="33" t="s">
        <v>72</v>
      </c>
      <c r="M116" s="29" t="n">
        <f aca="false">+YEAR(F116)</f>
        <v>2026</v>
      </c>
      <c r="N116" s="29" t="n">
        <v>2025</v>
      </c>
      <c r="O116" s="29" t="n">
        <v>12</v>
      </c>
      <c r="P116" s="29" t="str">
        <f aca="false">+CONCATENATE(Tabla[[#This Row],[MES CAMPAÑA]],"/",Tabla[[#This Row],[AÑO CAMPAÑA]])</f>
        <v>12/2025</v>
      </c>
      <c r="Q116" s="29" t="s">
        <v>82</v>
      </c>
      <c r="R116" s="29" t="s">
        <v>74</v>
      </c>
      <c r="S116" s="34" t="n">
        <v>0</v>
      </c>
      <c r="T116" s="34" t="n">
        <v>2094600</v>
      </c>
      <c r="U116" s="34" t="n">
        <v>397974</v>
      </c>
      <c r="V116" s="29"/>
      <c r="W116" s="35" t="n">
        <v>2492574</v>
      </c>
      <c r="X116" s="36" t="n">
        <f aca="false">+Tabla[[#This Row],[TOTAL]]</f>
        <v>2492574</v>
      </c>
      <c r="Y116" s="37"/>
      <c r="Z116" s="37"/>
      <c r="AA116" s="37"/>
      <c r="AB116" s="38" t="n">
        <f aca="false">+W116-AC116</f>
        <v>0</v>
      </c>
      <c r="AC116" s="34" t="n">
        <f aca="false">+Tabla[[#This Row],[P4]]+Tabla[[#This Row],[P3]]+Tabla[[#This Row],[P2]]+Tabla[[#This Row],[P1]]</f>
        <v>2492574</v>
      </c>
      <c r="AD116" s="34" t="n">
        <f aca="false">+W116-AC116</f>
        <v>0</v>
      </c>
      <c r="AE116" s="21" t="str">
        <f aca="false">IF(AB116&lt;1,"PAGADA","PENDIENTE")</f>
        <v>PAGADA</v>
      </c>
      <c r="AF116" s="21"/>
      <c r="AG116" s="29" t="s">
        <v>77</v>
      </c>
      <c r="AH116" s="39" t="n">
        <v>46142</v>
      </c>
      <c r="AI116" s="40" t="n">
        <f aca="false">+IF(Tabla[[#This Row],[FECHA PAGO / ABONO]]&lt;1,0,(MONTH(Tabla[[#This Row],[FECHA PAGO / ABONO]])))</f>
        <v>4</v>
      </c>
      <c r="AJ116" s="40" t="n">
        <f aca="false">+IF(Tabla[[#This Row],[FECHA PAGO / ABONO]]&lt;1,0,(YEAR(Tabla[[#This Row],[FECHA PAGO / ABONO]])))</f>
        <v>2026</v>
      </c>
      <c r="AK116" s="41"/>
    </row>
    <row r="117" customFormat="false" ht="14.25" hidden="false" customHeight="false" outlineLevel="0" collapsed="false">
      <c r="A117" s="28" t="s">
        <v>185</v>
      </c>
      <c r="B117" s="29" t="s">
        <v>186</v>
      </c>
      <c r="C117" s="29" t="s">
        <v>69</v>
      </c>
      <c r="D117" s="21" t="n">
        <v>138445</v>
      </c>
      <c r="E117" s="21" t="str">
        <f aca="false">+CONCATENATE(Tabla[[#This Row],[RUT]],Tabla[[#This Row],[PROVEEDOR]],Tabla[[#This Row],[FACTURA]])</f>
        <v>79947310-0PRISA MEDIA CHILE S.A.138445</v>
      </c>
      <c r="F117" s="30" t="n">
        <v>46042</v>
      </c>
      <c r="G117" s="31" t="n">
        <f aca="false">+F117+30</f>
        <v>46072</v>
      </c>
      <c r="H117" s="29" t="n">
        <f aca="true">+IF(AE117="PAGADA",0,TODAY()-G117)</f>
        <v>0</v>
      </c>
      <c r="I117" s="29" t="str">
        <f aca="false">+IF(H117&gt;180,"Atrasada",IF(H117&gt;150,"150 dias",IF(H117&gt;120,"120 dias",IF(H117&gt;90,"90 dias",IF(H117&gt;60,"60 dias",IF(H117&gt;30,"30 dias","Al Día"))))))</f>
        <v>Al Día</v>
      </c>
      <c r="J117" s="32" t="s">
        <v>80</v>
      </c>
      <c r="K117" s="29" t="s">
        <v>81</v>
      </c>
      <c r="L117" s="33" t="s">
        <v>72</v>
      </c>
      <c r="M117" s="29" t="n">
        <f aca="false">+YEAR(F117)</f>
        <v>2026</v>
      </c>
      <c r="N117" s="29" t="n">
        <v>2025</v>
      </c>
      <c r="O117" s="29" t="n">
        <v>12</v>
      </c>
      <c r="P117" s="29" t="str">
        <f aca="false">+CONCATENATE(Tabla[[#This Row],[MES CAMPAÑA]],"/",Tabla[[#This Row],[AÑO CAMPAÑA]])</f>
        <v>12/2025</v>
      </c>
      <c r="Q117" s="29" t="s">
        <v>82</v>
      </c>
      <c r="R117" s="29" t="s">
        <v>74</v>
      </c>
      <c r="S117" s="34" t="n">
        <v>0</v>
      </c>
      <c r="T117" s="34" t="n">
        <v>390000</v>
      </c>
      <c r="U117" s="34" t="n">
        <v>74100</v>
      </c>
      <c r="V117" s="29"/>
      <c r="W117" s="35" t="n">
        <v>464100</v>
      </c>
      <c r="X117" s="36" t="n">
        <f aca="false">+Tabla[[#This Row],[TOTAL]]</f>
        <v>464100</v>
      </c>
      <c r="Y117" s="37"/>
      <c r="Z117" s="37"/>
      <c r="AA117" s="37"/>
      <c r="AB117" s="38" t="n">
        <f aca="false">+W117-AC117</f>
        <v>0</v>
      </c>
      <c r="AC117" s="34" t="n">
        <f aca="false">+Tabla[[#This Row],[P4]]+Tabla[[#This Row],[P3]]+Tabla[[#This Row],[P2]]+Tabla[[#This Row],[P1]]</f>
        <v>464100</v>
      </c>
      <c r="AD117" s="34" t="n">
        <f aca="false">+W117-AC117</f>
        <v>0</v>
      </c>
      <c r="AE117" s="21" t="str">
        <f aca="false">IF(AB117&lt;1,"PAGADA","PENDIENTE")</f>
        <v>PAGADA</v>
      </c>
      <c r="AF117" s="21"/>
      <c r="AG117" s="29" t="s">
        <v>77</v>
      </c>
      <c r="AH117" s="39" t="n">
        <v>46142</v>
      </c>
      <c r="AI117" s="40" t="n">
        <f aca="false">+IF(Tabla[[#This Row],[FECHA PAGO / ABONO]]&lt;1,0,(MONTH(Tabla[[#This Row],[FECHA PAGO / ABONO]])))</f>
        <v>4</v>
      </c>
      <c r="AJ117" s="40" t="n">
        <f aca="false">+IF(Tabla[[#This Row],[FECHA PAGO / ABONO]]&lt;1,0,(YEAR(Tabla[[#This Row],[FECHA PAGO / ABONO]])))</f>
        <v>2026</v>
      </c>
      <c r="AK117" s="41"/>
    </row>
    <row r="118" customFormat="false" ht="14.25" hidden="false" customHeight="false" outlineLevel="0" collapsed="false">
      <c r="A118" s="28" t="s">
        <v>185</v>
      </c>
      <c r="B118" s="29" t="s">
        <v>186</v>
      </c>
      <c r="C118" s="29" t="s">
        <v>69</v>
      </c>
      <c r="D118" s="21" t="n">
        <v>138446</v>
      </c>
      <c r="E118" s="21" t="str">
        <f aca="false">+CONCATENATE(Tabla[[#This Row],[RUT]],Tabla[[#This Row],[PROVEEDOR]],Tabla[[#This Row],[FACTURA]])</f>
        <v>79947310-0PRISA MEDIA CHILE S.A.138446</v>
      </c>
      <c r="F118" s="30" t="n">
        <v>46042</v>
      </c>
      <c r="G118" s="31" t="n">
        <f aca="false">+F118+30</f>
        <v>46072</v>
      </c>
      <c r="H118" s="29" t="n">
        <f aca="true">+IF(AE118="PAGADA",0,TODAY()-G118)</f>
        <v>0</v>
      </c>
      <c r="I118" s="29" t="str">
        <f aca="false">+IF(H118&gt;180,"Atrasada",IF(H118&gt;150,"150 dias",IF(H118&gt;120,"120 dias",IF(H118&gt;90,"90 dias",IF(H118&gt;60,"60 dias",IF(H118&gt;30,"30 dias","Al Día"))))))</f>
        <v>Al Día</v>
      </c>
      <c r="J118" s="32" t="s">
        <v>80</v>
      </c>
      <c r="K118" s="29" t="s">
        <v>81</v>
      </c>
      <c r="L118" s="33" t="s">
        <v>72</v>
      </c>
      <c r="M118" s="29" t="n">
        <f aca="false">+YEAR(F118)</f>
        <v>2026</v>
      </c>
      <c r="N118" s="29" t="n">
        <v>2025</v>
      </c>
      <c r="O118" s="29" t="n">
        <v>12</v>
      </c>
      <c r="P118" s="29" t="str">
        <f aca="false">+CONCATENATE(Tabla[[#This Row],[MES CAMPAÑA]],"/",Tabla[[#This Row],[AÑO CAMPAÑA]])</f>
        <v>12/2025</v>
      </c>
      <c r="Q118" s="29" t="s">
        <v>82</v>
      </c>
      <c r="R118" s="29" t="s">
        <v>74</v>
      </c>
      <c r="S118" s="34" t="n">
        <v>0</v>
      </c>
      <c r="T118" s="34" t="n">
        <v>2334720</v>
      </c>
      <c r="U118" s="34" t="n">
        <v>443597</v>
      </c>
      <c r="V118" s="29"/>
      <c r="W118" s="35" t="n">
        <v>2778317</v>
      </c>
      <c r="X118" s="36" t="n">
        <f aca="false">+Tabla[[#This Row],[TOTAL]]</f>
        <v>2778317</v>
      </c>
      <c r="Y118" s="37"/>
      <c r="Z118" s="37"/>
      <c r="AA118" s="37"/>
      <c r="AB118" s="38" t="n">
        <f aca="false">+W118-AC118</f>
        <v>0</v>
      </c>
      <c r="AC118" s="34" t="n">
        <f aca="false">+Tabla[[#This Row],[P4]]+Tabla[[#This Row],[P3]]+Tabla[[#This Row],[P2]]+Tabla[[#This Row],[P1]]</f>
        <v>2778317</v>
      </c>
      <c r="AD118" s="34" t="n">
        <f aca="false">+W118-AC118</f>
        <v>0</v>
      </c>
      <c r="AE118" s="21" t="str">
        <f aca="false">IF(AB118&lt;1,"PAGADA","PENDIENTE")</f>
        <v>PAGADA</v>
      </c>
      <c r="AF118" s="21"/>
      <c r="AG118" s="29" t="s">
        <v>77</v>
      </c>
      <c r="AH118" s="39" t="n">
        <v>46142</v>
      </c>
      <c r="AI118" s="40" t="n">
        <f aca="false">+IF(Tabla[[#This Row],[FECHA PAGO / ABONO]]&lt;1,0,(MONTH(Tabla[[#This Row],[FECHA PAGO / ABONO]])))</f>
        <v>4</v>
      </c>
      <c r="AJ118" s="40" t="n">
        <f aca="false">+IF(Tabla[[#This Row],[FECHA PAGO / ABONO]]&lt;1,0,(YEAR(Tabla[[#This Row],[FECHA PAGO / ABONO]])))</f>
        <v>2026</v>
      </c>
      <c r="AK118" s="41"/>
    </row>
    <row r="119" customFormat="false" ht="14.25" hidden="false" customHeight="false" outlineLevel="0" collapsed="false">
      <c r="A119" s="28" t="s">
        <v>185</v>
      </c>
      <c r="B119" s="29" t="s">
        <v>186</v>
      </c>
      <c r="C119" s="29" t="s">
        <v>69</v>
      </c>
      <c r="D119" s="21" t="n">
        <v>138448</v>
      </c>
      <c r="E119" s="21" t="str">
        <f aca="false">+CONCATENATE(Tabla[[#This Row],[RUT]],Tabla[[#This Row],[PROVEEDOR]],Tabla[[#This Row],[FACTURA]])</f>
        <v>79947310-0PRISA MEDIA CHILE S.A.138448</v>
      </c>
      <c r="F119" s="30" t="n">
        <v>46042</v>
      </c>
      <c r="G119" s="31" t="n">
        <f aca="false">+F119+30</f>
        <v>46072</v>
      </c>
      <c r="H119" s="29" t="n">
        <f aca="true">+IF(AE119="PAGADA",0,TODAY()-G119)</f>
        <v>0</v>
      </c>
      <c r="I119" s="29" t="str">
        <f aca="false">+IF(H119&gt;180,"Atrasada",IF(H119&gt;150,"150 dias",IF(H119&gt;120,"120 dias",IF(H119&gt;90,"90 dias",IF(H119&gt;60,"60 dias",IF(H119&gt;30,"30 dias","Al Día"))))))</f>
        <v>Al Día</v>
      </c>
      <c r="J119" s="32" t="s">
        <v>80</v>
      </c>
      <c r="K119" s="29" t="s">
        <v>81</v>
      </c>
      <c r="L119" s="33" t="s">
        <v>72</v>
      </c>
      <c r="M119" s="29" t="n">
        <f aca="false">+YEAR(F119)</f>
        <v>2026</v>
      </c>
      <c r="N119" s="29" t="n">
        <v>2025</v>
      </c>
      <c r="O119" s="29" t="n">
        <v>12</v>
      </c>
      <c r="P119" s="29" t="str">
        <f aca="false">+CONCATENATE(Tabla[[#This Row],[MES CAMPAÑA]],"/",Tabla[[#This Row],[AÑO CAMPAÑA]])</f>
        <v>12/2025</v>
      </c>
      <c r="Q119" s="29" t="s">
        <v>111</v>
      </c>
      <c r="R119" s="29" t="s">
        <v>74</v>
      </c>
      <c r="S119" s="34" t="n">
        <v>0</v>
      </c>
      <c r="T119" s="34" t="n">
        <v>4576000</v>
      </c>
      <c r="U119" s="34" t="n">
        <v>869440</v>
      </c>
      <c r="V119" s="29"/>
      <c r="W119" s="35" t="n">
        <v>5445440</v>
      </c>
      <c r="X119" s="36" t="n">
        <f aca="false">+Tabla[[#This Row],[TOTAL]]</f>
        <v>5445440</v>
      </c>
      <c r="Y119" s="37"/>
      <c r="Z119" s="37"/>
      <c r="AA119" s="37"/>
      <c r="AB119" s="38" t="n">
        <f aca="false">+W119-AC119</f>
        <v>0</v>
      </c>
      <c r="AC119" s="34" t="n">
        <f aca="false">+Tabla[[#This Row],[P4]]+Tabla[[#This Row],[P3]]+Tabla[[#This Row],[P2]]+Tabla[[#This Row],[P1]]</f>
        <v>5445440</v>
      </c>
      <c r="AD119" s="34" t="n">
        <f aca="false">+W119-AC119</f>
        <v>0</v>
      </c>
      <c r="AE119" s="21" t="str">
        <f aca="false">IF(AB119&lt;1,"PAGADA","PENDIENTE")</f>
        <v>PAGADA</v>
      </c>
      <c r="AF119" s="21"/>
      <c r="AG119" s="29" t="s">
        <v>77</v>
      </c>
      <c r="AH119" s="39" t="n">
        <v>46142</v>
      </c>
      <c r="AI119" s="40" t="n">
        <f aca="false">+IF(Tabla[[#This Row],[FECHA PAGO / ABONO]]&lt;1,0,(MONTH(Tabla[[#This Row],[FECHA PAGO / ABONO]])))</f>
        <v>4</v>
      </c>
      <c r="AJ119" s="40" t="n">
        <f aca="false">+IF(Tabla[[#This Row],[FECHA PAGO / ABONO]]&lt;1,0,(YEAR(Tabla[[#This Row],[FECHA PAGO / ABONO]])))</f>
        <v>2026</v>
      </c>
      <c r="AK119" s="41"/>
    </row>
    <row r="120" customFormat="false" ht="14.25" hidden="false" customHeight="false" outlineLevel="0" collapsed="false">
      <c r="A120" s="28" t="s">
        <v>185</v>
      </c>
      <c r="B120" s="29" t="s">
        <v>186</v>
      </c>
      <c r="C120" s="29" t="s">
        <v>69</v>
      </c>
      <c r="D120" s="21" t="n">
        <v>138449</v>
      </c>
      <c r="E120" s="21" t="str">
        <f aca="false">+CONCATENATE(Tabla[[#This Row],[RUT]],Tabla[[#This Row],[PROVEEDOR]],Tabla[[#This Row],[FACTURA]])</f>
        <v>79947310-0PRISA MEDIA CHILE S.A.138449</v>
      </c>
      <c r="F120" s="30" t="n">
        <v>46042</v>
      </c>
      <c r="G120" s="31" t="n">
        <f aca="false">+F120+30</f>
        <v>46072</v>
      </c>
      <c r="H120" s="29" t="n">
        <f aca="true">+IF(AE120="PAGADA",0,TODAY()-G120)</f>
        <v>0</v>
      </c>
      <c r="I120" s="29" t="str">
        <f aca="false">+IF(H120&gt;180,"Atrasada",IF(H120&gt;150,"150 dias",IF(H120&gt;120,"120 dias",IF(H120&gt;90,"90 dias",IF(H120&gt;60,"60 dias",IF(H120&gt;30,"30 dias","Al Día"))))))</f>
        <v>Al Día</v>
      </c>
      <c r="J120" s="32" t="s">
        <v>80</v>
      </c>
      <c r="K120" s="29" t="s">
        <v>81</v>
      </c>
      <c r="L120" s="33" t="s">
        <v>72</v>
      </c>
      <c r="M120" s="29" t="n">
        <f aca="false">+YEAR(F120)</f>
        <v>2026</v>
      </c>
      <c r="N120" s="29" t="n">
        <v>2025</v>
      </c>
      <c r="O120" s="29" t="n">
        <v>12</v>
      </c>
      <c r="P120" s="29" t="str">
        <f aca="false">+CONCATENATE(Tabla[[#This Row],[MES CAMPAÑA]],"/",Tabla[[#This Row],[AÑO CAMPAÑA]])</f>
        <v>12/2025</v>
      </c>
      <c r="Q120" s="29" t="s">
        <v>111</v>
      </c>
      <c r="R120" s="29" t="s">
        <v>74</v>
      </c>
      <c r="S120" s="34" t="n">
        <v>0</v>
      </c>
      <c r="T120" s="34" t="n">
        <v>4295500</v>
      </c>
      <c r="U120" s="34" t="n">
        <v>816145</v>
      </c>
      <c r="V120" s="29"/>
      <c r="W120" s="35" t="n">
        <v>5111645</v>
      </c>
      <c r="X120" s="36" t="n">
        <f aca="false">+Tabla[[#This Row],[TOTAL]]</f>
        <v>5111645</v>
      </c>
      <c r="Y120" s="37"/>
      <c r="Z120" s="37"/>
      <c r="AA120" s="37"/>
      <c r="AB120" s="38" t="n">
        <f aca="false">+W120-AC120</f>
        <v>0</v>
      </c>
      <c r="AC120" s="34" t="n">
        <f aca="false">+Tabla[[#This Row],[P4]]+Tabla[[#This Row],[P3]]+Tabla[[#This Row],[P2]]+Tabla[[#This Row],[P1]]</f>
        <v>5111645</v>
      </c>
      <c r="AD120" s="34" t="n">
        <f aca="false">+W120-AC120</f>
        <v>0</v>
      </c>
      <c r="AE120" s="21" t="str">
        <f aca="false">IF(AB120&lt;1,"PAGADA","PENDIENTE")</f>
        <v>PAGADA</v>
      </c>
      <c r="AF120" s="21"/>
      <c r="AG120" s="29" t="s">
        <v>77</v>
      </c>
      <c r="AH120" s="39" t="n">
        <v>46148</v>
      </c>
      <c r="AI120" s="40" t="n">
        <f aca="false">+IF(Tabla[[#This Row],[FECHA PAGO / ABONO]]&lt;1,0,(MONTH(Tabla[[#This Row],[FECHA PAGO / ABONO]])))</f>
        <v>5</v>
      </c>
      <c r="AJ120" s="40" t="n">
        <f aca="false">+IF(Tabla[[#This Row],[FECHA PAGO / ABONO]]&lt;1,0,(YEAR(Tabla[[#This Row],[FECHA PAGO / ABONO]])))</f>
        <v>2026</v>
      </c>
      <c r="AK120" s="41"/>
    </row>
    <row r="121" customFormat="false" ht="14.25" hidden="false" customHeight="false" outlineLevel="0" collapsed="false">
      <c r="A121" s="28" t="s">
        <v>185</v>
      </c>
      <c r="B121" s="29" t="s">
        <v>186</v>
      </c>
      <c r="C121" s="29" t="s">
        <v>69</v>
      </c>
      <c r="D121" s="21" t="n">
        <v>138450</v>
      </c>
      <c r="E121" s="21" t="str">
        <f aca="false">+CONCATENATE(Tabla[[#This Row],[RUT]],Tabla[[#This Row],[PROVEEDOR]],Tabla[[#This Row],[FACTURA]])</f>
        <v>79947310-0PRISA MEDIA CHILE S.A.138450</v>
      </c>
      <c r="F121" s="30" t="n">
        <v>46042</v>
      </c>
      <c r="G121" s="31" t="n">
        <f aca="false">+F121+30</f>
        <v>46072</v>
      </c>
      <c r="H121" s="29" t="n">
        <f aca="true">+IF(AE121="PAGADA",0,TODAY()-G121)</f>
        <v>0</v>
      </c>
      <c r="I121" s="29" t="str">
        <f aca="false">+IF(H121&gt;180,"Atrasada",IF(H121&gt;150,"150 dias",IF(H121&gt;120,"120 dias",IF(H121&gt;90,"90 dias",IF(H121&gt;60,"60 dias",IF(H121&gt;30,"30 dias","Al Día"))))))</f>
        <v>Al Día</v>
      </c>
      <c r="J121" s="32" t="s">
        <v>80</v>
      </c>
      <c r="K121" s="29" t="s">
        <v>81</v>
      </c>
      <c r="L121" s="33" t="s">
        <v>72</v>
      </c>
      <c r="M121" s="29" t="n">
        <f aca="false">+YEAR(F121)</f>
        <v>2026</v>
      </c>
      <c r="N121" s="29" t="n">
        <v>2025</v>
      </c>
      <c r="O121" s="29" t="n">
        <v>12</v>
      </c>
      <c r="P121" s="29" t="str">
        <f aca="false">+CONCATENATE(Tabla[[#This Row],[MES CAMPAÑA]],"/",Tabla[[#This Row],[AÑO CAMPAÑA]])</f>
        <v>12/2025</v>
      </c>
      <c r="Q121" s="29" t="s">
        <v>111</v>
      </c>
      <c r="R121" s="29" t="s">
        <v>74</v>
      </c>
      <c r="S121" s="34" t="n">
        <v>0</v>
      </c>
      <c r="T121" s="34" t="n">
        <v>4400000</v>
      </c>
      <c r="U121" s="34" t="n">
        <v>836000</v>
      </c>
      <c r="V121" s="29"/>
      <c r="W121" s="35" t="n">
        <v>5236000</v>
      </c>
      <c r="X121" s="36" t="n">
        <f aca="false">+Tabla[[#This Row],[TOTAL]]</f>
        <v>5236000</v>
      </c>
      <c r="Y121" s="37"/>
      <c r="Z121" s="37"/>
      <c r="AA121" s="37"/>
      <c r="AB121" s="38" t="n">
        <f aca="false">+W121-AC121</f>
        <v>0</v>
      </c>
      <c r="AC121" s="34" t="n">
        <f aca="false">+Tabla[[#This Row],[P4]]+Tabla[[#This Row],[P3]]+Tabla[[#This Row],[P2]]+Tabla[[#This Row],[P1]]</f>
        <v>5236000</v>
      </c>
      <c r="AD121" s="34" t="n">
        <f aca="false">+W121-AC121</f>
        <v>0</v>
      </c>
      <c r="AE121" s="21" t="str">
        <f aca="false">IF(AB121&lt;1,"PAGADA","PENDIENTE")</f>
        <v>PAGADA</v>
      </c>
      <c r="AF121" s="21"/>
      <c r="AG121" s="29" t="s">
        <v>77</v>
      </c>
      <c r="AH121" s="39" t="n">
        <v>46185</v>
      </c>
      <c r="AI121" s="40" t="n">
        <f aca="false">+IF(Tabla[[#This Row],[FECHA PAGO / ABONO]]&lt;1,0,(MONTH(Tabla[[#This Row],[FECHA PAGO / ABONO]])))</f>
        <v>6</v>
      </c>
      <c r="AJ121" s="40" t="n">
        <f aca="false">+IF(Tabla[[#This Row],[FECHA PAGO / ABONO]]&lt;1,0,(YEAR(Tabla[[#This Row],[FECHA PAGO / ABONO]])))</f>
        <v>2026</v>
      </c>
      <c r="AK121" s="41"/>
    </row>
    <row r="122" customFormat="false" ht="14.25" hidden="false" customHeight="false" outlineLevel="0" collapsed="false">
      <c r="A122" s="28" t="s">
        <v>185</v>
      </c>
      <c r="B122" s="29" t="s">
        <v>186</v>
      </c>
      <c r="C122" s="29" t="s">
        <v>69</v>
      </c>
      <c r="D122" s="21" t="n">
        <v>138455</v>
      </c>
      <c r="E122" s="21" t="str">
        <f aca="false">+CONCATENATE(Tabla[[#This Row],[RUT]],Tabla[[#This Row],[PROVEEDOR]],Tabla[[#This Row],[FACTURA]])</f>
        <v>79947310-0PRISA MEDIA CHILE S.A.138455</v>
      </c>
      <c r="F122" s="30" t="n">
        <v>46042</v>
      </c>
      <c r="G122" s="31" t="n">
        <f aca="false">+F122+30</f>
        <v>46072</v>
      </c>
      <c r="H122" s="29" t="n">
        <f aca="true">+IF(AE122="PAGADA",0,TODAY()-G122)</f>
        <v>132</v>
      </c>
      <c r="I122" s="29" t="str">
        <f aca="false">+IF(H122&gt;180,"Atrasada",IF(H122&gt;150,"150 dias",IF(H122&gt;120,"120 dias",IF(H122&gt;90,"90 dias",IF(H122&gt;60,"60 dias",IF(H122&gt;30,"30 dias","Al Día"))))))</f>
        <v>120 dias</v>
      </c>
      <c r="J122" s="32" t="s">
        <v>80</v>
      </c>
      <c r="K122" s="29" t="s">
        <v>81</v>
      </c>
      <c r="L122" s="33" t="s">
        <v>72</v>
      </c>
      <c r="M122" s="29" t="n">
        <f aca="false">+YEAR(F122)</f>
        <v>2026</v>
      </c>
      <c r="N122" s="29" t="n">
        <v>2025</v>
      </c>
      <c r="O122" s="29" t="n">
        <v>12</v>
      </c>
      <c r="P122" s="29" t="str">
        <f aca="false">+CONCATENATE(Tabla[[#This Row],[MES CAMPAÑA]],"/",Tabla[[#This Row],[AÑO CAMPAÑA]])</f>
        <v>12/2025</v>
      </c>
      <c r="Q122" s="29" t="s">
        <v>187</v>
      </c>
      <c r="R122" s="29" t="s">
        <v>74</v>
      </c>
      <c r="S122" s="34" t="n">
        <v>0</v>
      </c>
      <c r="T122" s="34" t="n">
        <v>3276000</v>
      </c>
      <c r="U122" s="34" t="n">
        <v>622440</v>
      </c>
      <c r="V122" s="29"/>
      <c r="W122" s="35" t="n">
        <v>3898440</v>
      </c>
      <c r="X122" s="36"/>
      <c r="Y122" s="37"/>
      <c r="Z122" s="37"/>
      <c r="AA122" s="37"/>
      <c r="AB122" s="38" t="n">
        <f aca="false">+W122-AC122</f>
        <v>3898440</v>
      </c>
      <c r="AC122" s="34" t="n">
        <f aca="false">+Tabla[[#This Row],[P4]]+Tabla[[#This Row],[P3]]+Tabla[[#This Row],[P2]]+Tabla[[#This Row],[P1]]</f>
        <v>0</v>
      </c>
      <c r="AD122" s="34" t="n">
        <f aca="false">+W122-AC122</f>
        <v>3898440</v>
      </c>
      <c r="AE122" s="21" t="str">
        <f aca="false">IF(AB122&lt;1,"PAGADA","PENDIENTE")</f>
        <v>PENDIENTE</v>
      </c>
      <c r="AF122" s="21"/>
      <c r="AG122" s="29"/>
      <c r="AH122" s="40"/>
      <c r="AI122" s="40" t="n">
        <f aca="false">+IF(Tabla[[#This Row],[FECHA PAGO / ABONO]]&lt;1,0,(MONTH(Tabla[[#This Row],[FECHA PAGO / ABONO]])))</f>
        <v>0</v>
      </c>
      <c r="AJ122" s="40" t="n">
        <f aca="false">+IF(Tabla[[#This Row],[FECHA PAGO / ABONO]]&lt;1,0,(YEAR(Tabla[[#This Row],[FECHA PAGO / ABONO]])))</f>
        <v>0</v>
      </c>
      <c r="AK122" s="41"/>
    </row>
    <row r="123" customFormat="false" ht="14.25" hidden="false" customHeight="false" outlineLevel="0" collapsed="false">
      <c r="A123" s="28" t="s">
        <v>185</v>
      </c>
      <c r="B123" s="29" t="s">
        <v>186</v>
      </c>
      <c r="C123" s="29" t="s">
        <v>69</v>
      </c>
      <c r="D123" s="21" t="n">
        <v>138451</v>
      </c>
      <c r="E123" s="21" t="str">
        <f aca="false">+CONCATENATE(Tabla[[#This Row],[RUT]],Tabla[[#This Row],[PROVEEDOR]],Tabla[[#This Row],[FACTURA]])</f>
        <v>79947310-0PRISA MEDIA CHILE S.A.138451</v>
      </c>
      <c r="F123" s="30" t="n">
        <v>46042</v>
      </c>
      <c r="G123" s="31" t="n">
        <f aca="false">+F123+30</f>
        <v>46072</v>
      </c>
      <c r="H123" s="29" t="n">
        <f aca="true">+IF(AE123="PAGADA",0,TODAY()-G123)</f>
        <v>0</v>
      </c>
      <c r="I123" s="29" t="str">
        <f aca="false">+IF(H123&gt;180,"Atrasada",IF(H123&gt;150,"150 dias",IF(H123&gt;120,"120 dias",IF(H123&gt;90,"90 dias",IF(H123&gt;60,"60 dias",IF(H123&gt;30,"30 dias","Al Día"))))))</f>
        <v>Al Día</v>
      </c>
      <c r="J123" s="32" t="s">
        <v>80</v>
      </c>
      <c r="K123" s="29" t="s">
        <v>81</v>
      </c>
      <c r="L123" s="33" t="s">
        <v>72</v>
      </c>
      <c r="M123" s="29" t="n">
        <f aca="false">+YEAR(F123)</f>
        <v>2026</v>
      </c>
      <c r="N123" s="29" t="n">
        <v>2025</v>
      </c>
      <c r="O123" s="29" t="n">
        <v>12</v>
      </c>
      <c r="P123" s="29" t="str">
        <f aca="false">+CONCATENATE(Tabla[[#This Row],[MES CAMPAÑA]],"/",Tabla[[#This Row],[AÑO CAMPAÑA]])</f>
        <v>12/2025</v>
      </c>
      <c r="Q123" s="29" t="s">
        <v>111</v>
      </c>
      <c r="R123" s="29" t="s">
        <v>74</v>
      </c>
      <c r="S123" s="34" t="n">
        <v>0</v>
      </c>
      <c r="T123" s="34" t="n">
        <v>5500000</v>
      </c>
      <c r="U123" s="34" t="n">
        <v>1045000</v>
      </c>
      <c r="V123" s="29"/>
      <c r="W123" s="35" t="n">
        <v>6545000</v>
      </c>
      <c r="X123" s="36" t="n">
        <f aca="false">+Tabla[[#This Row],[TOTAL]]</f>
        <v>6545000</v>
      </c>
      <c r="Y123" s="37"/>
      <c r="Z123" s="37"/>
      <c r="AA123" s="37"/>
      <c r="AB123" s="38" t="n">
        <f aca="false">+W123-AC123</f>
        <v>0</v>
      </c>
      <c r="AC123" s="34" t="n">
        <f aca="false">+Tabla[[#This Row],[P4]]+Tabla[[#This Row],[P3]]+Tabla[[#This Row],[P2]]+Tabla[[#This Row],[P1]]</f>
        <v>6545000</v>
      </c>
      <c r="AD123" s="34" t="n">
        <f aca="false">+W123-AC123</f>
        <v>0</v>
      </c>
      <c r="AE123" s="21" t="str">
        <f aca="false">IF(AB123&lt;1,"PAGADA","PENDIENTE")</f>
        <v>PAGADA</v>
      </c>
      <c r="AF123" s="21"/>
      <c r="AG123" s="29" t="s">
        <v>77</v>
      </c>
      <c r="AH123" s="39" t="n">
        <v>46185</v>
      </c>
      <c r="AI123" s="40" t="n">
        <f aca="false">+IF(Tabla[[#This Row],[FECHA PAGO / ABONO]]&lt;1,0,(MONTH(Tabla[[#This Row],[FECHA PAGO / ABONO]])))</f>
        <v>6</v>
      </c>
      <c r="AJ123" s="40" t="n">
        <f aca="false">+IF(Tabla[[#This Row],[FECHA PAGO / ABONO]]&lt;1,0,(YEAR(Tabla[[#This Row],[FECHA PAGO / ABONO]])))</f>
        <v>2026</v>
      </c>
      <c r="AK123" s="41"/>
    </row>
    <row r="124" customFormat="false" ht="14.25" hidden="false" customHeight="false" outlineLevel="0" collapsed="false">
      <c r="A124" s="28" t="s">
        <v>185</v>
      </c>
      <c r="B124" s="29" t="s">
        <v>186</v>
      </c>
      <c r="C124" s="29" t="s">
        <v>69</v>
      </c>
      <c r="D124" s="21" t="n">
        <v>138456</v>
      </c>
      <c r="E124" s="21" t="str">
        <f aca="false">+CONCATENATE(Tabla[[#This Row],[RUT]],Tabla[[#This Row],[PROVEEDOR]],Tabla[[#This Row],[FACTURA]])</f>
        <v>79947310-0PRISA MEDIA CHILE S.A.138456</v>
      </c>
      <c r="F124" s="30" t="n">
        <v>46042</v>
      </c>
      <c r="G124" s="31" t="n">
        <f aca="false">+F124+30</f>
        <v>46072</v>
      </c>
      <c r="H124" s="29" t="n">
        <f aca="true">+IF(AE124="PAGADA",0,TODAY()-G124)</f>
        <v>132</v>
      </c>
      <c r="I124" s="29" t="str">
        <f aca="false">+IF(H124&gt;180,"Atrasada",IF(H124&gt;150,"150 dias",IF(H124&gt;120,"120 dias",IF(H124&gt;90,"90 dias",IF(H124&gt;60,"60 dias",IF(H124&gt;30,"30 dias","Al Día"))))))</f>
        <v>120 dias</v>
      </c>
      <c r="J124" s="32" t="s">
        <v>80</v>
      </c>
      <c r="K124" s="29" t="s">
        <v>81</v>
      </c>
      <c r="L124" s="33" t="s">
        <v>72</v>
      </c>
      <c r="M124" s="29" t="n">
        <f aca="false">+YEAR(F124)</f>
        <v>2026</v>
      </c>
      <c r="N124" s="29" t="n">
        <v>2025</v>
      </c>
      <c r="O124" s="29" t="n">
        <v>12</v>
      </c>
      <c r="P124" s="29" t="str">
        <f aca="false">+CONCATENATE(Tabla[[#This Row],[MES CAMPAÑA]],"/",Tabla[[#This Row],[AÑO CAMPAÑA]])</f>
        <v>12/2025</v>
      </c>
      <c r="Q124" s="29" t="s">
        <v>188</v>
      </c>
      <c r="R124" s="29" t="s">
        <v>74</v>
      </c>
      <c r="S124" s="34" t="n">
        <v>0</v>
      </c>
      <c r="T124" s="34" t="n">
        <v>5775000</v>
      </c>
      <c r="U124" s="34" t="n">
        <v>1097250</v>
      </c>
      <c r="V124" s="29"/>
      <c r="W124" s="35" t="n">
        <v>6872250</v>
      </c>
      <c r="X124" s="36"/>
      <c r="Y124" s="37"/>
      <c r="Z124" s="37"/>
      <c r="AA124" s="37"/>
      <c r="AB124" s="38" t="n">
        <f aca="false">+W124-AC124</f>
        <v>6872250</v>
      </c>
      <c r="AC124" s="34" t="n">
        <f aca="false">+Tabla[[#This Row],[P4]]+Tabla[[#This Row],[P3]]+Tabla[[#This Row],[P2]]+Tabla[[#This Row],[P1]]</f>
        <v>0</v>
      </c>
      <c r="AD124" s="34" t="n">
        <f aca="false">+W124-AC124</f>
        <v>6872250</v>
      </c>
      <c r="AE124" s="21" t="str">
        <f aca="false">IF(AB124&lt;1,"PAGADA","PENDIENTE")</f>
        <v>PENDIENTE</v>
      </c>
      <c r="AF124" s="21"/>
      <c r="AG124" s="29"/>
      <c r="AH124" s="40"/>
      <c r="AI124" s="40" t="n">
        <f aca="false">+IF(Tabla[[#This Row],[FECHA PAGO / ABONO]]&lt;1,0,(MONTH(Tabla[[#This Row],[FECHA PAGO / ABONO]])))</f>
        <v>0</v>
      </c>
      <c r="AJ124" s="40" t="n">
        <f aca="false">+IF(Tabla[[#This Row],[FECHA PAGO / ABONO]]&lt;1,0,(YEAR(Tabla[[#This Row],[FECHA PAGO / ABONO]])))</f>
        <v>0</v>
      </c>
      <c r="AK124" s="41"/>
    </row>
    <row r="125" customFormat="false" ht="14.25" hidden="false" customHeight="false" outlineLevel="0" collapsed="false">
      <c r="A125" s="28" t="s">
        <v>185</v>
      </c>
      <c r="B125" s="29" t="s">
        <v>186</v>
      </c>
      <c r="C125" s="29" t="s">
        <v>69</v>
      </c>
      <c r="D125" s="21" t="n">
        <v>138457</v>
      </c>
      <c r="E125" s="21" t="str">
        <f aca="false">+CONCATENATE(Tabla[[#This Row],[RUT]],Tabla[[#This Row],[PROVEEDOR]],Tabla[[#This Row],[FACTURA]])</f>
        <v>79947310-0PRISA MEDIA CHILE S.A.138457</v>
      </c>
      <c r="F125" s="30" t="n">
        <v>46042</v>
      </c>
      <c r="G125" s="31" t="n">
        <f aca="false">+F125+30</f>
        <v>46072</v>
      </c>
      <c r="H125" s="29" t="n">
        <f aca="true">+IF(AE125="PAGADA",0,TODAY()-G125)</f>
        <v>132</v>
      </c>
      <c r="I125" s="29" t="str">
        <f aca="false">+IF(H125&gt;180,"Atrasada",IF(H125&gt;150,"150 dias",IF(H125&gt;120,"120 dias",IF(H125&gt;90,"90 dias",IF(H125&gt;60,"60 dias",IF(H125&gt;30,"30 dias","Al Día"))))))</f>
        <v>120 dias</v>
      </c>
      <c r="J125" s="32" t="s">
        <v>80</v>
      </c>
      <c r="K125" s="29" t="s">
        <v>81</v>
      </c>
      <c r="L125" s="33" t="s">
        <v>72</v>
      </c>
      <c r="M125" s="29" t="n">
        <f aca="false">+YEAR(F125)</f>
        <v>2026</v>
      </c>
      <c r="N125" s="29" t="n">
        <v>2025</v>
      </c>
      <c r="O125" s="29" t="n">
        <v>12</v>
      </c>
      <c r="P125" s="29" t="str">
        <f aca="false">+CONCATENATE(Tabla[[#This Row],[MES CAMPAÑA]],"/",Tabla[[#This Row],[AÑO CAMPAÑA]])</f>
        <v>12/2025</v>
      </c>
      <c r="Q125" s="29" t="s">
        <v>105</v>
      </c>
      <c r="R125" s="29" t="s">
        <v>74</v>
      </c>
      <c r="S125" s="34" t="n">
        <v>0</v>
      </c>
      <c r="T125" s="34" t="n">
        <v>5500000</v>
      </c>
      <c r="U125" s="34" t="n">
        <v>1045000</v>
      </c>
      <c r="V125" s="29"/>
      <c r="W125" s="35" t="n">
        <v>6545000</v>
      </c>
      <c r="X125" s="36"/>
      <c r="Y125" s="37"/>
      <c r="Z125" s="37"/>
      <c r="AA125" s="37"/>
      <c r="AB125" s="38" t="n">
        <f aca="false">+W125-AC125</f>
        <v>6545000</v>
      </c>
      <c r="AC125" s="34" t="n">
        <f aca="false">+Tabla[[#This Row],[P4]]+Tabla[[#This Row],[P3]]+Tabla[[#This Row],[P2]]+Tabla[[#This Row],[P1]]</f>
        <v>0</v>
      </c>
      <c r="AD125" s="34" t="n">
        <f aca="false">+W125-AC125</f>
        <v>6545000</v>
      </c>
      <c r="AE125" s="21" t="str">
        <f aca="false">IF(AB125&lt;1,"PAGADA","PENDIENTE")</f>
        <v>PENDIENTE</v>
      </c>
      <c r="AF125" s="21"/>
      <c r="AG125" s="29"/>
      <c r="AH125" s="40"/>
      <c r="AI125" s="40" t="n">
        <f aca="false">+IF(Tabla[[#This Row],[FECHA PAGO / ABONO]]&lt;1,0,(MONTH(Tabla[[#This Row],[FECHA PAGO / ABONO]])))</f>
        <v>0</v>
      </c>
      <c r="AJ125" s="40" t="n">
        <f aca="false">+IF(Tabla[[#This Row],[FECHA PAGO / ABONO]]&lt;1,0,(YEAR(Tabla[[#This Row],[FECHA PAGO / ABONO]])))</f>
        <v>0</v>
      </c>
      <c r="AK125" s="41"/>
    </row>
    <row r="126" customFormat="false" ht="14.25" hidden="false" customHeight="false" outlineLevel="0" collapsed="false">
      <c r="A126" s="28" t="s">
        <v>185</v>
      </c>
      <c r="B126" s="29" t="s">
        <v>186</v>
      </c>
      <c r="C126" s="29" t="s">
        <v>69</v>
      </c>
      <c r="D126" s="21" t="n">
        <v>138452</v>
      </c>
      <c r="E126" s="21" t="str">
        <f aca="false">+CONCATENATE(Tabla[[#This Row],[RUT]],Tabla[[#This Row],[PROVEEDOR]],Tabla[[#This Row],[FACTURA]])</f>
        <v>79947310-0PRISA MEDIA CHILE S.A.138452</v>
      </c>
      <c r="F126" s="30" t="n">
        <v>46042</v>
      </c>
      <c r="G126" s="31" t="n">
        <f aca="false">+F126+30</f>
        <v>46072</v>
      </c>
      <c r="H126" s="29" t="n">
        <f aca="true">+IF(AE126="PAGADA",0,TODAY()-G126)</f>
        <v>132</v>
      </c>
      <c r="I126" s="29" t="str">
        <f aca="false">+IF(H126&gt;180,"Atrasada",IF(H126&gt;150,"150 dias",IF(H126&gt;120,"120 dias",IF(H126&gt;90,"90 dias",IF(H126&gt;60,"60 dias",IF(H126&gt;30,"30 dias","Al Día"))))))</f>
        <v>120 dias</v>
      </c>
      <c r="J126" s="32" t="s">
        <v>80</v>
      </c>
      <c r="K126" s="29" t="s">
        <v>81</v>
      </c>
      <c r="L126" s="33" t="s">
        <v>72</v>
      </c>
      <c r="M126" s="29" t="n">
        <f aca="false">+YEAR(F126)</f>
        <v>2026</v>
      </c>
      <c r="N126" s="29" t="n">
        <v>2025</v>
      </c>
      <c r="O126" s="29" t="n">
        <v>12</v>
      </c>
      <c r="P126" s="29" t="str">
        <f aca="false">+CONCATENATE(Tabla[[#This Row],[MES CAMPAÑA]],"/",Tabla[[#This Row],[AÑO CAMPAÑA]])</f>
        <v>12/2025</v>
      </c>
      <c r="Q126" s="29" t="s">
        <v>189</v>
      </c>
      <c r="R126" s="29" t="s">
        <v>74</v>
      </c>
      <c r="S126" s="34" t="n">
        <v>0</v>
      </c>
      <c r="T126" s="34" t="n">
        <v>3400000</v>
      </c>
      <c r="U126" s="34" t="n">
        <v>646000</v>
      </c>
      <c r="V126" s="29"/>
      <c r="W126" s="35" t="n">
        <v>4046000</v>
      </c>
      <c r="X126" s="36"/>
      <c r="Y126" s="37"/>
      <c r="Z126" s="37"/>
      <c r="AA126" s="37"/>
      <c r="AB126" s="38" t="n">
        <f aca="false">+W126-AC126</f>
        <v>4046000</v>
      </c>
      <c r="AC126" s="34" t="n">
        <f aca="false">+Tabla[[#This Row],[P4]]+Tabla[[#This Row],[P3]]+Tabla[[#This Row],[P2]]+Tabla[[#This Row],[P1]]</f>
        <v>0</v>
      </c>
      <c r="AD126" s="34" t="n">
        <f aca="false">+W126-AC126</f>
        <v>4046000</v>
      </c>
      <c r="AE126" s="21" t="str">
        <f aca="false">IF(AB126&lt;1,"PAGADA","PENDIENTE")</f>
        <v>PENDIENTE</v>
      </c>
      <c r="AF126" s="21"/>
      <c r="AG126" s="29"/>
      <c r="AH126" s="40"/>
      <c r="AI126" s="40" t="n">
        <f aca="false">+IF(Tabla[[#This Row],[FECHA PAGO / ABONO]]&lt;1,0,(MONTH(Tabla[[#This Row],[FECHA PAGO / ABONO]])))</f>
        <v>0</v>
      </c>
      <c r="AJ126" s="40" t="n">
        <f aca="false">+IF(Tabla[[#This Row],[FECHA PAGO / ABONO]]&lt;1,0,(YEAR(Tabla[[#This Row],[FECHA PAGO / ABONO]])))</f>
        <v>0</v>
      </c>
      <c r="AK126" s="41"/>
    </row>
    <row r="127" customFormat="false" ht="14.25" hidden="false" customHeight="false" outlineLevel="0" collapsed="false">
      <c r="A127" s="28" t="s">
        <v>185</v>
      </c>
      <c r="B127" s="29" t="s">
        <v>186</v>
      </c>
      <c r="C127" s="29" t="s">
        <v>69</v>
      </c>
      <c r="D127" s="21" t="n">
        <v>138458</v>
      </c>
      <c r="E127" s="21" t="str">
        <f aca="false">+CONCATENATE(Tabla[[#This Row],[RUT]],Tabla[[#This Row],[PROVEEDOR]],Tabla[[#This Row],[FACTURA]])</f>
        <v>79947310-0PRISA MEDIA CHILE S.A.138458</v>
      </c>
      <c r="F127" s="30" t="n">
        <v>46042</v>
      </c>
      <c r="G127" s="31" t="n">
        <f aca="false">+F127+30</f>
        <v>46072</v>
      </c>
      <c r="H127" s="29" t="n">
        <f aca="true">+IF(AE127="PAGADA",0,TODAY()-G127)</f>
        <v>132</v>
      </c>
      <c r="I127" s="29" t="str">
        <f aca="false">+IF(H127&gt;180,"Atrasada",IF(H127&gt;150,"150 dias",IF(H127&gt;120,"120 dias",IF(H127&gt;90,"90 dias",IF(H127&gt;60,"60 dias",IF(H127&gt;30,"30 dias","Al Día"))))))</f>
        <v>120 dias</v>
      </c>
      <c r="J127" s="32" t="s">
        <v>80</v>
      </c>
      <c r="K127" s="29" t="s">
        <v>81</v>
      </c>
      <c r="L127" s="33" t="s">
        <v>72</v>
      </c>
      <c r="M127" s="29" t="n">
        <f aca="false">+YEAR(F127)</f>
        <v>2026</v>
      </c>
      <c r="N127" s="29" t="n">
        <v>2025</v>
      </c>
      <c r="O127" s="29" t="n">
        <v>12</v>
      </c>
      <c r="P127" s="29" t="str">
        <f aca="false">+CONCATENATE(Tabla[[#This Row],[MES CAMPAÑA]],"/",Tabla[[#This Row],[AÑO CAMPAÑA]])</f>
        <v>12/2025</v>
      </c>
      <c r="Q127" s="29" t="s">
        <v>190</v>
      </c>
      <c r="R127" s="29" t="s">
        <v>74</v>
      </c>
      <c r="S127" s="34" t="n">
        <v>0</v>
      </c>
      <c r="T127" s="34" t="n">
        <v>1050000</v>
      </c>
      <c r="U127" s="34" t="n">
        <v>199500</v>
      </c>
      <c r="V127" s="29"/>
      <c r="W127" s="35" t="n">
        <v>1249500</v>
      </c>
      <c r="X127" s="36"/>
      <c r="Y127" s="37"/>
      <c r="Z127" s="37"/>
      <c r="AA127" s="37"/>
      <c r="AB127" s="38" t="n">
        <f aca="false">+W127-AC127</f>
        <v>1249500</v>
      </c>
      <c r="AC127" s="34" t="n">
        <f aca="false">+Tabla[[#This Row],[P4]]+Tabla[[#This Row],[P3]]+Tabla[[#This Row],[P2]]+Tabla[[#This Row],[P1]]</f>
        <v>0</v>
      </c>
      <c r="AD127" s="34" t="n">
        <f aca="false">+W127-AC127</f>
        <v>1249500</v>
      </c>
      <c r="AE127" s="21" t="str">
        <f aca="false">IF(AB127&lt;1,"PAGADA","PENDIENTE")</f>
        <v>PENDIENTE</v>
      </c>
      <c r="AF127" s="21"/>
      <c r="AG127" s="29"/>
      <c r="AH127" s="40"/>
      <c r="AI127" s="40" t="n">
        <f aca="false">+IF(Tabla[[#This Row],[FECHA PAGO / ABONO]]&lt;1,0,(MONTH(Tabla[[#This Row],[FECHA PAGO / ABONO]])))</f>
        <v>0</v>
      </c>
      <c r="AJ127" s="40" t="n">
        <f aca="false">+IF(Tabla[[#This Row],[FECHA PAGO / ABONO]]&lt;1,0,(YEAR(Tabla[[#This Row],[FECHA PAGO / ABONO]])))</f>
        <v>0</v>
      </c>
      <c r="AK127" s="41"/>
    </row>
    <row r="128" customFormat="false" ht="14.25" hidden="false" customHeight="false" outlineLevel="0" collapsed="false">
      <c r="A128" s="28" t="s">
        <v>185</v>
      </c>
      <c r="B128" s="29" t="s">
        <v>186</v>
      </c>
      <c r="C128" s="29" t="s">
        <v>69</v>
      </c>
      <c r="D128" s="21" t="n">
        <v>138453</v>
      </c>
      <c r="E128" s="21" t="str">
        <f aca="false">+CONCATENATE(Tabla[[#This Row],[RUT]],Tabla[[#This Row],[PROVEEDOR]],Tabla[[#This Row],[FACTURA]])</f>
        <v>79947310-0PRISA MEDIA CHILE S.A.138453</v>
      </c>
      <c r="F128" s="30" t="n">
        <v>46042</v>
      </c>
      <c r="G128" s="31" t="n">
        <f aca="false">+F128+30</f>
        <v>46072</v>
      </c>
      <c r="H128" s="29" t="n">
        <f aca="true">+IF(AE128="PAGADA",0,TODAY()-G128)</f>
        <v>132</v>
      </c>
      <c r="I128" s="29" t="str">
        <f aca="false">+IF(H128&gt;180,"Atrasada",IF(H128&gt;150,"150 dias",IF(H128&gt;120,"120 dias",IF(H128&gt;90,"90 dias",IF(H128&gt;60,"60 dias",IF(H128&gt;30,"30 dias","Al Día"))))))</f>
        <v>120 dias</v>
      </c>
      <c r="J128" s="32" t="s">
        <v>80</v>
      </c>
      <c r="K128" s="29" t="s">
        <v>81</v>
      </c>
      <c r="L128" s="33" t="s">
        <v>72</v>
      </c>
      <c r="M128" s="29" t="n">
        <f aca="false">+YEAR(F128)</f>
        <v>2026</v>
      </c>
      <c r="N128" s="29" t="n">
        <v>2025</v>
      </c>
      <c r="O128" s="29" t="n">
        <v>12</v>
      </c>
      <c r="P128" s="29" t="str">
        <f aca="false">+CONCATENATE(Tabla[[#This Row],[MES CAMPAÑA]],"/",Tabla[[#This Row],[AÑO CAMPAÑA]])</f>
        <v>12/2025</v>
      </c>
      <c r="Q128" s="29" t="s">
        <v>187</v>
      </c>
      <c r="R128" s="29" t="s">
        <v>74</v>
      </c>
      <c r="S128" s="34" t="n">
        <v>0</v>
      </c>
      <c r="T128" s="34" t="n">
        <v>2394000</v>
      </c>
      <c r="U128" s="34" t="n">
        <v>454860</v>
      </c>
      <c r="V128" s="29"/>
      <c r="W128" s="35" t="n">
        <v>2848860</v>
      </c>
      <c r="X128" s="36"/>
      <c r="Y128" s="37"/>
      <c r="Z128" s="37"/>
      <c r="AA128" s="37"/>
      <c r="AB128" s="38" t="n">
        <f aca="false">+W128-AC128</f>
        <v>2848860</v>
      </c>
      <c r="AC128" s="34" t="n">
        <f aca="false">+Tabla[[#This Row],[P4]]+Tabla[[#This Row],[P3]]+Tabla[[#This Row],[P2]]+Tabla[[#This Row],[P1]]</f>
        <v>0</v>
      </c>
      <c r="AD128" s="34" t="n">
        <f aca="false">+W128-AC128</f>
        <v>2848860</v>
      </c>
      <c r="AE128" s="21" t="str">
        <f aca="false">IF(AB128&lt;1,"PAGADA","PENDIENTE")</f>
        <v>PENDIENTE</v>
      </c>
      <c r="AF128" s="21"/>
      <c r="AG128" s="29"/>
      <c r="AH128" s="40"/>
      <c r="AI128" s="40" t="n">
        <f aca="false">+IF(Tabla[[#This Row],[FECHA PAGO / ABONO]]&lt;1,0,(MONTH(Tabla[[#This Row],[FECHA PAGO / ABONO]])))</f>
        <v>0</v>
      </c>
      <c r="AJ128" s="40" t="n">
        <f aca="false">+IF(Tabla[[#This Row],[FECHA PAGO / ABONO]]&lt;1,0,(YEAR(Tabla[[#This Row],[FECHA PAGO / ABONO]])))</f>
        <v>0</v>
      </c>
      <c r="AK128" s="41"/>
    </row>
    <row r="129" customFormat="false" ht="14.25" hidden="false" customHeight="false" outlineLevel="0" collapsed="false">
      <c r="A129" s="28" t="s">
        <v>185</v>
      </c>
      <c r="B129" s="29" t="s">
        <v>186</v>
      </c>
      <c r="C129" s="29" t="s">
        <v>69</v>
      </c>
      <c r="D129" s="21" t="n">
        <v>138454</v>
      </c>
      <c r="E129" s="21" t="str">
        <f aca="false">+CONCATENATE(Tabla[[#This Row],[RUT]],Tabla[[#This Row],[PROVEEDOR]],Tabla[[#This Row],[FACTURA]])</f>
        <v>79947310-0PRISA MEDIA CHILE S.A.138454</v>
      </c>
      <c r="F129" s="30" t="n">
        <v>46042</v>
      </c>
      <c r="G129" s="31" t="n">
        <f aca="false">+F129+30</f>
        <v>46072</v>
      </c>
      <c r="H129" s="29" t="n">
        <f aca="true">+IF(AE129="PAGADA",0,TODAY()-G129)</f>
        <v>132</v>
      </c>
      <c r="I129" s="29" t="str">
        <f aca="false">+IF(H129&gt;180,"Atrasada",IF(H129&gt;150,"150 dias",IF(H129&gt;120,"120 dias",IF(H129&gt;90,"90 dias",IF(H129&gt;60,"60 dias",IF(H129&gt;30,"30 dias","Al Día"))))))</f>
        <v>120 dias</v>
      </c>
      <c r="J129" s="32" t="s">
        <v>80</v>
      </c>
      <c r="K129" s="29" t="s">
        <v>81</v>
      </c>
      <c r="L129" s="33" t="s">
        <v>72</v>
      </c>
      <c r="M129" s="29" t="n">
        <f aca="false">+YEAR(F129)</f>
        <v>2026</v>
      </c>
      <c r="N129" s="29" t="n">
        <v>2025</v>
      </c>
      <c r="O129" s="29" t="n">
        <v>12</v>
      </c>
      <c r="P129" s="29" t="str">
        <f aca="false">+CONCATENATE(Tabla[[#This Row],[MES CAMPAÑA]],"/",Tabla[[#This Row],[AÑO CAMPAÑA]])</f>
        <v>12/2025</v>
      </c>
      <c r="Q129" s="29" t="s">
        <v>187</v>
      </c>
      <c r="R129" s="29" t="s">
        <v>74</v>
      </c>
      <c r="S129" s="34" t="n">
        <v>0</v>
      </c>
      <c r="T129" s="34" t="n">
        <v>3276000</v>
      </c>
      <c r="U129" s="34" t="n">
        <v>622440</v>
      </c>
      <c r="V129" s="29"/>
      <c r="W129" s="35" t="n">
        <v>3898440</v>
      </c>
      <c r="X129" s="36"/>
      <c r="Y129" s="37"/>
      <c r="Z129" s="37"/>
      <c r="AA129" s="37"/>
      <c r="AB129" s="38" t="n">
        <f aca="false">+W129-AC129</f>
        <v>3898440</v>
      </c>
      <c r="AC129" s="34" t="n">
        <f aca="false">+Tabla[[#This Row],[P4]]+Tabla[[#This Row],[P3]]+Tabla[[#This Row],[P2]]+Tabla[[#This Row],[P1]]</f>
        <v>0</v>
      </c>
      <c r="AD129" s="34" t="n">
        <f aca="false">+W129-AC129</f>
        <v>3898440</v>
      </c>
      <c r="AE129" s="21" t="str">
        <f aca="false">IF(AB129&lt;1,"PAGADA","PENDIENTE")</f>
        <v>PENDIENTE</v>
      </c>
      <c r="AF129" s="21"/>
      <c r="AG129" s="29"/>
      <c r="AH129" s="40"/>
      <c r="AI129" s="40" t="n">
        <f aca="false">+IF(Tabla[[#This Row],[FECHA PAGO / ABONO]]&lt;1,0,(MONTH(Tabla[[#This Row],[FECHA PAGO / ABONO]])))</f>
        <v>0</v>
      </c>
      <c r="AJ129" s="40" t="n">
        <f aca="false">+IF(Tabla[[#This Row],[FECHA PAGO / ABONO]]&lt;1,0,(YEAR(Tabla[[#This Row],[FECHA PAGO / ABONO]])))</f>
        <v>0</v>
      </c>
      <c r="AK129" s="41"/>
    </row>
    <row r="130" customFormat="false" ht="14.25" hidden="false" customHeight="false" outlineLevel="0" collapsed="false">
      <c r="A130" s="28" t="s">
        <v>191</v>
      </c>
      <c r="B130" s="29" t="s">
        <v>192</v>
      </c>
      <c r="C130" s="29" t="s">
        <v>69</v>
      </c>
      <c r="D130" s="21" t="n">
        <v>40570</v>
      </c>
      <c r="E130" s="21" t="str">
        <f aca="false">+CONCATENATE(Tabla[[#This Row],[RUT]],Tabla[[#This Row],[PROVEEDOR]],Tabla[[#This Row],[FACTURA]])</f>
        <v>94795000-2CIA.CHILENA DE COMUNICACIONES S.A.40570</v>
      </c>
      <c r="F130" s="30" t="n">
        <v>46042</v>
      </c>
      <c r="G130" s="31" t="n">
        <f aca="false">+F130+30</f>
        <v>46072</v>
      </c>
      <c r="H130" s="29" t="n">
        <f aca="true">+IF(AE130="PAGADA",0,TODAY()-G130)</f>
        <v>0</v>
      </c>
      <c r="I130" s="29" t="str">
        <f aca="false">+IF(H130&gt;180,"Atrasada",IF(H130&gt;150,"150 dias",IF(H130&gt;120,"120 dias",IF(H130&gt;90,"90 dias",IF(H130&gt;60,"60 dias",IF(H130&gt;30,"30 dias","Al Día"))))))</f>
        <v>Al Día</v>
      </c>
      <c r="J130" s="32" t="s">
        <v>80</v>
      </c>
      <c r="K130" s="29" t="s">
        <v>81</v>
      </c>
      <c r="L130" s="33" t="s">
        <v>72</v>
      </c>
      <c r="M130" s="29" t="n">
        <f aca="false">+YEAR(F130)</f>
        <v>2026</v>
      </c>
      <c r="N130" s="29" t="n">
        <v>2025</v>
      </c>
      <c r="O130" s="29" t="n">
        <v>12</v>
      </c>
      <c r="P130" s="29" t="str">
        <f aca="false">+CONCATENATE(Tabla[[#This Row],[MES CAMPAÑA]],"/",Tabla[[#This Row],[AÑO CAMPAÑA]])</f>
        <v>12/2025</v>
      </c>
      <c r="Q130" s="29" t="s">
        <v>92</v>
      </c>
      <c r="R130" s="29" t="s">
        <v>74</v>
      </c>
      <c r="S130" s="34" t="n">
        <v>0</v>
      </c>
      <c r="T130" s="34" t="n">
        <v>1196000</v>
      </c>
      <c r="U130" s="34" t="n">
        <v>227240</v>
      </c>
      <c r="V130" s="29"/>
      <c r="W130" s="35" t="n">
        <v>1423240</v>
      </c>
      <c r="X130" s="36" t="n">
        <f aca="false">+Tabla[[#This Row],[TOTAL]]</f>
        <v>1423240</v>
      </c>
      <c r="Y130" s="37"/>
      <c r="Z130" s="37"/>
      <c r="AA130" s="37"/>
      <c r="AB130" s="38" t="n">
        <f aca="false">+W130-AC130</f>
        <v>0</v>
      </c>
      <c r="AC130" s="34" t="n">
        <f aca="false">+Tabla[[#This Row],[P4]]+Tabla[[#This Row],[P3]]+Tabla[[#This Row],[P2]]+Tabla[[#This Row],[P1]]</f>
        <v>1423240</v>
      </c>
      <c r="AD130" s="34" t="n">
        <f aca="false">+W130-AC130</f>
        <v>0</v>
      </c>
      <c r="AE130" s="21" t="str">
        <f aca="false">IF(AB130&lt;1,"PAGADA","PENDIENTE")</f>
        <v>PAGADA</v>
      </c>
      <c r="AF130" s="21" t="s">
        <v>193</v>
      </c>
      <c r="AG130" s="29" t="s">
        <v>77</v>
      </c>
      <c r="AH130" s="39" t="n">
        <v>46195</v>
      </c>
      <c r="AI130" s="40" t="n">
        <f aca="false">+IF(Tabla[[#This Row],[FECHA PAGO / ABONO]]&lt;1,0,(MONTH(Tabla[[#This Row],[FECHA PAGO / ABONO]])))</f>
        <v>6</v>
      </c>
      <c r="AJ130" s="40" t="n">
        <f aca="false">+IF(Tabla[[#This Row],[FECHA PAGO / ABONO]]&lt;1,0,(YEAR(Tabla[[#This Row],[FECHA PAGO / ABONO]])))</f>
        <v>2026</v>
      </c>
      <c r="AK130" s="41"/>
    </row>
    <row r="131" customFormat="false" ht="14.25" hidden="false" customHeight="false" outlineLevel="0" collapsed="false">
      <c r="A131" s="28" t="s">
        <v>191</v>
      </c>
      <c r="B131" s="29" t="s">
        <v>192</v>
      </c>
      <c r="C131" s="29" t="s">
        <v>69</v>
      </c>
      <c r="D131" s="21" t="n">
        <v>40571</v>
      </c>
      <c r="E131" s="21" t="str">
        <f aca="false">+CONCATENATE(Tabla[[#This Row],[RUT]],Tabla[[#This Row],[PROVEEDOR]],Tabla[[#This Row],[FACTURA]])</f>
        <v>94795000-2CIA.CHILENA DE COMUNICACIONES S.A.40571</v>
      </c>
      <c r="F131" s="30" t="n">
        <v>46042</v>
      </c>
      <c r="G131" s="31" t="n">
        <f aca="false">+F131+30</f>
        <v>46072</v>
      </c>
      <c r="H131" s="29" t="n">
        <f aca="true">+IF(AE131="PAGADA",0,TODAY()-G131)</f>
        <v>0</v>
      </c>
      <c r="I131" s="29" t="str">
        <f aca="false">+IF(H131&gt;180,"Atrasada",IF(H131&gt;150,"150 dias",IF(H131&gt;120,"120 dias",IF(H131&gt;90,"90 dias",IF(H131&gt;60,"60 dias",IF(H131&gt;30,"30 dias","Al Día"))))))</f>
        <v>Al Día</v>
      </c>
      <c r="J131" s="32" t="s">
        <v>80</v>
      </c>
      <c r="K131" s="29" t="s">
        <v>81</v>
      </c>
      <c r="L131" s="33" t="s">
        <v>72</v>
      </c>
      <c r="M131" s="29" t="n">
        <f aca="false">+YEAR(F131)</f>
        <v>2026</v>
      </c>
      <c r="N131" s="29" t="n">
        <v>2025</v>
      </c>
      <c r="O131" s="29" t="n">
        <v>12</v>
      </c>
      <c r="P131" s="29" t="str">
        <f aca="false">+CONCATENATE(Tabla[[#This Row],[MES CAMPAÑA]],"/",Tabla[[#This Row],[AÑO CAMPAÑA]])</f>
        <v>12/2025</v>
      </c>
      <c r="Q131" s="29" t="s">
        <v>194</v>
      </c>
      <c r="R131" s="29" t="s">
        <v>74</v>
      </c>
      <c r="S131" s="34" t="n">
        <v>0</v>
      </c>
      <c r="T131" s="34" t="n">
        <v>3000000</v>
      </c>
      <c r="U131" s="34" t="n">
        <v>570000</v>
      </c>
      <c r="V131" s="29"/>
      <c r="W131" s="35" t="n">
        <v>3570000</v>
      </c>
      <c r="X131" s="36" t="n">
        <f aca="false">+Tabla[[#This Row],[TOTAL]]</f>
        <v>3570000</v>
      </c>
      <c r="Y131" s="37"/>
      <c r="Z131" s="37"/>
      <c r="AA131" s="37"/>
      <c r="AB131" s="38" t="n">
        <f aca="false">+W131-AC131</f>
        <v>0</v>
      </c>
      <c r="AC131" s="34" t="n">
        <f aca="false">+Tabla[[#This Row],[P4]]+Tabla[[#This Row],[P3]]+Tabla[[#This Row],[P2]]+Tabla[[#This Row],[P1]]</f>
        <v>3570000</v>
      </c>
      <c r="AD131" s="34" t="n">
        <f aca="false">+W131-AC131</f>
        <v>0</v>
      </c>
      <c r="AE131" s="21" t="str">
        <f aca="false">IF(AB131&lt;1,"PAGADA","PENDIENTE")</f>
        <v>PAGADA</v>
      </c>
      <c r="AF131" s="21" t="s">
        <v>193</v>
      </c>
      <c r="AG131" s="29" t="s">
        <v>77</v>
      </c>
      <c r="AH131" s="39" t="n">
        <v>46195</v>
      </c>
      <c r="AI131" s="40" t="n">
        <f aca="false">+IF(Tabla[[#This Row],[FECHA PAGO / ABONO]]&lt;1,0,(MONTH(Tabla[[#This Row],[FECHA PAGO / ABONO]])))</f>
        <v>6</v>
      </c>
      <c r="AJ131" s="40" t="n">
        <f aca="false">+IF(Tabla[[#This Row],[FECHA PAGO / ABONO]]&lt;1,0,(YEAR(Tabla[[#This Row],[FECHA PAGO / ABONO]])))</f>
        <v>2026</v>
      </c>
      <c r="AK131" s="41"/>
    </row>
    <row r="132" customFormat="false" ht="14.25" hidden="false" customHeight="false" outlineLevel="0" collapsed="false">
      <c r="A132" s="28" t="s">
        <v>195</v>
      </c>
      <c r="B132" s="29" t="s">
        <v>196</v>
      </c>
      <c r="C132" s="29" t="s">
        <v>69</v>
      </c>
      <c r="D132" s="21" t="n">
        <v>599</v>
      </c>
      <c r="E132" s="21" t="str">
        <f aca="false">+CONCATENATE(Tabla[[#This Row],[RUT]],Tabla[[#This Row],[PROVEEDOR]],Tabla[[#This Row],[FACTURA]])</f>
        <v>5345224-8RICARDO JOSE JESUS ROJAS NAVARRETE599</v>
      </c>
      <c r="F132" s="30" t="n">
        <v>46043</v>
      </c>
      <c r="G132" s="31" t="n">
        <f aca="false">+F132+30</f>
        <v>46073</v>
      </c>
      <c r="H132" s="29" t="n">
        <f aca="true">+IF(AE132="PAGADA",0,TODAY()-G132)</f>
        <v>0</v>
      </c>
      <c r="I132" s="29" t="str">
        <f aca="false">+IF(H132&gt;180,"Atrasada",IF(H132&gt;150,"150 dias",IF(H132&gt;120,"120 dias",IF(H132&gt;90,"90 dias",IF(H132&gt;60,"60 dias",IF(H132&gt;30,"30 dias","Al Día"))))))</f>
        <v>Al Día</v>
      </c>
      <c r="J132" s="32" t="s">
        <v>80</v>
      </c>
      <c r="K132" s="29" t="s">
        <v>81</v>
      </c>
      <c r="L132" s="33" t="s">
        <v>72</v>
      </c>
      <c r="M132" s="29" t="n">
        <f aca="false">+YEAR(F132)</f>
        <v>2026</v>
      </c>
      <c r="N132" s="29" t="n">
        <v>2025</v>
      </c>
      <c r="O132" s="29" t="n">
        <v>12</v>
      </c>
      <c r="P132" s="29" t="str">
        <f aca="false">+CONCATENATE(Tabla[[#This Row],[MES CAMPAÑA]],"/",Tabla[[#This Row],[AÑO CAMPAÑA]])</f>
        <v>12/2025</v>
      </c>
      <c r="Q132" s="29" t="s">
        <v>108</v>
      </c>
      <c r="R132" s="29" t="s">
        <v>74</v>
      </c>
      <c r="S132" s="34" t="n">
        <v>0</v>
      </c>
      <c r="T132" s="34" t="n">
        <v>607200</v>
      </c>
      <c r="U132" s="34" t="n">
        <v>115368</v>
      </c>
      <c r="V132" s="29"/>
      <c r="W132" s="35" t="n">
        <v>722568</v>
      </c>
      <c r="X132" s="36" t="n">
        <f aca="false">+Tabla[[#This Row],[TOTAL]]</f>
        <v>722568</v>
      </c>
      <c r="Y132" s="37"/>
      <c r="Z132" s="37"/>
      <c r="AA132" s="37"/>
      <c r="AB132" s="38" t="n">
        <f aca="false">+W132-AC132</f>
        <v>0</v>
      </c>
      <c r="AC132" s="34" t="n">
        <f aca="false">+Tabla[[#This Row],[P4]]+Tabla[[#This Row],[P3]]+Tabla[[#This Row],[P2]]+Tabla[[#This Row],[P1]]</f>
        <v>722568</v>
      </c>
      <c r="AD132" s="34" t="n">
        <f aca="false">+W132-AC132</f>
        <v>0</v>
      </c>
      <c r="AE132" s="21" t="str">
        <f aca="false">IF(AB132&lt;1,"PAGADA","PENDIENTE")</f>
        <v>PAGADA</v>
      </c>
      <c r="AF132" s="21"/>
      <c r="AG132" s="29" t="s">
        <v>77</v>
      </c>
      <c r="AH132" s="39" t="n">
        <v>46064</v>
      </c>
      <c r="AI132" s="40" t="n">
        <f aca="false">+IF(Tabla[[#This Row],[FECHA PAGO / ABONO]]&lt;1,0,(MONTH(Tabla[[#This Row],[FECHA PAGO / ABONO]])))</f>
        <v>2</v>
      </c>
      <c r="AJ132" s="40" t="n">
        <f aca="false">+IF(Tabla[[#This Row],[FECHA PAGO / ABONO]]&lt;1,0,(YEAR(Tabla[[#This Row],[FECHA PAGO / ABONO]])))</f>
        <v>2026</v>
      </c>
      <c r="AK132" s="41"/>
    </row>
    <row r="133" customFormat="false" ht="14.25" hidden="false" customHeight="false" outlineLevel="0" collapsed="false">
      <c r="A133" s="28" t="s">
        <v>197</v>
      </c>
      <c r="B133" s="29" t="s">
        <v>198</v>
      </c>
      <c r="C133" s="29" t="s">
        <v>69</v>
      </c>
      <c r="D133" s="21" t="n">
        <v>33952841</v>
      </c>
      <c r="E133" s="21" t="str">
        <f aca="false">+CONCATENATE(Tabla[[#This Row],[RUT]],Tabla[[#This Row],[PROVEEDOR]],Tabla[[#This Row],[FACTURA]])</f>
        <v>96800570-7ENEL DISTRIBUCIÃ“N CHILE S.A33952841</v>
      </c>
      <c r="F133" s="30" t="n">
        <v>46043</v>
      </c>
      <c r="G133" s="31" t="n">
        <f aca="false">+F133+30</f>
        <v>46073</v>
      </c>
      <c r="H133" s="29" t="n">
        <f aca="true">+IF(AE133="PAGADA",0,TODAY()-G133)</f>
        <v>0</v>
      </c>
      <c r="I133" s="29" t="str">
        <f aca="false">+IF(H133&gt;180,"Atrasada",IF(H133&gt;150,"150 dias",IF(H133&gt;120,"120 dias",IF(H133&gt;90,"90 dias",IF(H133&gt;60,"60 dias",IF(H133&gt;30,"30 dias","Al Día"))))))</f>
        <v>Al Día</v>
      </c>
      <c r="J133" s="32" t="s">
        <v>31</v>
      </c>
      <c r="K133" s="29" t="s">
        <v>71</v>
      </c>
      <c r="L133" s="33" t="s">
        <v>72</v>
      </c>
      <c r="M133" s="29" t="n">
        <f aca="false">+YEAR(F133)</f>
        <v>2026</v>
      </c>
      <c r="N133" s="29" t="n">
        <v>2025</v>
      </c>
      <c r="O133" s="29" t="n">
        <v>12</v>
      </c>
      <c r="P133" s="29" t="str">
        <f aca="false">+CONCATENATE(Tabla[[#This Row],[MES CAMPAÑA]],"/",Tabla[[#This Row],[AÑO CAMPAÑA]])</f>
        <v>12/2025</v>
      </c>
      <c r="Q133" s="29" t="s">
        <v>73</v>
      </c>
      <c r="R133" s="29" t="s">
        <v>74</v>
      </c>
      <c r="S133" s="34" t="n">
        <v>221</v>
      </c>
      <c r="T133" s="34" t="n">
        <v>56894</v>
      </c>
      <c r="U133" s="34" t="n">
        <v>10810</v>
      </c>
      <c r="V133" s="29"/>
      <c r="W133" s="35" t="n">
        <v>67925</v>
      </c>
      <c r="X133" s="36" t="n">
        <f aca="false">+Tabla[[#This Row],[TOTAL]]</f>
        <v>67925</v>
      </c>
      <c r="Y133" s="37"/>
      <c r="Z133" s="37"/>
      <c r="AA133" s="37"/>
      <c r="AB133" s="38" t="n">
        <f aca="false">+W133-AC133</f>
        <v>0</v>
      </c>
      <c r="AC133" s="34" t="n">
        <f aca="false">+Tabla[[#This Row],[P4]]+Tabla[[#This Row],[P3]]+Tabla[[#This Row],[P2]]+Tabla[[#This Row],[P1]]</f>
        <v>67925</v>
      </c>
      <c r="AD133" s="34" t="n">
        <f aca="false">+W133-AC133</f>
        <v>0</v>
      </c>
      <c r="AE133" s="21" t="str">
        <f aca="false">IF(AB133&lt;1,"PAGADA","PENDIENTE")</f>
        <v>PAGADA</v>
      </c>
      <c r="AF133" s="21"/>
      <c r="AG133" s="29"/>
      <c r="AH133" s="40"/>
      <c r="AI133" s="40" t="n">
        <f aca="false">+IF(Tabla[[#This Row],[FECHA PAGO / ABONO]]&lt;1,0,(MONTH(Tabla[[#This Row],[FECHA PAGO / ABONO]])))</f>
        <v>0</v>
      </c>
      <c r="AJ133" s="40" t="n">
        <f aca="false">+IF(Tabla[[#This Row],[FECHA PAGO / ABONO]]&lt;1,0,(YEAR(Tabla[[#This Row],[FECHA PAGO / ABONO]])))</f>
        <v>0</v>
      </c>
      <c r="AK133" s="41"/>
    </row>
    <row r="134" customFormat="false" ht="14.25" hidden="false" customHeight="false" outlineLevel="0" collapsed="false">
      <c r="A134" s="28" t="s">
        <v>197</v>
      </c>
      <c r="B134" s="29" t="s">
        <v>198</v>
      </c>
      <c r="C134" s="29" t="s">
        <v>69</v>
      </c>
      <c r="D134" s="21" t="n">
        <v>33953830</v>
      </c>
      <c r="E134" s="21" t="str">
        <f aca="false">+CONCATENATE(Tabla[[#This Row],[RUT]],Tabla[[#This Row],[PROVEEDOR]],Tabla[[#This Row],[FACTURA]])</f>
        <v>96800570-7ENEL DISTRIBUCIÃ“N CHILE S.A33953830</v>
      </c>
      <c r="F134" s="30" t="n">
        <v>46043</v>
      </c>
      <c r="G134" s="31" t="n">
        <f aca="false">+F134+30</f>
        <v>46073</v>
      </c>
      <c r="H134" s="29" t="n">
        <f aca="true">+IF(AE134="PAGADA",0,TODAY()-G134)</f>
        <v>0</v>
      </c>
      <c r="I134" s="29" t="str">
        <f aca="false">+IF(H134&gt;180,"Atrasada",IF(H134&gt;150,"150 dias",IF(H134&gt;120,"120 dias",IF(H134&gt;90,"90 dias",IF(H134&gt;60,"60 dias",IF(H134&gt;30,"30 dias","Al Día"))))))</f>
        <v>Al Día</v>
      </c>
      <c r="J134" s="32" t="s">
        <v>31</v>
      </c>
      <c r="K134" s="29" t="s">
        <v>71</v>
      </c>
      <c r="L134" s="33" t="s">
        <v>72</v>
      </c>
      <c r="M134" s="29" t="n">
        <f aca="false">+YEAR(F134)</f>
        <v>2026</v>
      </c>
      <c r="N134" s="29" t="n">
        <v>2025</v>
      </c>
      <c r="O134" s="29" t="n">
        <v>12</v>
      </c>
      <c r="P134" s="29" t="str">
        <f aca="false">+CONCATENATE(Tabla[[#This Row],[MES CAMPAÑA]],"/",Tabla[[#This Row],[AÑO CAMPAÑA]])</f>
        <v>12/2025</v>
      </c>
      <c r="Q134" s="29" t="s">
        <v>73</v>
      </c>
      <c r="R134" s="29" t="s">
        <v>74</v>
      </c>
      <c r="S134" s="34" t="n">
        <v>1733</v>
      </c>
      <c r="T134" s="34" t="n">
        <v>126115</v>
      </c>
      <c r="U134" s="34" t="n">
        <v>23962</v>
      </c>
      <c r="V134" s="29"/>
      <c r="W134" s="35" t="n">
        <v>151810</v>
      </c>
      <c r="X134" s="36" t="n">
        <f aca="false">+Tabla[[#This Row],[TOTAL]]</f>
        <v>151810</v>
      </c>
      <c r="Y134" s="37"/>
      <c r="Z134" s="37"/>
      <c r="AA134" s="37"/>
      <c r="AB134" s="38" t="n">
        <f aca="false">+W134-AC134</f>
        <v>0</v>
      </c>
      <c r="AC134" s="34" t="n">
        <f aca="false">+Tabla[[#This Row],[P4]]+Tabla[[#This Row],[P3]]+Tabla[[#This Row],[P2]]+Tabla[[#This Row],[P1]]</f>
        <v>151810</v>
      </c>
      <c r="AD134" s="34" t="n">
        <f aca="false">+W134-AC134</f>
        <v>0</v>
      </c>
      <c r="AE134" s="21" t="str">
        <f aca="false">IF(AB134&lt;1,"PAGADA","PENDIENTE")</f>
        <v>PAGADA</v>
      </c>
      <c r="AF134" s="21"/>
      <c r="AG134" s="29"/>
      <c r="AH134" s="40"/>
      <c r="AI134" s="40" t="n">
        <f aca="false">+IF(Tabla[[#This Row],[FECHA PAGO / ABONO]]&lt;1,0,(MONTH(Tabla[[#This Row],[FECHA PAGO / ABONO]])))</f>
        <v>0</v>
      </c>
      <c r="AJ134" s="40" t="n">
        <f aca="false">+IF(Tabla[[#This Row],[FECHA PAGO / ABONO]]&lt;1,0,(YEAR(Tabla[[#This Row],[FECHA PAGO / ABONO]])))</f>
        <v>0</v>
      </c>
      <c r="AK134" s="41"/>
    </row>
    <row r="135" customFormat="false" ht="14.25" hidden="false" customHeight="false" outlineLevel="0" collapsed="false">
      <c r="A135" s="28" t="s">
        <v>199</v>
      </c>
      <c r="B135" s="29" t="s">
        <v>200</v>
      </c>
      <c r="C135" s="29" t="s">
        <v>69</v>
      </c>
      <c r="D135" s="21" t="n">
        <v>6390</v>
      </c>
      <c r="E135" s="21" t="str">
        <f aca="false">+CONCATENATE(Tabla[[#This Row],[RUT]],Tabla[[#This Row],[PROVEEDOR]],Tabla[[#This Row],[FACTURA]])</f>
        <v>96945160-3YES SOCIEDAD ANONIMA6390</v>
      </c>
      <c r="F135" s="30" t="n">
        <v>46043</v>
      </c>
      <c r="G135" s="31" t="n">
        <f aca="false">+F135+30</f>
        <v>46073</v>
      </c>
      <c r="H135" s="29" t="n">
        <f aca="true">+IF(AE135="PAGADA",0,TODAY()-G135)</f>
        <v>0</v>
      </c>
      <c r="I135" s="29" t="str">
        <f aca="false">+IF(H135&gt;180,"Atrasada",IF(H135&gt;150,"150 dias",IF(H135&gt;120,"120 dias",IF(H135&gt;90,"90 dias",IF(H135&gt;60,"60 dias",IF(H135&gt;30,"30 dias","Al Día"))))))</f>
        <v>Al Día</v>
      </c>
      <c r="J135" s="32" t="s">
        <v>80</v>
      </c>
      <c r="K135" s="29" t="s">
        <v>81</v>
      </c>
      <c r="L135" s="33" t="s">
        <v>72</v>
      </c>
      <c r="M135" s="29" t="n">
        <f aca="false">+YEAR(F135)</f>
        <v>2026</v>
      </c>
      <c r="N135" s="29" t="n">
        <v>2025</v>
      </c>
      <c r="O135" s="29" t="n">
        <v>12</v>
      </c>
      <c r="P135" s="29" t="str">
        <f aca="false">+CONCATENATE(Tabla[[#This Row],[MES CAMPAÑA]],"/",Tabla[[#This Row],[AÑO CAMPAÑA]])</f>
        <v>12/2025</v>
      </c>
      <c r="Q135" s="29" t="s">
        <v>92</v>
      </c>
      <c r="R135" s="29" t="s">
        <v>74</v>
      </c>
      <c r="S135" s="34" t="n">
        <v>0</v>
      </c>
      <c r="T135" s="34" t="n">
        <v>1163514</v>
      </c>
      <c r="U135" s="34" t="n">
        <v>221068</v>
      </c>
      <c r="V135" s="29"/>
      <c r="W135" s="35" t="n">
        <v>1384582</v>
      </c>
      <c r="X135" s="36" t="n">
        <f aca="false">+Tabla[[#This Row],[TOTAL]]</f>
        <v>1384582</v>
      </c>
      <c r="Y135" s="37"/>
      <c r="Z135" s="37"/>
      <c r="AA135" s="37"/>
      <c r="AB135" s="38" t="n">
        <f aca="false">+W135-AC135</f>
        <v>0</v>
      </c>
      <c r="AC135" s="34" t="n">
        <f aca="false">+Tabla[[#This Row],[P4]]+Tabla[[#This Row],[P3]]+Tabla[[#This Row],[P2]]+Tabla[[#This Row],[P1]]</f>
        <v>1384582</v>
      </c>
      <c r="AD135" s="34" t="n">
        <f aca="false">+W135-AC135</f>
        <v>0</v>
      </c>
      <c r="AE135" s="21" t="str">
        <f aca="false">IF(AB135&lt;1,"PAGADA","PENDIENTE")</f>
        <v>PAGADA</v>
      </c>
      <c r="AF135" s="21"/>
      <c r="AG135" s="29" t="s">
        <v>77</v>
      </c>
      <c r="AH135" s="39" t="n">
        <v>46170</v>
      </c>
      <c r="AI135" s="40" t="n">
        <f aca="false">+IF(Tabla[[#This Row],[FECHA PAGO / ABONO]]&lt;1,0,(MONTH(Tabla[[#This Row],[FECHA PAGO / ABONO]])))</f>
        <v>5</v>
      </c>
      <c r="AJ135" s="40" t="n">
        <f aca="false">+IF(Tabla[[#This Row],[FECHA PAGO / ABONO]]&lt;1,0,(YEAR(Tabla[[#This Row],[FECHA PAGO / ABONO]])))</f>
        <v>2026</v>
      </c>
      <c r="AK135" s="41"/>
    </row>
    <row r="136" customFormat="false" ht="14.25" hidden="false" customHeight="false" outlineLevel="0" collapsed="false">
      <c r="A136" s="28" t="s">
        <v>201</v>
      </c>
      <c r="B136" s="29" t="s">
        <v>202</v>
      </c>
      <c r="C136" s="29" t="s">
        <v>69</v>
      </c>
      <c r="D136" s="21" t="n">
        <v>6550</v>
      </c>
      <c r="E136" s="21" t="str">
        <f aca="false">+CONCATENATE(Tabla[[#This Row],[RUT]],Tabla[[#This Row],[PROVEEDOR]],Tabla[[#This Row],[FACTURA]])</f>
        <v>76394590-1SERVICIOS PUBLICITARIOS PUBLIVISION LIMITADA6550</v>
      </c>
      <c r="F136" s="30" t="n">
        <v>46043</v>
      </c>
      <c r="G136" s="31" t="n">
        <f aca="false">+F136+30</f>
        <v>46073</v>
      </c>
      <c r="H136" s="29" t="n">
        <f aca="true">+IF(AE136="PAGADA",0,TODAY()-G136)</f>
        <v>0</v>
      </c>
      <c r="I136" s="29" t="str">
        <f aca="false">+IF(H136&gt;180,"Atrasada",IF(H136&gt;150,"150 dias",IF(H136&gt;120,"120 dias",IF(H136&gt;90,"90 dias",IF(H136&gt;60,"60 dias",IF(H136&gt;30,"30 dias","Al Día"))))))</f>
        <v>Al Día</v>
      </c>
      <c r="J136" s="32" t="s">
        <v>80</v>
      </c>
      <c r="K136" s="29" t="s">
        <v>81</v>
      </c>
      <c r="L136" s="33" t="s">
        <v>72</v>
      </c>
      <c r="M136" s="29" t="n">
        <f aca="false">+YEAR(F136)</f>
        <v>2026</v>
      </c>
      <c r="N136" s="29" t="n">
        <v>2025</v>
      </c>
      <c r="O136" s="29" t="n">
        <v>12</v>
      </c>
      <c r="P136" s="29" t="str">
        <f aca="false">+CONCATENATE(Tabla[[#This Row],[MES CAMPAÑA]],"/",Tabla[[#This Row],[AÑO CAMPAÑA]])</f>
        <v>12/2025</v>
      </c>
      <c r="Q136" s="29" t="s">
        <v>92</v>
      </c>
      <c r="R136" s="29" t="s">
        <v>74</v>
      </c>
      <c r="S136" s="34" t="n">
        <v>0</v>
      </c>
      <c r="T136" s="34" t="n">
        <v>371685</v>
      </c>
      <c r="U136" s="34" t="n">
        <v>70620</v>
      </c>
      <c r="V136" s="29"/>
      <c r="W136" s="35" t="n">
        <v>442305</v>
      </c>
      <c r="X136" s="36" t="n">
        <f aca="false">+Tabla[[#This Row],[TOTAL]]</f>
        <v>442305</v>
      </c>
      <c r="Y136" s="37"/>
      <c r="Z136" s="37"/>
      <c r="AA136" s="37"/>
      <c r="AB136" s="38" t="n">
        <f aca="false">+W136-AC136</f>
        <v>0</v>
      </c>
      <c r="AC136" s="34" t="n">
        <f aca="false">+Tabla[[#This Row],[P4]]+Tabla[[#This Row],[P3]]+Tabla[[#This Row],[P2]]+Tabla[[#This Row],[P1]]</f>
        <v>442305</v>
      </c>
      <c r="AD136" s="34" t="n">
        <f aca="false">+W136-AC136</f>
        <v>0</v>
      </c>
      <c r="AE136" s="21" t="str">
        <f aca="false">IF(AB136&lt;1,"PAGADA","PENDIENTE")</f>
        <v>PAGADA</v>
      </c>
      <c r="AF136" s="21"/>
      <c r="AG136" s="29" t="s">
        <v>77</v>
      </c>
      <c r="AH136" s="39" t="n">
        <v>46188</v>
      </c>
      <c r="AI136" s="40" t="n">
        <f aca="false">+IF(Tabla[[#This Row],[FECHA PAGO / ABONO]]&lt;1,0,(MONTH(Tabla[[#This Row],[FECHA PAGO / ABONO]])))</f>
        <v>6</v>
      </c>
      <c r="AJ136" s="40" t="n">
        <f aca="false">+IF(Tabla[[#This Row],[FECHA PAGO / ABONO]]&lt;1,0,(YEAR(Tabla[[#This Row],[FECHA PAGO / ABONO]])))</f>
        <v>2026</v>
      </c>
      <c r="AK136" s="41"/>
    </row>
    <row r="137" customFormat="false" ht="14.25" hidden="false" customHeight="false" outlineLevel="0" collapsed="false">
      <c r="A137" s="28" t="s">
        <v>201</v>
      </c>
      <c r="B137" s="29" t="s">
        <v>202</v>
      </c>
      <c r="C137" s="29" t="s">
        <v>69</v>
      </c>
      <c r="D137" s="21" t="n">
        <v>6551</v>
      </c>
      <c r="E137" s="21" t="str">
        <f aca="false">+CONCATENATE(Tabla[[#This Row],[RUT]],Tabla[[#This Row],[PROVEEDOR]],Tabla[[#This Row],[FACTURA]])</f>
        <v>76394590-1SERVICIOS PUBLICITARIOS PUBLIVISION LIMITADA6551</v>
      </c>
      <c r="F137" s="30" t="n">
        <v>46043</v>
      </c>
      <c r="G137" s="31" t="n">
        <f aca="false">+F137+30</f>
        <v>46073</v>
      </c>
      <c r="H137" s="29" t="n">
        <f aca="true">+IF(AE137="PAGADA",0,TODAY()-G137)</f>
        <v>0</v>
      </c>
      <c r="I137" s="29" t="str">
        <f aca="false">+IF(H137&gt;180,"Atrasada",IF(H137&gt;150,"150 dias",IF(H137&gt;120,"120 dias",IF(H137&gt;90,"90 dias",IF(H137&gt;60,"60 dias",IF(H137&gt;30,"30 dias","Al Día"))))))</f>
        <v>Al Día</v>
      </c>
      <c r="J137" s="32" t="s">
        <v>80</v>
      </c>
      <c r="K137" s="29" t="s">
        <v>81</v>
      </c>
      <c r="L137" s="33" t="s">
        <v>72</v>
      </c>
      <c r="M137" s="29" t="n">
        <f aca="false">+YEAR(F137)</f>
        <v>2026</v>
      </c>
      <c r="N137" s="29" t="n">
        <v>2025</v>
      </c>
      <c r="O137" s="29" t="n">
        <v>12</v>
      </c>
      <c r="P137" s="29" t="str">
        <f aca="false">+CONCATENATE(Tabla[[#This Row],[MES CAMPAÑA]],"/",Tabla[[#This Row],[AÑO CAMPAÑA]])</f>
        <v>12/2025</v>
      </c>
      <c r="Q137" s="29" t="s">
        <v>92</v>
      </c>
      <c r="R137" s="29" t="s">
        <v>74</v>
      </c>
      <c r="S137" s="34" t="n">
        <v>0</v>
      </c>
      <c r="T137" s="34" t="n">
        <v>371685</v>
      </c>
      <c r="U137" s="34" t="n">
        <v>70620</v>
      </c>
      <c r="V137" s="29"/>
      <c r="W137" s="35" t="n">
        <v>442305</v>
      </c>
      <c r="X137" s="36" t="n">
        <f aca="false">+Tabla[[#This Row],[TOTAL]]</f>
        <v>442305</v>
      </c>
      <c r="Y137" s="37"/>
      <c r="Z137" s="37"/>
      <c r="AA137" s="37"/>
      <c r="AB137" s="38" t="n">
        <f aca="false">+W137-AC137</f>
        <v>0</v>
      </c>
      <c r="AC137" s="34" t="n">
        <f aca="false">+Tabla[[#This Row],[P4]]+Tabla[[#This Row],[P3]]+Tabla[[#This Row],[P2]]+Tabla[[#This Row],[P1]]</f>
        <v>442305</v>
      </c>
      <c r="AD137" s="34" t="n">
        <f aca="false">+W137-AC137</f>
        <v>0</v>
      </c>
      <c r="AE137" s="21" t="str">
        <f aca="false">IF(AB137&lt;1,"PAGADA","PENDIENTE")</f>
        <v>PAGADA</v>
      </c>
      <c r="AF137" s="21"/>
      <c r="AG137" s="29" t="s">
        <v>77</v>
      </c>
      <c r="AH137" s="39" t="n">
        <v>46188</v>
      </c>
      <c r="AI137" s="40" t="n">
        <f aca="false">+IF(Tabla[[#This Row],[FECHA PAGO / ABONO]]&lt;1,0,(MONTH(Tabla[[#This Row],[FECHA PAGO / ABONO]])))</f>
        <v>6</v>
      </c>
      <c r="AJ137" s="40" t="n">
        <f aca="false">+IF(Tabla[[#This Row],[FECHA PAGO / ABONO]]&lt;1,0,(YEAR(Tabla[[#This Row],[FECHA PAGO / ABONO]])))</f>
        <v>2026</v>
      </c>
      <c r="AK137" s="41"/>
    </row>
    <row r="138" customFormat="false" ht="14.25" hidden="false" customHeight="false" outlineLevel="0" collapsed="false">
      <c r="A138" s="28" t="s">
        <v>201</v>
      </c>
      <c r="B138" s="29" t="s">
        <v>202</v>
      </c>
      <c r="C138" s="29" t="s">
        <v>69</v>
      </c>
      <c r="D138" s="21" t="n">
        <v>6552</v>
      </c>
      <c r="E138" s="21" t="str">
        <f aca="false">+CONCATENATE(Tabla[[#This Row],[RUT]],Tabla[[#This Row],[PROVEEDOR]],Tabla[[#This Row],[FACTURA]])</f>
        <v>76394590-1SERVICIOS PUBLICITARIOS PUBLIVISION LIMITADA6552</v>
      </c>
      <c r="F138" s="30" t="n">
        <v>46043</v>
      </c>
      <c r="G138" s="31" t="n">
        <f aca="false">+F138+30</f>
        <v>46073</v>
      </c>
      <c r="H138" s="29" t="n">
        <f aca="true">+IF(AE138="PAGADA",0,TODAY()-G138)</f>
        <v>0</v>
      </c>
      <c r="I138" s="29" t="str">
        <f aca="false">+IF(H138&gt;180,"Atrasada",IF(H138&gt;150,"150 dias",IF(H138&gt;120,"120 dias",IF(H138&gt;90,"90 dias",IF(H138&gt;60,"60 dias",IF(H138&gt;30,"30 dias","Al Día"))))))</f>
        <v>Al Día</v>
      </c>
      <c r="J138" s="32" t="s">
        <v>80</v>
      </c>
      <c r="K138" s="29" t="s">
        <v>81</v>
      </c>
      <c r="L138" s="33" t="s">
        <v>72</v>
      </c>
      <c r="M138" s="29" t="n">
        <f aca="false">+YEAR(F138)</f>
        <v>2026</v>
      </c>
      <c r="N138" s="29" t="n">
        <v>2025</v>
      </c>
      <c r="O138" s="29" t="n">
        <v>12</v>
      </c>
      <c r="P138" s="29" t="str">
        <f aca="false">+CONCATENATE(Tabla[[#This Row],[MES CAMPAÑA]],"/",Tabla[[#This Row],[AÑO CAMPAÑA]])</f>
        <v>12/2025</v>
      </c>
      <c r="Q138" s="29" t="s">
        <v>92</v>
      </c>
      <c r="R138" s="29" t="s">
        <v>74</v>
      </c>
      <c r="S138" s="34" t="n">
        <v>0</v>
      </c>
      <c r="T138" s="34" t="n">
        <v>371685</v>
      </c>
      <c r="U138" s="34" t="n">
        <v>70620</v>
      </c>
      <c r="V138" s="29"/>
      <c r="W138" s="35" t="n">
        <v>442305</v>
      </c>
      <c r="X138" s="36" t="n">
        <f aca="false">+Tabla[[#This Row],[TOTAL]]</f>
        <v>442305</v>
      </c>
      <c r="Y138" s="37"/>
      <c r="Z138" s="37"/>
      <c r="AA138" s="37"/>
      <c r="AB138" s="38" t="n">
        <f aca="false">+W138-AC138</f>
        <v>0</v>
      </c>
      <c r="AC138" s="34" t="n">
        <f aca="false">+Tabla[[#This Row],[P4]]+Tabla[[#This Row],[P3]]+Tabla[[#This Row],[P2]]+Tabla[[#This Row],[P1]]</f>
        <v>442305</v>
      </c>
      <c r="AD138" s="34" t="n">
        <f aca="false">+W138-AC138</f>
        <v>0</v>
      </c>
      <c r="AE138" s="21" t="str">
        <f aca="false">IF(AB138&lt;1,"PAGADA","PENDIENTE")</f>
        <v>PAGADA</v>
      </c>
      <c r="AF138" s="21"/>
      <c r="AG138" s="29" t="s">
        <v>77</v>
      </c>
      <c r="AH138" s="39" t="n">
        <v>46188</v>
      </c>
      <c r="AI138" s="40" t="n">
        <f aca="false">+IF(Tabla[[#This Row],[FECHA PAGO / ABONO]]&lt;1,0,(MONTH(Tabla[[#This Row],[FECHA PAGO / ABONO]])))</f>
        <v>6</v>
      </c>
      <c r="AJ138" s="40" t="n">
        <f aca="false">+IF(Tabla[[#This Row],[FECHA PAGO / ABONO]]&lt;1,0,(YEAR(Tabla[[#This Row],[FECHA PAGO / ABONO]])))</f>
        <v>2026</v>
      </c>
      <c r="AK138" s="41"/>
    </row>
    <row r="139" customFormat="false" ht="14.25" hidden="false" customHeight="false" outlineLevel="0" collapsed="false">
      <c r="A139" s="28" t="s">
        <v>201</v>
      </c>
      <c r="B139" s="29" t="s">
        <v>202</v>
      </c>
      <c r="C139" s="29" t="s">
        <v>69</v>
      </c>
      <c r="D139" s="21" t="n">
        <v>6553</v>
      </c>
      <c r="E139" s="21" t="str">
        <f aca="false">+CONCATENATE(Tabla[[#This Row],[RUT]],Tabla[[#This Row],[PROVEEDOR]],Tabla[[#This Row],[FACTURA]])</f>
        <v>76394590-1SERVICIOS PUBLICITARIOS PUBLIVISION LIMITADA6553</v>
      </c>
      <c r="F139" s="30" t="n">
        <v>46043</v>
      </c>
      <c r="G139" s="31" t="n">
        <f aca="false">+F139+30</f>
        <v>46073</v>
      </c>
      <c r="H139" s="29" t="n">
        <f aca="true">+IF(AE139="PAGADA",0,TODAY()-G139)</f>
        <v>0</v>
      </c>
      <c r="I139" s="29" t="str">
        <f aca="false">+IF(H139&gt;180,"Atrasada",IF(H139&gt;150,"150 dias",IF(H139&gt;120,"120 dias",IF(H139&gt;90,"90 dias",IF(H139&gt;60,"60 dias",IF(H139&gt;30,"30 dias","Al Día"))))))</f>
        <v>Al Día</v>
      </c>
      <c r="J139" s="32" t="s">
        <v>80</v>
      </c>
      <c r="K139" s="29" t="s">
        <v>81</v>
      </c>
      <c r="L139" s="33" t="s">
        <v>72</v>
      </c>
      <c r="M139" s="29" t="n">
        <f aca="false">+YEAR(F139)</f>
        <v>2026</v>
      </c>
      <c r="N139" s="29" t="n">
        <v>2025</v>
      </c>
      <c r="O139" s="29" t="n">
        <v>12</v>
      </c>
      <c r="P139" s="29" t="str">
        <f aca="false">+CONCATENATE(Tabla[[#This Row],[MES CAMPAÑA]],"/",Tabla[[#This Row],[AÑO CAMPAÑA]])</f>
        <v>12/2025</v>
      </c>
      <c r="Q139" s="29" t="s">
        <v>92</v>
      </c>
      <c r="R139" s="29" t="s">
        <v>74</v>
      </c>
      <c r="S139" s="34" t="n">
        <v>0</v>
      </c>
      <c r="T139" s="34" t="n">
        <v>204165</v>
      </c>
      <c r="U139" s="34" t="n">
        <v>38791</v>
      </c>
      <c r="V139" s="29"/>
      <c r="W139" s="35" t="n">
        <v>242956</v>
      </c>
      <c r="X139" s="36" t="n">
        <f aca="false">+Tabla[[#This Row],[TOTAL]]</f>
        <v>242956</v>
      </c>
      <c r="Y139" s="37"/>
      <c r="Z139" s="37"/>
      <c r="AA139" s="37"/>
      <c r="AB139" s="38" t="n">
        <f aca="false">+W139-AC139</f>
        <v>0</v>
      </c>
      <c r="AC139" s="34" t="n">
        <f aca="false">+Tabla[[#This Row],[P4]]+Tabla[[#This Row],[P3]]+Tabla[[#This Row],[P2]]+Tabla[[#This Row],[P1]]</f>
        <v>242956</v>
      </c>
      <c r="AD139" s="34" t="n">
        <f aca="false">+W139-AC139</f>
        <v>0</v>
      </c>
      <c r="AE139" s="21" t="str">
        <f aca="false">IF(AB139&lt;1,"PAGADA","PENDIENTE")</f>
        <v>PAGADA</v>
      </c>
      <c r="AF139" s="21"/>
      <c r="AG139" s="29" t="s">
        <v>77</v>
      </c>
      <c r="AH139" s="39" t="n">
        <v>46188</v>
      </c>
      <c r="AI139" s="40" t="n">
        <f aca="false">+IF(Tabla[[#This Row],[FECHA PAGO / ABONO]]&lt;1,0,(MONTH(Tabla[[#This Row],[FECHA PAGO / ABONO]])))</f>
        <v>6</v>
      </c>
      <c r="AJ139" s="40" t="n">
        <f aca="false">+IF(Tabla[[#This Row],[FECHA PAGO / ABONO]]&lt;1,0,(YEAR(Tabla[[#This Row],[FECHA PAGO / ABONO]])))</f>
        <v>2026</v>
      </c>
      <c r="AK139" s="41"/>
    </row>
    <row r="140" customFormat="false" ht="14.25" hidden="false" customHeight="false" outlineLevel="0" collapsed="false">
      <c r="A140" s="28" t="s">
        <v>201</v>
      </c>
      <c r="B140" s="29" t="s">
        <v>202</v>
      </c>
      <c r="C140" s="29" t="s">
        <v>69</v>
      </c>
      <c r="D140" s="21" t="n">
        <v>6554</v>
      </c>
      <c r="E140" s="21" t="str">
        <f aca="false">+CONCATENATE(Tabla[[#This Row],[RUT]],Tabla[[#This Row],[PROVEEDOR]],Tabla[[#This Row],[FACTURA]])</f>
        <v>76394590-1SERVICIOS PUBLICITARIOS PUBLIVISION LIMITADA6554</v>
      </c>
      <c r="F140" s="30" t="n">
        <v>46043</v>
      </c>
      <c r="G140" s="31" t="n">
        <f aca="false">+F140+30</f>
        <v>46073</v>
      </c>
      <c r="H140" s="29" t="n">
        <f aca="true">+IF(AE140="PAGADA",0,TODAY()-G140)</f>
        <v>0</v>
      </c>
      <c r="I140" s="29" t="str">
        <f aca="false">+IF(H140&gt;180,"Atrasada",IF(H140&gt;150,"150 dias",IF(H140&gt;120,"120 dias",IF(H140&gt;90,"90 dias",IF(H140&gt;60,"60 dias",IF(H140&gt;30,"30 dias","Al Día"))))))</f>
        <v>Al Día</v>
      </c>
      <c r="J140" s="32" t="s">
        <v>80</v>
      </c>
      <c r="K140" s="29" t="s">
        <v>81</v>
      </c>
      <c r="L140" s="33" t="s">
        <v>72</v>
      </c>
      <c r="M140" s="29" t="n">
        <f aca="false">+YEAR(F140)</f>
        <v>2026</v>
      </c>
      <c r="N140" s="29" t="n">
        <v>2025</v>
      </c>
      <c r="O140" s="29" t="n">
        <v>12</v>
      </c>
      <c r="P140" s="29" t="str">
        <f aca="false">+CONCATENATE(Tabla[[#This Row],[MES CAMPAÑA]],"/",Tabla[[#This Row],[AÑO CAMPAÑA]])</f>
        <v>12/2025</v>
      </c>
      <c r="Q140" s="29" t="s">
        <v>92</v>
      </c>
      <c r="R140" s="29" t="s">
        <v>74</v>
      </c>
      <c r="S140" s="34" t="n">
        <v>0</v>
      </c>
      <c r="T140" s="34" t="n">
        <v>204165</v>
      </c>
      <c r="U140" s="34" t="n">
        <v>38791</v>
      </c>
      <c r="V140" s="29"/>
      <c r="W140" s="35" t="n">
        <v>242956</v>
      </c>
      <c r="X140" s="36" t="n">
        <f aca="false">+Tabla[[#This Row],[TOTAL]]</f>
        <v>242956</v>
      </c>
      <c r="Y140" s="37"/>
      <c r="Z140" s="37"/>
      <c r="AA140" s="37"/>
      <c r="AB140" s="38" t="n">
        <f aca="false">+W140-AC140</f>
        <v>0</v>
      </c>
      <c r="AC140" s="34" t="n">
        <f aca="false">+Tabla[[#This Row],[P4]]+Tabla[[#This Row],[P3]]+Tabla[[#This Row],[P2]]+Tabla[[#This Row],[P1]]</f>
        <v>242956</v>
      </c>
      <c r="AD140" s="34" t="n">
        <f aca="false">+W140-AC140</f>
        <v>0</v>
      </c>
      <c r="AE140" s="21" t="str">
        <f aca="false">IF(AB140&lt;1,"PAGADA","PENDIENTE")</f>
        <v>PAGADA</v>
      </c>
      <c r="AF140" s="21"/>
      <c r="AG140" s="29" t="s">
        <v>77</v>
      </c>
      <c r="AH140" s="39" t="n">
        <v>46188</v>
      </c>
      <c r="AI140" s="40" t="n">
        <f aca="false">+IF(Tabla[[#This Row],[FECHA PAGO / ABONO]]&lt;1,0,(MONTH(Tabla[[#This Row],[FECHA PAGO / ABONO]])))</f>
        <v>6</v>
      </c>
      <c r="AJ140" s="40" t="n">
        <f aca="false">+IF(Tabla[[#This Row],[FECHA PAGO / ABONO]]&lt;1,0,(YEAR(Tabla[[#This Row],[FECHA PAGO / ABONO]])))</f>
        <v>2026</v>
      </c>
      <c r="AK140" s="41"/>
    </row>
    <row r="141" customFormat="false" ht="14.25" hidden="false" customHeight="false" outlineLevel="0" collapsed="false">
      <c r="A141" s="28" t="s">
        <v>201</v>
      </c>
      <c r="B141" s="29" t="s">
        <v>202</v>
      </c>
      <c r="C141" s="29" t="s">
        <v>69</v>
      </c>
      <c r="D141" s="21" t="n">
        <v>6555</v>
      </c>
      <c r="E141" s="21" t="str">
        <f aca="false">+CONCATENATE(Tabla[[#This Row],[RUT]],Tabla[[#This Row],[PROVEEDOR]],Tabla[[#This Row],[FACTURA]])</f>
        <v>76394590-1SERVICIOS PUBLICITARIOS PUBLIVISION LIMITADA6555</v>
      </c>
      <c r="F141" s="30" t="n">
        <v>46043</v>
      </c>
      <c r="G141" s="31" t="n">
        <f aca="false">+F141+30</f>
        <v>46073</v>
      </c>
      <c r="H141" s="29" t="n">
        <f aca="true">+IF(AE141="PAGADA",0,TODAY()-G141)</f>
        <v>0</v>
      </c>
      <c r="I141" s="29" t="str">
        <f aca="false">+IF(H141&gt;180,"Atrasada",IF(H141&gt;150,"150 dias",IF(H141&gt;120,"120 dias",IF(H141&gt;90,"90 dias",IF(H141&gt;60,"60 dias",IF(H141&gt;30,"30 dias","Al Día"))))))</f>
        <v>Al Día</v>
      </c>
      <c r="J141" s="32" t="s">
        <v>80</v>
      </c>
      <c r="K141" s="29" t="s">
        <v>81</v>
      </c>
      <c r="L141" s="33" t="s">
        <v>72</v>
      </c>
      <c r="M141" s="29" t="n">
        <f aca="false">+YEAR(F141)</f>
        <v>2026</v>
      </c>
      <c r="N141" s="29" t="n">
        <v>2025</v>
      </c>
      <c r="O141" s="29" t="n">
        <v>12</v>
      </c>
      <c r="P141" s="29" t="str">
        <f aca="false">+CONCATENATE(Tabla[[#This Row],[MES CAMPAÑA]],"/",Tabla[[#This Row],[AÑO CAMPAÑA]])</f>
        <v>12/2025</v>
      </c>
      <c r="Q141" s="29" t="s">
        <v>92</v>
      </c>
      <c r="R141" s="29" t="s">
        <v>74</v>
      </c>
      <c r="S141" s="34" t="n">
        <v>0</v>
      </c>
      <c r="T141" s="34" t="n">
        <v>371685</v>
      </c>
      <c r="U141" s="34" t="n">
        <v>70620</v>
      </c>
      <c r="V141" s="29"/>
      <c r="W141" s="35" t="n">
        <v>442305</v>
      </c>
      <c r="X141" s="36" t="n">
        <f aca="false">+Tabla[[#This Row],[TOTAL]]</f>
        <v>442305</v>
      </c>
      <c r="Y141" s="37"/>
      <c r="Z141" s="37"/>
      <c r="AA141" s="37"/>
      <c r="AB141" s="38" t="n">
        <f aca="false">+W141-AC141</f>
        <v>0</v>
      </c>
      <c r="AC141" s="34" t="n">
        <f aca="false">+Tabla[[#This Row],[P4]]+Tabla[[#This Row],[P3]]+Tabla[[#This Row],[P2]]+Tabla[[#This Row],[P1]]</f>
        <v>442305</v>
      </c>
      <c r="AD141" s="34" t="n">
        <f aca="false">+W141-AC141</f>
        <v>0</v>
      </c>
      <c r="AE141" s="21" t="str">
        <f aca="false">IF(AB141&lt;1,"PAGADA","PENDIENTE")</f>
        <v>PAGADA</v>
      </c>
      <c r="AF141" s="21"/>
      <c r="AG141" s="29" t="s">
        <v>77</v>
      </c>
      <c r="AH141" s="39" t="n">
        <v>46188</v>
      </c>
      <c r="AI141" s="40" t="n">
        <f aca="false">+IF(Tabla[[#This Row],[FECHA PAGO / ABONO]]&lt;1,0,(MONTH(Tabla[[#This Row],[FECHA PAGO / ABONO]])))</f>
        <v>6</v>
      </c>
      <c r="AJ141" s="40" t="n">
        <f aca="false">+IF(Tabla[[#This Row],[FECHA PAGO / ABONO]]&lt;1,0,(YEAR(Tabla[[#This Row],[FECHA PAGO / ABONO]])))</f>
        <v>2026</v>
      </c>
      <c r="AK141" s="41"/>
    </row>
    <row r="142" customFormat="false" ht="14.25" hidden="false" customHeight="false" outlineLevel="0" collapsed="false">
      <c r="A142" s="28" t="s">
        <v>203</v>
      </c>
      <c r="B142" s="29" t="s">
        <v>204</v>
      </c>
      <c r="C142" s="29" t="s">
        <v>69</v>
      </c>
      <c r="D142" s="21" t="n">
        <v>141</v>
      </c>
      <c r="E142" s="21" t="str">
        <f aca="false">+CONCATENATE(Tabla[[#This Row],[RUT]],Tabla[[#This Row],[PROVEEDOR]],Tabla[[#This Row],[FACTURA]])</f>
        <v>76634948-KMEDIOS REGIONALES MI VOZ S.A.141</v>
      </c>
      <c r="F142" s="30" t="n">
        <v>46043</v>
      </c>
      <c r="G142" s="31" t="n">
        <f aca="false">+F142+30</f>
        <v>46073</v>
      </c>
      <c r="H142" s="29" t="n">
        <f aca="true">+IF(AE142="PAGADA",0,TODAY()-G142)</f>
        <v>131</v>
      </c>
      <c r="I142" s="29" t="str">
        <f aca="false">+IF(H142&gt;180,"Atrasada",IF(H142&gt;150,"150 dias",IF(H142&gt;120,"120 dias",IF(H142&gt;90,"90 dias",IF(H142&gt;60,"60 dias",IF(H142&gt;30,"30 dias","Al Día"))))))</f>
        <v>120 dias</v>
      </c>
      <c r="J142" s="32" t="s">
        <v>80</v>
      </c>
      <c r="K142" s="29" t="s">
        <v>81</v>
      </c>
      <c r="L142" s="33" t="s">
        <v>72</v>
      </c>
      <c r="M142" s="29" t="n">
        <f aca="false">+YEAR(F142)</f>
        <v>2026</v>
      </c>
      <c r="N142" s="29" t="n">
        <v>2025</v>
      </c>
      <c r="O142" s="29" t="n">
        <v>12</v>
      </c>
      <c r="P142" s="29" t="str">
        <f aca="false">+CONCATENATE(Tabla[[#This Row],[MES CAMPAÑA]],"/",Tabla[[#This Row],[AÑO CAMPAÑA]])</f>
        <v>12/2025</v>
      </c>
      <c r="Q142" s="29" t="s">
        <v>82</v>
      </c>
      <c r="R142" s="29" t="s">
        <v>74</v>
      </c>
      <c r="S142" s="34" t="n">
        <v>0</v>
      </c>
      <c r="T142" s="34" t="n">
        <v>1578947</v>
      </c>
      <c r="U142" s="34" t="n">
        <v>300000</v>
      </c>
      <c r="V142" s="29"/>
      <c r="W142" s="35" t="n">
        <v>1878947</v>
      </c>
      <c r="X142" s="36"/>
      <c r="Y142" s="37"/>
      <c r="Z142" s="37"/>
      <c r="AA142" s="37"/>
      <c r="AB142" s="38" t="n">
        <f aca="false">+W142-AC142</f>
        <v>1878947</v>
      </c>
      <c r="AC142" s="34" t="n">
        <f aca="false">+Tabla[[#This Row],[P4]]+Tabla[[#This Row],[P3]]+Tabla[[#This Row],[P2]]+Tabla[[#This Row],[P1]]</f>
        <v>0</v>
      </c>
      <c r="AD142" s="34" t="n">
        <f aca="false">+W142-AC142</f>
        <v>1878947</v>
      </c>
      <c r="AE142" s="21" t="str">
        <f aca="false">IF(AB142&lt;1,"PAGADA","PENDIENTE")</f>
        <v>PENDIENTE</v>
      </c>
      <c r="AF142" s="21"/>
      <c r="AG142" s="29"/>
      <c r="AH142" s="40"/>
      <c r="AI142" s="40" t="n">
        <f aca="false">+IF(Tabla[[#This Row],[FECHA PAGO / ABONO]]&lt;1,0,(MONTH(Tabla[[#This Row],[FECHA PAGO / ABONO]])))</f>
        <v>0</v>
      </c>
      <c r="AJ142" s="40" t="n">
        <f aca="false">+IF(Tabla[[#This Row],[FECHA PAGO / ABONO]]&lt;1,0,(YEAR(Tabla[[#This Row],[FECHA PAGO / ABONO]])))</f>
        <v>0</v>
      </c>
      <c r="AK142" s="41"/>
    </row>
    <row r="143" customFormat="false" ht="14.25" hidden="false" customHeight="false" outlineLevel="0" collapsed="false">
      <c r="A143" s="28" t="s">
        <v>95</v>
      </c>
      <c r="B143" s="29" t="s">
        <v>96</v>
      </c>
      <c r="C143" s="29" t="s">
        <v>69</v>
      </c>
      <c r="D143" s="21" t="n">
        <v>3021</v>
      </c>
      <c r="E143" s="21" t="str">
        <f aca="false">+CONCATENATE(Tabla[[#This Row],[RUT]],Tabla[[#This Row],[PROVEEDOR]],Tabla[[#This Row],[FACTURA]])</f>
        <v>77199950-6TABACH Y SALAS LIMITADA3021</v>
      </c>
      <c r="F143" s="30" t="n">
        <v>46043</v>
      </c>
      <c r="G143" s="31" t="n">
        <f aca="false">+F143+30</f>
        <v>46073</v>
      </c>
      <c r="H143" s="29" t="n">
        <f aca="true">+IF(AE143="PAGADA",0,TODAY()-G143)</f>
        <v>131</v>
      </c>
      <c r="I143" s="29" t="str">
        <f aca="false">+IF(H143&gt;180,"Atrasada",IF(H143&gt;150,"150 dias",IF(H143&gt;120,"120 dias",IF(H143&gt;90,"90 dias",IF(H143&gt;60,"60 dias",IF(H143&gt;30,"30 dias","Al Día"))))))</f>
        <v>120 dias</v>
      </c>
      <c r="J143" s="32" t="s">
        <v>80</v>
      </c>
      <c r="K143" s="29" t="s">
        <v>81</v>
      </c>
      <c r="L143" s="33" t="s">
        <v>72</v>
      </c>
      <c r="M143" s="29" t="n">
        <f aca="false">+YEAR(F143)</f>
        <v>2026</v>
      </c>
      <c r="N143" s="29" t="n">
        <v>2025</v>
      </c>
      <c r="O143" s="29" t="n">
        <v>12</v>
      </c>
      <c r="P143" s="29" t="str">
        <f aca="false">+CONCATENATE(Tabla[[#This Row],[MES CAMPAÑA]],"/",Tabla[[#This Row],[AÑO CAMPAÑA]])</f>
        <v>12/2025</v>
      </c>
      <c r="Q143" s="29" t="s">
        <v>123</v>
      </c>
      <c r="R143" s="29" t="s">
        <v>74</v>
      </c>
      <c r="S143" s="34" t="n">
        <v>0</v>
      </c>
      <c r="T143" s="34" t="n">
        <v>8800000</v>
      </c>
      <c r="U143" s="34" t="n">
        <v>1672000</v>
      </c>
      <c r="V143" s="29"/>
      <c r="W143" s="35" t="n">
        <v>10472000</v>
      </c>
      <c r="X143" s="36"/>
      <c r="Y143" s="37"/>
      <c r="Z143" s="37"/>
      <c r="AA143" s="37"/>
      <c r="AB143" s="38" t="n">
        <f aca="false">+W143-AC143</f>
        <v>10472000</v>
      </c>
      <c r="AC143" s="34" t="n">
        <f aca="false">+Tabla[[#This Row],[P4]]+Tabla[[#This Row],[P3]]+Tabla[[#This Row],[P2]]+Tabla[[#This Row],[P1]]</f>
        <v>0</v>
      </c>
      <c r="AD143" s="34" t="n">
        <f aca="false">+W143-AC143</f>
        <v>10472000</v>
      </c>
      <c r="AE143" s="21" t="str">
        <f aca="false">IF(AB143&lt;1,"PAGADA","PENDIENTE")</f>
        <v>PENDIENTE</v>
      </c>
      <c r="AF143" s="21"/>
      <c r="AG143" s="29"/>
      <c r="AH143" s="40"/>
      <c r="AI143" s="40" t="n">
        <f aca="false">+IF(Tabla[[#This Row],[FECHA PAGO / ABONO]]&lt;1,0,(MONTH(Tabla[[#This Row],[FECHA PAGO / ABONO]])))</f>
        <v>0</v>
      </c>
      <c r="AJ143" s="40" t="n">
        <f aca="false">+IF(Tabla[[#This Row],[FECHA PAGO / ABONO]]&lt;1,0,(YEAR(Tabla[[#This Row],[FECHA PAGO / ABONO]])))</f>
        <v>0</v>
      </c>
      <c r="AK143" s="41"/>
    </row>
    <row r="144" customFormat="false" ht="14.25" hidden="false" customHeight="false" outlineLevel="0" collapsed="false">
      <c r="A144" s="28" t="s">
        <v>95</v>
      </c>
      <c r="B144" s="29" t="s">
        <v>96</v>
      </c>
      <c r="C144" s="29" t="s">
        <v>69</v>
      </c>
      <c r="D144" s="21" t="n">
        <v>3022</v>
      </c>
      <c r="E144" s="21" t="str">
        <f aca="false">+CONCATENATE(Tabla[[#This Row],[RUT]],Tabla[[#This Row],[PROVEEDOR]],Tabla[[#This Row],[FACTURA]])</f>
        <v>77199950-6TABACH Y SALAS LIMITADA3022</v>
      </c>
      <c r="F144" s="30" t="n">
        <v>46043</v>
      </c>
      <c r="G144" s="31" t="n">
        <f aca="false">+F144+30</f>
        <v>46073</v>
      </c>
      <c r="H144" s="29" t="n">
        <f aca="true">+IF(AE144="PAGADA",0,TODAY()-G144)</f>
        <v>131</v>
      </c>
      <c r="I144" s="29" t="str">
        <f aca="false">+IF(H144&gt;180,"Atrasada",IF(H144&gt;150,"150 dias",IF(H144&gt;120,"120 dias",IF(H144&gt;90,"90 dias",IF(H144&gt;60,"60 dias",IF(H144&gt;30,"30 dias","Al Día"))))))</f>
        <v>120 dias</v>
      </c>
      <c r="J144" s="32" t="s">
        <v>80</v>
      </c>
      <c r="K144" s="29" t="s">
        <v>81</v>
      </c>
      <c r="L144" s="33" t="s">
        <v>72</v>
      </c>
      <c r="M144" s="29" t="n">
        <f aca="false">+YEAR(F144)</f>
        <v>2026</v>
      </c>
      <c r="N144" s="29" t="n">
        <v>2025</v>
      </c>
      <c r="O144" s="29" t="n">
        <v>12</v>
      </c>
      <c r="P144" s="29" t="str">
        <f aca="false">+CONCATENATE(Tabla[[#This Row],[MES CAMPAÑA]],"/",Tabla[[#This Row],[AÑO CAMPAÑA]])</f>
        <v>12/2025</v>
      </c>
      <c r="Q144" s="29" t="s">
        <v>105</v>
      </c>
      <c r="R144" s="29" t="s">
        <v>74</v>
      </c>
      <c r="S144" s="34" t="n">
        <v>0</v>
      </c>
      <c r="T144" s="34" t="n">
        <v>745000</v>
      </c>
      <c r="U144" s="34" t="n">
        <v>141550</v>
      </c>
      <c r="V144" s="29"/>
      <c r="W144" s="35" t="n">
        <v>886550</v>
      </c>
      <c r="X144" s="36"/>
      <c r="Y144" s="37"/>
      <c r="Z144" s="37"/>
      <c r="AA144" s="37"/>
      <c r="AB144" s="38" t="n">
        <f aca="false">+W144-AC144</f>
        <v>886550</v>
      </c>
      <c r="AC144" s="34" t="n">
        <f aca="false">+Tabla[[#This Row],[P4]]+Tabla[[#This Row],[P3]]+Tabla[[#This Row],[P2]]+Tabla[[#This Row],[P1]]</f>
        <v>0</v>
      </c>
      <c r="AD144" s="34" t="n">
        <f aca="false">+W144-AC144</f>
        <v>886550</v>
      </c>
      <c r="AE144" s="21" t="str">
        <f aca="false">IF(AB144&lt;1,"PAGADA","PENDIENTE")</f>
        <v>PENDIENTE</v>
      </c>
      <c r="AF144" s="21"/>
      <c r="AG144" s="29"/>
      <c r="AH144" s="40"/>
      <c r="AI144" s="40" t="n">
        <f aca="false">+IF(Tabla[[#This Row],[FECHA PAGO / ABONO]]&lt;1,0,(MONTH(Tabla[[#This Row],[FECHA PAGO / ABONO]])))</f>
        <v>0</v>
      </c>
      <c r="AJ144" s="40" t="n">
        <f aca="false">+IF(Tabla[[#This Row],[FECHA PAGO / ABONO]]&lt;1,0,(YEAR(Tabla[[#This Row],[FECHA PAGO / ABONO]])))</f>
        <v>0</v>
      </c>
      <c r="AK144" s="41"/>
    </row>
    <row r="145" customFormat="false" ht="14.25" hidden="false" customHeight="false" outlineLevel="0" collapsed="false">
      <c r="A145" s="28" t="s">
        <v>118</v>
      </c>
      <c r="B145" s="29" t="s">
        <v>119</v>
      </c>
      <c r="C145" s="29" t="s">
        <v>69</v>
      </c>
      <c r="D145" s="21" t="n">
        <v>5913</v>
      </c>
      <c r="E145" s="21" t="str">
        <f aca="false">+CONCATENATE(Tabla[[#This Row],[RUT]],Tabla[[#This Row],[PROVEEDOR]],Tabla[[#This Row],[FACTURA]])</f>
        <v>76425938-6Mediared SpA5913</v>
      </c>
      <c r="F145" s="30" t="n">
        <v>46043</v>
      </c>
      <c r="G145" s="31" t="n">
        <f aca="false">+F145+30</f>
        <v>46073</v>
      </c>
      <c r="H145" s="29" t="n">
        <f aca="true">+IF(AE145="PAGADA",0,TODAY()-G145)</f>
        <v>0</v>
      </c>
      <c r="I145" s="29" t="str">
        <f aca="false">+IF(H145&gt;180,"Atrasada",IF(H145&gt;150,"150 dias",IF(H145&gt;120,"120 dias",IF(H145&gt;90,"90 dias",IF(H145&gt;60,"60 dias",IF(H145&gt;30,"30 dias","Al Día"))))))</f>
        <v>Al Día</v>
      </c>
      <c r="J145" s="32" t="s">
        <v>80</v>
      </c>
      <c r="K145" s="29" t="s">
        <v>81</v>
      </c>
      <c r="L145" s="33" t="s">
        <v>72</v>
      </c>
      <c r="M145" s="29" t="n">
        <f aca="false">+YEAR(F145)</f>
        <v>2026</v>
      </c>
      <c r="N145" s="29" t="n">
        <v>2025</v>
      </c>
      <c r="O145" s="29" t="n">
        <v>12</v>
      </c>
      <c r="P145" s="29" t="str">
        <f aca="false">+CONCATENATE(Tabla[[#This Row],[MES CAMPAÑA]],"/",Tabla[[#This Row],[AÑO CAMPAÑA]])</f>
        <v>12/2025</v>
      </c>
      <c r="Q145" s="29" t="s">
        <v>82</v>
      </c>
      <c r="R145" s="29" t="s">
        <v>74</v>
      </c>
      <c r="S145" s="34" t="n">
        <v>0</v>
      </c>
      <c r="T145" s="34" t="n">
        <v>4371490</v>
      </c>
      <c r="U145" s="34" t="n">
        <v>830583</v>
      </c>
      <c r="V145" s="29"/>
      <c r="W145" s="35" t="n">
        <v>5202073</v>
      </c>
      <c r="X145" s="36" t="n">
        <f aca="false">+Tabla[[#This Row],[TOTAL]]</f>
        <v>5202073</v>
      </c>
      <c r="Y145" s="37"/>
      <c r="Z145" s="37"/>
      <c r="AA145" s="37"/>
      <c r="AB145" s="38" t="n">
        <f aca="false">+W145-AC145</f>
        <v>0</v>
      </c>
      <c r="AC145" s="34" t="n">
        <f aca="false">+Tabla[[#This Row],[P4]]+Tabla[[#This Row],[P3]]+Tabla[[#This Row],[P2]]+Tabla[[#This Row],[P1]]</f>
        <v>5202073</v>
      </c>
      <c r="AD145" s="34" t="n">
        <f aca="false">+W145-AC145</f>
        <v>0</v>
      </c>
      <c r="AE145" s="21" t="str">
        <f aca="false">IF(AB145&lt;1,"PAGADA","PENDIENTE")</f>
        <v>PAGADA</v>
      </c>
      <c r="AF145" s="21"/>
      <c r="AG145" s="29" t="s">
        <v>77</v>
      </c>
      <c r="AH145" s="39" t="n">
        <v>46142</v>
      </c>
      <c r="AI145" s="40" t="n">
        <f aca="false">+IF(Tabla[[#This Row],[FECHA PAGO / ABONO]]&lt;1,0,(MONTH(Tabla[[#This Row],[FECHA PAGO / ABONO]])))</f>
        <v>4</v>
      </c>
      <c r="AJ145" s="40" t="n">
        <f aca="false">+IF(Tabla[[#This Row],[FECHA PAGO / ABONO]]&lt;1,0,(YEAR(Tabla[[#This Row],[FECHA PAGO / ABONO]])))</f>
        <v>2026</v>
      </c>
      <c r="AK145" s="41"/>
    </row>
    <row r="146" customFormat="false" ht="14.25" hidden="false" customHeight="false" outlineLevel="0" collapsed="false">
      <c r="A146" s="28" t="s">
        <v>205</v>
      </c>
      <c r="B146" s="29" t="s">
        <v>206</v>
      </c>
      <c r="C146" s="29" t="s">
        <v>69</v>
      </c>
      <c r="D146" s="21" t="n">
        <v>2188</v>
      </c>
      <c r="E146" s="21" t="str">
        <f aca="false">+CONCATENATE(Tabla[[#This Row],[RUT]],Tabla[[#This Row],[PROVEEDOR]],Tabla[[#This Row],[FACTURA]])</f>
        <v>76869338-2ZANCO SPA2188</v>
      </c>
      <c r="F146" s="30" t="n">
        <v>46044</v>
      </c>
      <c r="G146" s="31" t="n">
        <f aca="false">+F146+30</f>
        <v>46074</v>
      </c>
      <c r="H146" s="29" t="n">
        <f aca="true">+IF(AE146="PAGADA",0,TODAY()-G146)</f>
        <v>0</v>
      </c>
      <c r="I146" s="29" t="str">
        <f aca="false">+IF(H146&gt;180,"Atrasada",IF(H146&gt;150,"150 dias",IF(H146&gt;120,"120 dias",IF(H146&gt;90,"90 dias",IF(H146&gt;60,"60 dias",IF(H146&gt;30,"30 dias","Al Día"))))))</f>
        <v>Al Día</v>
      </c>
      <c r="J146" s="32" t="s">
        <v>80</v>
      </c>
      <c r="K146" s="29" t="s">
        <v>81</v>
      </c>
      <c r="L146" s="33" t="s">
        <v>72</v>
      </c>
      <c r="M146" s="29" t="n">
        <f aca="false">+YEAR(F146)</f>
        <v>2026</v>
      </c>
      <c r="N146" s="29" t="n">
        <v>2025</v>
      </c>
      <c r="O146" s="29" t="n">
        <v>12</v>
      </c>
      <c r="P146" s="29" t="str">
        <f aca="false">+CONCATENATE(Tabla[[#This Row],[MES CAMPAÑA]],"/",Tabla[[#This Row],[AÑO CAMPAÑA]])</f>
        <v>12/2025</v>
      </c>
      <c r="Q146" s="29" t="s">
        <v>92</v>
      </c>
      <c r="R146" s="29" t="s">
        <v>74</v>
      </c>
      <c r="S146" s="34" t="n">
        <v>0</v>
      </c>
      <c r="T146" s="34" t="n">
        <v>285120</v>
      </c>
      <c r="U146" s="34" t="n">
        <v>54173</v>
      </c>
      <c r="V146" s="29"/>
      <c r="W146" s="35" t="n">
        <v>339293</v>
      </c>
      <c r="X146" s="36" t="n">
        <f aca="false">+Tabla[[#This Row],[TOTAL]]</f>
        <v>339293</v>
      </c>
      <c r="Y146" s="37"/>
      <c r="Z146" s="37"/>
      <c r="AA146" s="37"/>
      <c r="AB146" s="38" t="n">
        <f aca="false">+W146-AC146</f>
        <v>0</v>
      </c>
      <c r="AC146" s="34" t="n">
        <f aca="false">+Tabla[[#This Row],[P4]]+Tabla[[#This Row],[P3]]+Tabla[[#This Row],[P2]]+Tabla[[#This Row],[P1]]</f>
        <v>339293</v>
      </c>
      <c r="AD146" s="34" t="n">
        <f aca="false">+W146-AC146</f>
        <v>0</v>
      </c>
      <c r="AE146" s="21" t="str">
        <f aca="false">IF(AB146&lt;1,"PAGADA","PENDIENTE")</f>
        <v>PAGADA</v>
      </c>
      <c r="AF146" s="21"/>
      <c r="AG146" s="29" t="s">
        <v>77</v>
      </c>
      <c r="AH146" s="39" t="n">
        <v>46116</v>
      </c>
      <c r="AI146" s="40" t="n">
        <f aca="false">+IF(Tabla[[#This Row],[FECHA PAGO / ABONO]]&lt;1,0,(MONTH(Tabla[[#This Row],[FECHA PAGO / ABONO]])))</f>
        <v>4</v>
      </c>
      <c r="AJ146" s="40" t="n">
        <f aca="false">+IF(Tabla[[#This Row],[FECHA PAGO / ABONO]]&lt;1,0,(YEAR(Tabla[[#This Row],[FECHA PAGO / ABONO]])))</f>
        <v>2026</v>
      </c>
      <c r="AK146" s="41"/>
    </row>
    <row r="147" customFormat="false" ht="14.25" hidden="false" customHeight="false" outlineLevel="0" collapsed="false">
      <c r="A147" s="28" t="s">
        <v>78</v>
      </c>
      <c r="B147" s="29" t="s">
        <v>79</v>
      </c>
      <c r="C147" s="29" t="s">
        <v>69</v>
      </c>
      <c r="D147" s="21" t="n">
        <v>108130</v>
      </c>
      <c r="E147" s="21" t="str">
        <f aca="false">+CONCATENATE(Tabla[[#This Row],[RUT]],Tabla[[#This Row],[PROVEEDOR]],Tabla[[#This Row],[FACTURA]])</f>
        <v>96516560-6BIO BIO COMUNICACIONES S.A.108130</v>
      </c>
      <c r="F147" s="30" t="n">
        <v>46045</v>
      </c>
      <c r="G147" s="31" t="n">
        <f aca="false">+F147+30</f>
        <v>46075</v>
      </c>
      <c r="H147" s="29" t="n">
        <f aca="true">+IF(AE147="PAGADA",0,TODAY()-G147)</f>
        <v>129</v>
      </c>
      <c r="I147" s="29" t="str">
        <f aca="false">+IF(H147&gt;180,"Atrasada",IF(H147&gt;150,"150 dias",IF(H147&gt;120,"120 dias",IF(H147&gt;90,"90 dias",IF(H147&gt;60,"60 dias",IF(H147&gt;30,"30 dias","Al Día"))))))</f>
        <v>120 dias</v>
      </c>
      <c r="J147" s="32" t="s">
        <v>80</v>
      </c>
      <c r="K147" s="29" t="s">
        <v>81</v>
      </c>
      <c r="L147" s="33" t="s">
        <v>72</v>
      </c>
      <c r="M147" s="29" t="n">
        <f aca="false">+YEAR(F147)</f>
        <v>2026</v>
      </c>
      <c r="N147" s="29" t="n">
        <v>2025</v>
      </c>
      <c r="O147" s="29" t="n">
        <v>12</v>
      </c>
      <c r="P147" s="29" t="str">
        <f aca="false">+CONCATENATE(Tabla[[#This Row],[MES CAMPAÑA]],"/",Tabla[[#This Row],[AÑO CAMPAÑA]])</f>
        <v>12/2025</v>
      </c>
      <c r="Q147" s="29" t="s">
        <v>82</v>
      </c>
      <c r="R147" s="29" t="s">
        <v>74</v>
      </c>
      <c r="S147" s="34" t="n">
        <v>0</v>
      </c>
      <c r="T147" s="34" t="n">
        <v>1074737</v>
      </c>
      <c r="U147" s="34" t="n">
        <v>204200</v>
      </c>
      <c r="V147" s="29"/>
      <c r="W147" s="35" t="n">
        <v>1278937</v>
      </c>
      <c r="X147" s="36"/>
      <c r="Y147" s="37"/>
      <c r="Z147" s="37"/>
      <c r="AA147" s="37"/>
      <c r="AB147" s="38" t="n">
        <f aca="false">+W147-AC147</f>
        <v>1278937</v>
      </c>
      <c r="AC147" s="34" t="n">
        <f aca="false">+Tabla[[#This Row],[P4]]+Tabla[[#This Row],[P3]]+Tabla[[#This Row],[P2]]+Tabla[[#This Row],[P1]]</f>
        <v>0</v>
      </c>
      <c r="AD147" s="34" t="n">
        <f aca="false">+W147-AC147</f>
        <v>1278937</v>
      </c>
      <c r="AE147" s="21" t="str">
        <f aca="false">IF(AB147&lt;1,"PAGADA","PENDIENTE")</f>
        <v>PENDIENTE</v>
      </c>
      <c r="AF147" s="21"/>
      <c r="AG147" s="29"/>
      <c r="AH147" s="40"/>
      <c r="AI147" s="40" t="n">
        <f aca="false">+IF(Tabla[[#This Row],[FECHA PAGO / ABONO]]&lt;1,0,(MONTH(Tabla[[#This Row],[FECHA PAGO / ABONO]])))</f>
        <v>0</v>
      </c>
      <c r="AJ147" s="40" t="n">
        <f aca="false">+IF(Tabla[[#This Row],[FECHA PAGO / ABONO]]&lt;1,0,(YEAR(Tabla[[#This Row],[FECHA PAGO / ABONO]])))</f>
        <v>0</v>
      </c>
      <c r="AK147" s="41"/>
    </row>
    <row r="148" customFormat="false" ht="14.25" hidden="false" customHeight="false" outlineLevel="0" collapsed="false">
      <c r="A148" s="28" t="s">
        <v>207</v>
      </c>
      <c r="B148" s="29" t="s">
        <v>208</v>
      </c>
      <c r="C148" s="29" t="s">
        <v>69</v>
      </c>
      <c r="D148" s="21" t="n">
        <v>564</v>
      </c>
      <c r="E148" s="21" t="str">
        <f aca="false">+CONCATENATE(Tabla[[#This Row],[RUT]],Tabla[[#This Row],[PROVEEDOR]],Tabla[[#This Row],[FACTURA]])</f>
        <v>76503821-9COOL PUBLICIDAD SPA564</v>
      </c>
      <c r="F148" s="30" t="n">
        <v>46045</v>
      </c>
      <c r="G148" s="31" t="n">
        <f aca="false">+F148+30</f>
        <v>46075</v>
      </c>
      <c r="H148" s="29" t="n">
        <f aca="true">+IF(AE148="PAGADA",0,TODAY()-G148)</f>
        <v>129</v>
      </c>
      <c r="I148" s="29" t="str">
        <f aca="false">+IF(H148&gt;180,"Atrasada",IF(H148&gt;150,"150 dias",IF(H148&gt;120,"120 dias",IF(H148&gt;90,"90 dias",IF(H148&gt;60,"60 dias",IF(H148&gt;30,"30 dias","Al Día"))))))</f>
        <v>120 dias</v>
      </c>
      <c r="J148" s="32" t="s">
        <v>80</v>
      </c>
      <c r="K148" s="29" t="s">
        <v>81</v>
      </c>
      <c r="L148" s="33" t="s">
        <v>72</v>
      </c>
      <c r="M148" s="29" t="n">
        <f aca="false">+YEAR(F148)</f>
        <v>2026</v>
      </c>
      <c r="N148" s="29" t="n">
        <v>2025</v>
      </c>
      <c r="O148" s="29" t="n">
        <v>12</v>
      </c>
      <c r="P148" s="29" t="str">
        <f aca="false">+CONCATENATE(Tabla[[#This Row],[MES CAMPAÑA]],"/",Tabla[[#This Row],[AÑO CAMPAÑA]])</f>
        <v>12/2025</v>
      </c>
      <c r="Q148" s="29" t="s">
        <v>92</v>
      </c>
      <c r="R148" s="29" t="s">
        <v>74</v>
      </c>
      <c r="S148" s="34" t="n">
        <v>0</v>
      </c>
      <c r="T148" s="34" t="n">
        <v>380000</v>
      </c>
      <c r="U148" s="34" t="n">
        <v>72200</v>
      </c>
      <c r="V148" s="29"/>
      <c r="W148" s="35" t="n">
        <v>452200</v>
      </c>
      <c r="X148" s="36"/>
      <c r="Y148" s="37"/>
      <c r="Z148" s="37"/>
      <c r="AA148" s="37"/>
      <c r="AB148" s="38" t="n">
        <f aca="false">+W148-AC148</f>
        <v>452200</v>
      </c>
      <c r="AC148" s="34" t="n">
        <f aca="false">+Tabla[[#This Row],[P4]]+Tabla[[#This Row],[P3]]+Tabla[[#This Row],[P2]]+Tabla[[#This Row],[P1]]</f>
        <v>0</v>
      </c>
      <c r="AD148" s="34" t="n">
        <f aca="false">+W148-AC148</f>
        <v>452200</v>
      </c>
      <c r="AE148" s="21" t="str">
        <f aca="false">IF(AB148&lt;1,"PAGADA","PENDIENTE")</f>
        <v>PENDIENTE</v>
      </c>
      <c r="AF148" s="21"/>
      <c r="AG148" s="29"/>
      <c r="AH148" s="40"/>
      <c r="AI148" s="40" t="n">
        <f aca="false">+IF(Tabla[[#This Row],[FECHA PAGO / ABONO]]&lt;1,0,(MONTH(Tabla[[#This Row],[FECHA PAGO / ABONO]])))</f>
        <v>0</v>
      </c>
      <c r="AJ148" s="40" t="n">
        <f aca="false">+IF(Tabla[[#This Row],[FECHA PAGO / ABONO]]&lt;1,0,(YEAR(Tabla[[#This Row],[FECHA PAGO / ABONO]])))</f>
        <v>0</v>
      </c>
      <c r="AK148" s="41"/>
    </row>
    <row r="149" customFormat="false" ht="14.25" hidden="false" customHeight="false" outlineLevel="0" collapsed="false">
      <c r="A149" s="28" t="s">
        <v>177</v>
      </c>
      <c r="B149" s="29" t="s">
        <v>178</v>
      </c>
      <c r="C149" s="29" t="s">
        <v>125</v>
      </c>
      <c r="D149" s="21" t="n">
        <v>3702</v>
      </c>
      <c r="E149" s="21" t="str">
        <f aca="false">+CONCATENATE(Tabla[[#This Row],[RUT]],Tabla[[#This Row],[PROVEEDOR]],Tabla[[#This Row],[FACTURA]])</f>
        <v>84383200-8GLOBAL MEDIA SPA3702</v>
      </c>
      <c r="F149" s="30" t="n">
        <v>46046</v>
      </c>
      <c r="G149" s="31" t="n">
        <f aca="false">+F149+30</f>
        <v>46076</v>
      </c>
      <c r="H149" s="29" t="n">
        <f aca="true">+IF(AE149="PAGADA",0,TODAY()-G149)</f>
        <v>0</v>
      </c>
      <c r="I149" s="29" t="str">
        <f aca="false">+IF(H149&gt;180,"Atrasada",IF(H149&gt;150,"150 dias",IF(H149&gt;120,"120 dias",IF(H149&gt;90,"90 dias",IF(H149&gt;60,"60 dias",IF(H149&gt;30,"30 dias","Al Día"))))))</f>
        <v>Al Día</v>
      </c>
      <c r="J149" s="32" t="s">
        <v>80</v>
      </c>
      <c r="K149" s="29" t="s">
        <v>126</v>
      </c>
      <c r="L149" s="33" t="s">
        <v>72</v>
      </c>
      <c r="M149" s="29" t="n">
        <f aca="false">+YEAR(F149)</f>
        <v>2026</v>
      </c>
      <c r="N149" s="29" t="n">
        <v>2025</v>
      </c>
      <c r="O149" s="29" t="n">
        <v>11</v>
      </c>
      <c r="P149" s="29" t="str">
        <f aca="false">+CONCATENATE(Tabla[[#This Row],[MES CAMPAÑA]],"/",Tabla[[#This Row],[AÑO CAMPAÑA]])</f>
        <v>11/2025</v>
      </c>
      <c r="Q149" s="29" t="s">
        <v>179</v>
      </c>
      <c r="R149" s="29" t="s">
        <v>74</v>
      </c>
      <c r="S149" s="34" t="n">
        <v>0</v>
      </c>
      <c r="T149" s="34" t="n">
        <v>10000000</v>
      </c>
      <c r="U149" s="34" t="n">
        <v>1900000</v>
      </c>
      <c r="V149" s="29"/>
      <c r="W149" s="35" t="n">
        <v>11900000</v>
      </c>
      <c r="X149" s="36" t="n">
        <f aca="false">+Tabla[[#This Row],[TOTAL]]</f>
        <v>11900000</v>
      </c>
      <c r="Y149" s="37"/>
      <c r="Z149" s="37"/>
      <c r="AA149" s="37"/>
      <c r="AB149" s="38" t="n">
        <f aca="false">+W149-AC149</f>
        <v>0</v>
      </c>
      <c r="AC149" s="34" t="n">
        <f aca="false">+Tabla[[#This Row],[P4]]+Tabla[[#This Row],[P3]]+Tabla[[#This Row],[P2]]+Tabla[[#This Row],[P1]]</f>
        <v>11900000</v>
      </c>
      <c r="AD149" s="34" t="n">
        <f aca="false">+W149-AC149</f>
        <v>0</v>
      </c>
      <c r="AE149" s="21" t="str">
        <f aca="false">IF(AB149&lt;1,"PAGADA","PENDIENTE")</f>
        <v>PAGADA</v>
      </c>
      <c r="AF149" s="21"/>
      <c r="AG149" s="29" t="s">
        <v>209</v>
      </c>
      <c r="AH149" s="40"/>
      <c r="AI149" s="40" t="n">
        <f aca="false">+IF(Tabla[[#This Row],[FECHA PAGO / ABONO]]&lt;1,0,(MONTH(Tabla[[#This Row],[FECHA PAGO / ABONO]])))</f>
        <v>0</v>
      </c>
      <c r="AJ149" s="40" t="n">
        <f aca="false">+IF(Tabla[[#This Row],[FECHA PAGO / ABONO]]&lt;1,0,(YEAR(Tabla[[#This Row],[FECHA PAGO / ABONO]])))</f>
        <v>0</v>
      </c>
      <c r="AK149" s="41"/>
    </row>
    <row r="150" customFormat="false" ht="14.25" hidden="false" customHeight="false" outlineLevel="0" collapsed="false">
      <c r="A150" s="28" t="s">
        <v>210</v>
      </c>
      <c r="B150" s="29" t="s">
        <v>211</v>
      </c>
      <c r="C150" s="29" t="s">
        <v>69</v>
      </c>
      <c r="D150" s="21" t="n">
        <v>39846</v>
      </c>
      <c r="E150" s="21" t="str">
        <f aca="false">+CONCATENATE(Tabla[[#This Row],[RUT]],Tabla[[#This Row],[PROVEEDOR]],Tabla[[#This Row],[FACTURA]])</f>
        <v>78794060-9MEGAMEDIA RADIO S.A.39846</v>
      </c>
      <c r="F150" s="30" t="n">
        <v>46048</v>
      </c>
      <c r="G150" s="31" t="n">
        <f aca="false">+F150+30</f>
        <v>46078</v>
      </c>
      <c r="H150" s="29" t="n">
        <f aca="true">+IF(AE150="PAGADA",0,TODAY()-G150)</f>
        <v>0</v>
      </c>
      <c r="I150" s="29" t="str">
        <f aca="false">+IF(H150&gt;180,"Atrasada",IF(H150&gt;150,"150 dias",IF(H150&gt;120,"120 dias",IF(H150&gt;90,"90 dias",IF(H150&gt;60,"60 dias",IF(H150&gt;30,"30 dias","Al Día"))))))</f>
        <v>Al Día</v>
      </c>
      <c r="J150" s="32" t="s">
        <v>80</v>
      </c>
      <c r="K150" s="29" t="s">
        <v>81</v>
      </c>
      <c r="L150" s="33" t="s">
        <v>72</v>
      </c>
      <c r="M150" s="29" t="n">
        <f aca="false">+YEAR(F150)</f>
        <v>2026</v>
      </c>
      <c r="N150" s="29" t="n">
        <v>2025</v>
      </c>
      <c r="O150" s="29" t="n">
        <v>12</v>
      </c>
      <c r="P150" s="29" t="str">
        <f aca="false">+CONCATENATE(Tabla[[#This Row],[MES CAMPAÑA]],"/",Tabla[[#This Row],[AÑO CAMPAÑA]])</f>
        <v>12/2025</v>
      </c>
      <c r="Q150" s="29" t="s">
        <v>212</v>
      </c>
      <c r="R150" s="29" t="s">
        <v>74</v>
      </c>
      <c r="S150" s="34" t="n">
        <v>0</v>
      </c>
      <c r="T150" s="34" t="n">
        <v>2500000</v>
      </c>
      <c r="U150" s="34" t="n">
        <v>475000</v>
      </c>
      <c r="V150" s="29"/>
      <c r="W150" s="35" t="n">
        <v>2975000</v>
      </c>
      <c r="X150" s="36" t="n">
        <f aca="false">+Tabla[[#This Row],[TOTAL]]</f>
        <v>2975000</v>
      </c>
      <c r="Y150" s="37"/>
      <c r="Z150" s="37"/>
      <c r="AA150" s="37"/>
      <c r="AB150" s="38" t="n">
        <f aca="false">+W150-AC150</f>
        <v>0</v>
      </c>
      <c r="AC150" s="34" t="n">
        <f aca="false">+Tabla[[#This Row],[P4]]+Tabla[[#This Row],[P3]]+Tabla[[#This Row],[P2]]+Tabla[[#This Row],[P1]]</f>
        <v>2975000</v>
      </c>
      <c r="AD150" s="34" t="n">
        <f aca="false">+W150-AC150</f>
        <v>0</v>
      </c>
      <c r="AE150" s="21" t="str">
        <f aca="false">IF(AB150&lt;1,"PAGADA","PENDIENTE")</f>
        <v>PAGADA</v>
      </c>
      <c r="AF150" s="21"/>
      <c r="AG150" s="29" t="s">
        <v>77</v>
      </c>
      <c r="AH150" s="39" t="n">
        <v>46190</v>
      </c>
      <c r="AI150" s="40" t="n">
        <f aca="false">+IF(Tabla[[#This Row],[FECHA PAGO / ABONO]]&lt;1,0,(MONTH(Tabla[[#This Row],[FECHA PAGO / ABONO]])))</f>
        <v>6</v>
      </c>
      <c r="AJ150" s="40" t="n">
        <f aca="false">+IF(Tabla[[#This Row],[FECHA PAGO / ABONO]]&lt;1,0,(YEAR(Tabla[[#This Row],[FECHA PAGO / ABONO]])))</f>
        <v>2026</v>
      </c>
      <c r="AK150" s="41"/>
    </row>
    <row r="151" customFormat="false" ht="14.25" hidden="false" customHeight="false" outlineLevel="0" collapsed="false">
      <c r="A151" s="28" t="s">
        <v>177</v>
      </c>
      <c r="B151" s="29" t="s">
        <v>178</v>
      </c>
      <c r="C151" s="29" t="s">
        <v>69</v>
      </c>
      <c r="D151" s="21" t="n">
        <v>37503</v>
      </c>
      <c r="E151" s="21" t="str">
        <f aca="false">+CONCATENATE(Tabla[[#This Row],[RUT]],Tabla[[#This Row],[PROVEEDOR]],Tabla[[#This Row],[FACTURA]])</f>
        <v>84383200-8GLOBAL MEDIA SPA37503</v>
      </c>
      <c r="F151" s="30" t="n">
        <v>46048</v>
      </c>
      <c r="G151" s="31" t="n">
        <f aca="false">+F151+30</f>
        <v>46078</v>
      </c>
      <c r="H151" s="29" t="n">
        <f aca="true">+IF(AE151="PAGADA",0,TODAY()-G151)</f>
        <v>0</v>
      </c>
      <c r="I151" s="29" t="str">
        <f aca="false">+IF(H151&gt;180,"Atrasada",IF(H151&gt;150,"150 dias",IF(H151&gt;120,"120 dias",IF(H151&gt;90,"90 dias",IF(H151&gt;60,"60 dias",IF(H151&gt;30,"30 dias","Al Día"))))))</f>
        <v>Al Día</v>
      </c>
      <c r="J151" s="32" t="s">
        <v>80</v>
      </c>
      <c r="K151" s="29" t="s">
        <v>81</v>
      </c>
      <c r="L151" s="33" t="s">
        <v>72</v>
      </c>
      <c r="M151" s="29" t="n">
        <f aca="false">+YEAR(F151)</f>
        <v>2026</v>
      </c>
      <c r="N151" s="29" t="n">
        <v>2025</v>
      </c>
      <c r="O151" s="29" t="n">
        <v>11</v>
      </c>
      <c r="P151" s="29" t="str">
        <f aca="false">+CONCATENATE(Tabla[[#This Row],[MES CAMPAÑA]],"/",Tabla[[#This Row],[AÑO CAMPAÑA]])</f>
        <v>11/2025</v>
      </c>
      <c r="Q151" s="29" t="s">
        <v>97</v>
      </c>
      <c r="R151" s="29" t="s">
        <v>74</v>
      </c>
      <c r="S151" s="34" t="n">
        <v>0</v>
      </c>
      <c r="T151" s="34" t="n">
        <v>7692308</v>
      </c>
      <c r="U151" s="34" t="n">
        <v>1461539</v>
      </c>
      <c r="V151" s="29"/>
      <c r="W151" s="35" t="n">
        <v>9153847</v>
      </c>
      <c r="X151" s="36" t="n">
        <v>7775451</v>
      </c>
      <c r="Y151" s="36" t="n">
        <v>1378396</v>
      </c>
      <c r="Z151" s="37"/>
      <c r="AA151" s="37"/>
      <c r="AB151" s="38" t="n">
        <f aca="false">+W151-AC151</f>
        <v>0</v>
      </c>
      <c r="AC151" s="34" t="n">
        <f aca="false">+Tabla[[#This Row],[P4]]+Tabla[[#This Row],[P3]]+Tabla[[#This Row],[P2]]+Tabla[[#This Row],[P1]]</f>
        <v>9153847</v>
      </c>
      <c r="AD151" s="34" t="n">
        <f aca="false">+W151-AC151</f>
        <v>0</v>
      </c>
      <c r="AE151" s="21" t="str">
        <f aca="false">IF(AB151&lt;1,"PAGADA","PENDIENTE")</f>
        <v>PAGADA</v>
      </c>
      <c r="AF151" s="21"/>
      <c r="AG151" s="29" t="s">
        <v>213</v>
      </c>
      <c r="AH151" s="39" t="n">
        <v>46177</v>
      </c>
      <c r="AI151" s="40" t="n">
        <f aca="false">+IF(Tabla[[#This Row],[FECHA PAGO / ABONO]]&lt;1,0,(MONTH(Tabla[[#This Row],[FECHA PAGO / ABONO]])))</f>
        <v>6</v>
      </c>
      <c r="AJ151" s="40" t="n">
        <f aca="false">+IF(Tabla[[#This Row],[FECHA PAGO / ABONO]]&lt;1,0,(YEAR(Tabla[[#This Row],[FECHA PAGO / ABONO]])))</f>
        <v>2026</v>
      </c>
      <c r="AK151" s="41"/>
    </row>
    <row r="152" customFormat="false" ht="14.25" hidden="false" customHeight="false" outlineLevel="0" collapsed="false">
      <c r="A152" s="28" t="s">
        <v>214</v>
      </c>
      <c r="B152" s="29" t="s">
        <v>215</v>
      </c>
      <c r="C152" s="29" t="s">
        <v>69</v>
      </c>
      <c r="D152" s="21" t="n">
        <v>4535</v>
      </c>
      <c r="E152" s="21" t="str">
        <f aca="false">+CONCATENATE(Tabla[[#This Row],[RUT]],Tabla[[#This Row],[PROVEEDOR]],Tabla[[#This Row],[FACTURA]])</f>
        <v>89673600-0NUNEZ Y COMPANIA LIMITADA4535</v>
      </c>
      <c r="F152" s="30" t="n">
        <v>46048</v>
      </c>
      <c r="G152" s="31" t="n">
        <f aca="false">+F152+30</f>
        <v>46078</v>
      </c>
      <c r="H152" s="29" t="n">
        <f aca="true">+IF(AE152="PAGADA",0,TODAY()-G152)</f>
        <v>0</v>
      </c>
      <c r="I152" s="29" t="str">
        <f aca="false">+IF(H152&gt;180,"Atrasada",IF(H152&gt;150,"150 dias",IF(H152&gt;120,"120 dias",IF(H152&gt;90,"90 dias",IF(H152&gt;60,"60 dias",IF(H152&gt;30,"30 dias","Al Día"))))))</f>
        <v>Al Día</v>
      </c>
      <c r="J152" s="32" t="s">
        <v>80</v>
      </c>
      <c r="K152" s="29" t="s">
        <v>124</v>
      </c>
      <c r="L152" s="33" t="s">
        <v>72</v>
      </c>
      <c r="M152" s="29" t="n">
        <f aca="false">+YEAR(F152)</f>
        <v>2026</v>
      </c>
      <c r="N152" s="29" t="n">
        <v>2025</v>
      </c>
      <c r="O152" s="29" t="n">
        <v>12</v>
      </c>
      <c r="P152" s="29" t="str">
        <f aca="false">+CONCATENATE(Tabla[[#This Row],[MES CAMPAÑA]],"/",Tabla[[#This Row],[AÑO CAMPAÑA]])</f>
        <v>12/2025</v>
      </c>
      <c r="Q152" s="29" t="s">
        <v>108</v>
      </c>
      <c r="R152" s="29" t="s">
        <v>74</v>
      </c>
      <c r="S152" s="34" t="n">
        <v>0</v>
      </c>
      <c r="T152" s="34" t="n">
        <v>641025</v>
      </c>
      <c r="U152" s="34" t="n">
        <v>121795</v>
      </c>
      <c r="V152" s="29"/>
      <c r="W152" s="35" t="n">
        <v>762820</v>
      </c>
      <c r="X152" s="36" t="n">
        <f aca="false">+Tabla[[#This Row],[TOTAL]]</f>
        <v>762820</v>
      </c>
      <c r="Y152" s="37"/>
      <c r="Z152" s="37"/>
      <c r="AA152" s="37"/>
      <c r="AB152" s="38" t="n">
        <f aca="false">+W152-AC152</f>
        <v>0</v>
      </c>
      <c r="AC152" s="34" t="n">
        <f aca="false">+Tabla[[#This Row],[P4]]+Tabla[[#This Row],[P3]]+Tabla[[#This Row],[P2]]+Tabla[[#This Row],[P1]]</f>
        <v>762820</v>
      </c>
      <c r="AD152" s="34" t="n">
        <f aca="false">+W152-AC152</f>
        <v>0</v>
      </c>
      <c r="AE152" s="21" t="str">
        <f aca="false">IF(AB152&lt;1,"PAGADA","PENDIENTE")</f>
        <v>PAGADA</v>
      </c>
      <c r="AF152" s="21"/>
      <c r="AG152" s="29" t="s">
        <v>216</v>
      </c>
      <c r="AH152" s="40"/>
      <c r="AI152" s="40" t="n">
        <f aca="false">+IF(Tabla[[#This Row],[FECHA PAGO / ABONO]]&lt;1,0,(MONTH(Tabla[[#This Row],[FECHA PAGO / ABONO]])))</f>
        <v>0</v>
      </c>
      <c r="AJ152" s="40" t="n">
        <f aca="false">+IF(Tabla[[#This Row],[FECHA PAGO / ABONO]]&lt;1,0,(YEAR(Tabla[[#This Row],[FECHA PAGO / ABONO]])))</f>
        <v>0</v>
      </c>
      <c r="AK152" s="41"/>
    </row>
    <row r="153" customFormat="false" ht="14.25" hidden="false" customHeight="false" outlineLevel="0" collapsed="false">
      <c r="A153" s="28" t="s">
        <v>217</v>
      </c>
      <c r="B153" s="29" t="s">
        <v>218</v>
      </c>
      <c r="C153" s="29" t="s">
        <v>69</v>
      </c>
      <c r="D153" s="21" t="n">
        <v>18273</v>
      </c>
      <c r="E153" s="21" t="str">
        <f aca="false">+CONCATENATE(Tabla[[#This Row],[RUT]],Tabla[[#This Row],[PROVEEDOR]],Tabla[[#This Row],[FACTURA]])</f>
        <v>76058347-2COMERCIALIZADORA GC SA18273</v>
      </c>
      <c r="F153" s="30" t="n">
        <v>46048</v>
      </c>
      <c r="G153" s="31" t="n">
        <f aca="false">+F153+30</f>
        <v>46078</v>
      </c>
      <c r="H153" s="29" t="n">
        <f aca="true">+IF(AE153="PAGADA",0,TODAY()-G153)</f>
        <v>0</v>
      </c>
      <c r="I153" s="29" t="str">
        <f aca="false">+IF(H153&gt;180,"Atrasada",IF(H153&gt;150,"150 dias",IF(H153&gt;120,"120 dias",IF(H153&gt;90,"90 dias",IF(H153&gt;60,"60 dias",IF(H153&gt;30,"30 dias","Al Día"))))))</f>
        <v>Al Día</v>
      </c>
      <c r="J153" s="32" t="s">
        <v>80</v>
      </c>
      <c r="K153" s="29" t="s">
        <v>81</v>
      </c>
      <c r="L153" s="33" t="s">
        <v>72</v>
      </c>
      <c r="M153" s="29" t="n">
        <f aca="false">+YEAR(F153)</f>
        <v>2026</v>
      </c>
      <c r="N153" s="29" t="n">
        <v>2025</v>
      </c>
      <c r="O153" s="29" t="n">
        <v>12</v>
      </c>
      <c r="P153" s="29" t="str">
        <f aca="false">+CONCATENATE(Tabla[[#This Row],[MES CAMPAÑA]],"/",Tabla[[#This Row],[AÑO CAMPAÑA]])</f>
        <v>12/2025</v>
      </c>
      <c r="Q153" s="29" t="s">
        <v>82</v>
      </c>
      <c r="R153" s="29" t="s">
        <v>74</v>
      </c>
      <c r="S153" s="34" t="n">
        <v>0</v>
      </c>
      <c r="T153" s="34" t="n">
        <v>1074737</v>
      </c>
      <c r="U153" s="34" t="n">
        <v>204200</v>
      </c>
      <c r="V153" s="29"/>
      <c r="W153" s="35" t="n">
        <v>1278937</v>
      </c>
      <c r="X153" s="36" t="n">
        <f aca="false">+Tabla[[#This Row],[TOTAL]]</f>
        <v>1278937</v>
      </c>
      <c r="Y153" s="37"/>
      <c r="Z153" s="37"/>
      <c r="AA153" s="37"/>
      <c r="AB153" s="38" t="n">
        <f aca="false">+W153-AC153</f>
        <v>0</v>
      </c>
      <c r="AC153" s="34" t="n">
        <f aca="false">+Tabla[[#This Row],[P4]]+Tabla[[#This Row],[P3]]+Tabla[[#This Row],[P2]]+Tabla[[#This Row],[P1]]</f>
        <v>1278937</v>
      </c>
      <c r="AD153" s="34" t="n">
        <f aca="false">+W153-AC153</f>
        <v>0</v>
      </c>
      <c r="AE153" s="21" t="str">
        <f aca="false">IF(AB153&lt;1,"PAGADA","PENDIENTE")</f>
        <v>PAGADA</v>
      </c>
      <c r="AF153" s="21"/>
      <c r="AG153" s="21" t="s">
        <v>77</v>
      </c>
      <c r="AH153" s="39" t="n">
        <v>46113</v>
      </c>
      <c r="AI153" s="40" t="n">
        <f aca="false">+IF(Tabla[[#This Row],[FECHA PAGO / ABONO]]&lt;1,0,(MONTH(Tabla[[#This Row],[FECHA PAGO / ABONO]])))</f>
        <v>4</v>
      </c>
      <c r="AJ153" s="40" t="n">
        <f aca="false">+IF(Tabla[[#This Row],[FECHA PAGO / ABONO]]&lt;1,0,(YEAR(Tabla[[#This Row],[FECHA PAGO / ABONO]])))</f>
        <v>2026</v>
      </c>
      <c r="AK153" s="41"/>
    </row>
    <row r="154" customFormat="false" ht="14.25" hidden="false" customHeight="false" outlineLevel="0" collapsed="false">
      <c r="A154" s="28" t="s">
        <v>217</v>
      </c>
      <c r="B154" s="29" t="s">
        <v>218</v>
      </c>
      <c r="C154" s="29" t="s">
        <v>69</v>
      </c>
      <c r="D154" s="21" t="n">
        <v>18274</v>
      </c>
      <c r="E154" s="21" t="str">
        <f aca="false">+CONCATENATE(Tabla[[#This Row],[RUT]],Tabla[[#This Row],[PROVEEDOR]],Tabla[[#This Row],[FACTURA]])</f>
        <v>76058347-2COMERCIALIZADORA GC SA18274</v>
      </c>
      <c r="F154" s="30" t="n">
        <v>46048</v>
      </c>
      <c r="G154" s="31" t="n">
        <f aca="false">+F154+30</f>
        <v>46078</v>
      </c>
      <c r="H154" s="29" t="n">
        <f aca="true">+IF(AE154="PAGADA",0,TODAY()-G154)</f>
        <v>0</v>
      </c>
      <c r="I154" s="29" t="str">
        <f aca="false">+IF(H154&gt;180,"Atrasada",IF(H154&gt;150,"150 dias",IF(H154&gt;120,"120 dias",IF(H154&gt;90,"90 dias",IF(H154&gt;60,"60 dias",IF(H154&gt;30,"30 dias","Al Día"))))))</f>
        <v>Al Día</v>
      </c>
      <c r="J154" s="32" t="s">
        <v>80</v>
      </c>
      <c r="K154" s="29" t="s">
        <v>81</v>
      </c>
      <c r="L154" s="33" t="s">
        <v>72</v>
      </c>
      <c r="M154" s="29" t="n">
        <f aca="false">+YEAR(F154)</f>
        <v>2026</v>
      </c>
      <c r="N154" s="29" t="n">
        <v>2025</v>
      </c>
      <c r="O154" s="29" t="n">
        <v>12</v>
      </c>
      <c r="P154" s="29" t="str">
        <f aca="false">+CONCATENATE(Tabla[[#This Row],[MES CAMPAÑA]],"/",Tabla[[#This Row],[AÑO CAMPAÑA]])</f>
        <v>12/2025</v>
      </c>
      <c r="Q154" s="29" t="s">
        <v>130</v>
      </c>
      <c r="R154" s="29" t="s">
        <v>74</v>
      </c>
      <c r="S154" s="34" t="n">
        <v>0</v>
      </c>
      <c r="T154" s="34" t="n">
        <v>3000000</v>
      </c>
      <c r="U154" s="34" t="n">
        <v>570000</v>
      </c>
      <c r="V154" s="29"/>
      <c r="W154" s="35" t="n">
        <v>3570000</v>
      </c>
      <c r="X154" s="36" t="n">
        <f aca="false">+Tabla[[#This Row],[TOTAL]]</f>
        <v>3570000</v>
      </c>
      <c r="Y154" s="37"/>
      <c r="Z154" s="37"/>
      <c r="AA154" s="37"/>
      <c r="AB154" s="38" t="n">
        <f aca="false">+W154-AC154</f>
        <v>0</v>
      </c>
      <c r="AC154" s="34" t="n">
        <f aca="false">+Tabla[[#This Row],[P4]]+Tabla[[#This Row],[P3]]+Tabla[[#This Row],[P2]]+Tabla[[#This Row],[P1]]</f>
        <v>3570000</v>
      </c>
      <c r="AD154" s="34" t="n">
        <f aca="false">+W154-AC154</f>
        <v>0</v>
      </c>
      <c r="AE154" s="21" t="str">
        <f aca="false">IF(AB154&lt;1,"PAGADA","PENDIENTE")</f>
        <v>PAGADA</v>
      </c>
      <c r="AF154" s="21"/>
      <c r="AG154" s="21" t="s">
        <v>77</v>
      </c>
      <c r="AH154" s="39" t="n">
        <v>46113</v>
      </c>
      <c r="AI154" s="40" t="n">
        <f aca="false">+IF(Tabla[[#This Row],[FECHA PAGO / ABONO]]&lt;1,0,(MONTH(Tabla[[#This Row],[FECHA PAGO / ABONO]])))</f>
        <v>4</v>
      </c>
      <c r="AJ154" s="40" t="n">
        <f aca="false">+IF(Tabla[[#This Row],[FECHA PAGO / ABONO]]&lt;1,0,(YEAR(Tabla[[#This Row],[FECHA PAGO / ABONO]])))</f>
        <v>2026</v>
      </c>
      <c r="AK154" s="41"/>
    </row>
    <row r="155" customFormat="false" ht="14.25" hidden="false" customHeight="false" outlineLevel="0" collapsed="false">
      <c r="A155" s="28" t="s">
        <v>217</v>
      </c>
      <c r="B155" s="29" t="s">
        <v>218</v>
      </c>
      <c r="C155" s="29" t="s">
        <v>69</v>
      </c>
      <c r="D155" s="21" t="n">
        <v>18276</v>
      </c>
      <c r="E155" s="21" t="str">
        <f aca="false">+CONCATENATE(Tabla[[#This Row],[RUT]],Tabla[[#This Row],[PROVEEDOR]],Tabla[[#This Row],[FACTURA]])</f>
        <v>76058347-2COMERCIALIZADORA GC SA18276</v>
      </c>
      <c r="F155" s="30" t="n">
        <v>46048</v>
      </c>
      <c r="G155" s="31" t="n">
        <f aca="false">+F155+30</f>
        <v>46078</v>
      </c>
      <c r="H155" s="29" t="n">
        <f aca="true">+IF(AE155="PAGADA",0,TODAY()-G155)</f>
        <v>0</v>
      </c>
      <c r="I155" s="29" t="str">
        <f aca="false">+IF(H155&gt;180,"Atrasada",IF(H155&gt;150,"150 dias",IF(H155&gt;120,"120 dias",IF(H155&gt;90,"90 dias",IF(H155&gt;60,"60 dias",IF(H155&gt;30,"30 dias","Al Día"))))))</f>
        <v>Al Día</v>
      </c>
      <c r="J155" s="32" t="s">
        <v>80</v>
      </c>
      <c r="K155" s="29" t="s">
        <v>81</v>
      </c>
      <c r="L155" s="33" t="s">
        <v>72</v>
      </c>
      <c r="M155" s="29" t="n">
        <f aca="false">+YEAR(F155)</f>
        <v>2026</v>
      </c>
      <c r="N155" s="29" t="n">
        <v>2025</v>
      </c>
      <c r="O155" s="29" t="n">
        <v>12</v>
      </c>
      <c r="P155" s="29" t="str">
        <f aca="false">+CONCATENATE(Tabla[[#This Row],[MES CAMPAÑA]],"/",Tabla[[#This Row],[AÑO CAMPAÑA]])</f>
        <v>12/2025</v>
      </c>
      <c r="Q155" s="29" t="s">
        <v>161</v>
      </c>
      <c r="R155" s="29" t="s">
        <v>74</v>
      </c>
      <c r="S155" s="34" t="n">
        <v>0</v>
      </c>
      <c r="T155" s="34" t="n">
        <v>1416667</v>
      </c>
      <c r="U155" s="34" t="n">
        <v>269167</v>
      </c>
      <c r="V155" s="29"/>
      <c r="W155" s="35" t="n">
        <v>1685834</v>
      </c>
      <c r="X155" s="36" t="n">
        <f aca="false">+Tabla[[#This Row],[TOTAL]]</f>
        <v>1685834</v>
      </c>
      <c r="Y155" s="37"/>
      <c r="Z155" s="37"/>
      <c r="AA155" s="37"/>
      <c r="AB155" s="38" t="n">
        <f aca="false">+W155-AC155</f>
        <v>0</v>
      </c>
      <c r="AC155" s="34" t="n">
        <f aca="false">+Tabla[[#This Row],[P4]]+Tabla[[#This Row],[P3]]+Tabla[[#This Row],[P2]]+Tabla[[#This Row],[P1]]</f>
        <v>1685834</v>
      </c>
      <c r="AD155" s="34" t="n">
        <f aca="false">+W155-AC155</f>
        <v>0</v>
      </c>
      <c r="AE155" s="21" t="str">
        <f aca="false">IF(AB155&lt;1,"PAGADA","PENDIENTE")</f>
        <v>PAGADA</v>
      </c>
      <c r="AF155" s="21"/>
      <c r="AG155" s="21" t="s">
        <v>77</v>
      </c>
      <c r="AH155" s="39" t="n">
        <v>46113</v>
      </c>
      <c r="AI155" s="40" t="n">
        <f aca="false">+IF(Tabla[[#This Row],[FECHA PAGO / ABONO]]&lt;1,0,(MONTH(Tabla[[#This Row],[FECHA PAGO / ABONO]])))</f>
        <v>4</v>
      </c>
      <c r="AJ155" s="40" t="n">
        <f aca="false">+IF(Tabla[[#This Row],[FECHA PAGO / ABONO]]&lt;1,0,(YEAR(Tabla[[#This Row],[FECHA PAGO / ABONO]])))</f>
        <v>2026</v>
      </c>
      <c r="AK155" s="41"/>
    </row>
    <row r="156" customFormat="false" ht="14.25" hidden="false" customHeight="false" outlineLevel="0" collapsed="false">
      <c r="A156" s="28" t="s">
        <v>219</v>
      </c>
      <c r="B156" s="29" t="s">
        <v>220</v>
      </c>
      <c r="C156" s="29" t="s">
        <v>69</v>
      </c>
      <c r="D156" s="21" t="n">
        <v>117922</v>
      </c>
      <c r="E156" s="21" t="str">
        <f aca="false">+CONCATENATE(Tabla[[#This Row],[RUT]],Tabla[[#This Row],[PROVEEDOR]],Tabla[[#This Row],[FACTURA]])</f>
        <v>76115132-0CANAL 13 SpA.117922</v>
      </c>
      <c r="F156" s="30" t="n">
        <v>46048</v>
      </c>
      <c r="G156" s="31" t="n">
        <f aca="false">+F156+30</f>
        <v>46078</v>
      </c>
      <c r="H156" s="29" t="n">
        <f aca="true">+IF(AE156="PAGADA",0,TODAY()-G156)</f>
        <v>0</v>
      </c>
      <c r="I156" s="29" t="str">
        <f aca="false">+IF(H156&gt;180,"Atrasada",IF(H156&gt;150,"150 dias",IF(H156&gt;120,"120 dias",IF(H156&gt;90,"90 dias",IF(H156&gt;60,"60 dias",IF(H156&gt;30,"30 dias","Al Día"))))))</f>
        <v>Al Día</v>
      </c>
      <c r="J156" s="32" t="s">
        <v>80</v>
      </c>
      <c r="K156" s="29" t="s">
        <v>81</v>
      </c>
      <c r="L156" s="33" t="s">
        <v>72</v>
      </c>
      <c r="M156" s="29" t="n">
        <f aca="false">+YEAR(F156)</f>
        <v>2026</v>
      </c>
      <c r="N156" s="29" t="n">
        <v>2025</v>
      </c>
      <c r="O156" s="29" t="n">
        <v>12</v>
      </c>
      <c r="P156" s="29" t="str">
        <f aca="false">+CONCATENATE(Tabla[[#This Row],[MES CAMPAÑA]],"/",Tabla[[#This Row],[AÑO CAMPAÑA]])</f>
        <v>12/2025</v>
      </c>
      <c r="Q156" s="29" t="s">
        <v>161</v>
      </c>
      <c r="R156" s="29" t="s">
        <v>74</v>
      </c>
      <c r="S156" s="34" t="n">
        <v>0</v>
      </c>
      <c r="T156" s="34" t="n">
        <v>2600000</v>
      </c>
      <c r="U156" s="34" t="n">
        <v>494000</v>
      </c>
      <c r="V156" s="29"/>
      <c r="W156" s="35" t="n">
        <v>3094000</v>
      </c>
      <c r="X156" s="36" t="n">
        <f aca="false">+Tabla[[#This Row],[TOTAL]]</f>
        <v>3094000</v>
      </c>
      <c r="Y156" s="37"/>
      <c r="Z156" s="37"/>
      <c r="AA156" s="37"/>
      <c r="AB156" s="38" t="n">
        <f aca="false">+W156-AC156</f>
        <v>0</v>
      </c>
      <c r="AC156" s="34" t="n">
        <f aca="false">+Tabla[[#This Row],[P4]]+Tabla[[#This Row],[P3]]+Tabla[[#This Row],[P2]]+Tabla[[#This Row],[P1]]</f>
        <v>3094000</v>
      </c>
      <c r="AD156" s="34" t="n">
        <f aca="false">+W156-AC156</f>
        <v>0</v>
      </c>
      <c r="AE156" s="21" t="str">
        <f aca="false">IF(AB156&lt;1,"PAGADA","PENDIENTE")</f>
        <v>PAGADA</v>
      </c>
      <c r="AF156" s="21"/>
      <c r="AG156" s="29" t="s">
        <v>77</v>
      </c>
      <c r="AH156" s="39" t="n">
        <v>46094</v>
      </c>
      <c r="AI156" s="40" t="n">
        <f aca="false">+IF(Tabla[[#This Row],[FECHA PAGO / ABONO]]&lt;1,0,(MONTH(Tabla[[#This Row],[FECHA PAGO / ABONO]])))</f>
        <v>3</v>
      </c>
      <c r="AJ156" s="40" t="n">
        <f aca="false">+IF(Tabla[[#This Row],[FECHA PAGO / ABONO]]&lt;1,0,(YEAR(Tabla[[#This Row],[FECHA PAGO / ABONO]])))</f>
        <v>2026</v>
      </c>
      <c r="AK156" s="41"/>
    </row>
    <row r="157" customFormat="false" ht="14.25" hidden="false" customHeight="false" outlineLevel="0" collapsed="false">
      <c r="A157" s="28" t="s">
        <v>219</v>
      </c>
      <c r="B157" s="29" t="s">
        <v>220</v>
      </c>
      <c r="C157" s="29" t="s">
        <v>69</v>
      </c>
      <c r="D157" s="21" t="n">
        <v>117923</v>
      </c>
      <c r="E157" s="21" t="str">
        <f aca="false">+CONCATENATE(Tabla[[#This Row],[RUT]],Tabla[[#This Row],[PROVEEDOR]],Tabla[[#This Row],[FACTURA]])</f>
        <v>76115132-0CANAL 13 SpA.117923</v>
      </c>
      <c r="F157" s="30" t="n">
        <v>46048</v>
      </c>
      <c r="G157" s="31" t="n">
        <f aca="false">+F157+30</f>
        <v>46078</v>
      </c>
      <c r="H157" s="29" t="n">
        <f aca="true">+IF(AE157="PAGADA",0,TODAY()-G157)</f>
        <v>0</v>
      </c>
      <c r="I157" s="29" t="str">
        <f aca="false">+IF(H157&gt;180,"Atrasada",IF(H157&gt;150,"150 dias",IF(H157&gt;120,"120 dias",IF(H157&gt;90,"90 dias",IF(H157&gt;60,"60 dias",IF(H157&gt;30,"30 dias","Al Día"))))))</f>
        <v>Al Día</v>
      </c>
      <c r="J157" s="32" t="s">
        <v>80</v>
      </c>
      <c r="K157" s="29" t="s">
        <v>81</v>
      </c>
      <c r="L157" s="33" t="s">
        <v>72</v>
      </c>
      <c r="M157" s="29" t="n">
        <f aca="false">+YEAR(F157)</f>
        <v>2026</v>
      </c>
      <c r="N157" s="29" t="n">
        <v>2025</v>
      </c>
      <c r="O157" s="29" t="n">
        <v>12</v>
      </c>
      <c r="P157" s="29" t="str">
        <f aca="false">+CONCATENATE(Tabla[[#This Row],[MES CAMPAÑA]],"/",Tabla[[#This Row],[AÑO CAMPAÑA]])</f>
        <v>12/2025</v>
      </c>
      <c r="Q157" s="29" t="s">
        <v>111</v>
      </c>
      <c r="R157" s="29" t="s">
        <v>74</v>
      </c>
      <c r="S157" s="34" t="n">
        <v>0</v>
      </c>
      <c r="T157" s="34" t="n">
        <v>37500000</v>
      </c>
      <c r="U157" s="34" t="n">
        <v>7125000</v>
      </c>
      <c r="V157" s="29"/>
      <c r="W157" s="35" t="n">
        <v>44625000</v>
      </c>
      <c r="X157" s="36" t="n">
        <f aca="false">+Tabla[[#This Row],[TOTAL]]</f>
        <v>44625000</v>
      </c>
      <c r="Y157" s="37"/>
      <c r="Z157" s="37"/>
      <c r="AA157" s="37"/>
      <c r="AB157" s="38" t="n">
        <f aca="false">+W157-AC157</f>
        <v>0</v>
      </c>
      <c r="AC157" s="34" t="n">
        <f aca="false">+Tabla[[#This Row],[P4]]+Tabla[[#This Row],[P3]]+Tabla[[#This Row],[P2]]+Tabla[[#This Row],[P1]]</f>
        <v>44625000</v>
      </c>
      <c r="AD157" s="34" t="n">
        <f aca="false">+W157-AC157</f>
        <v>0</v>
      </c>
      <c r="AE157" s="21" t="str">
        <f aca="false">IF(AB157&lt;1,"PAGADA","PENDIENTE")</f>
        <v>PAGADA</v>
      </c>
      <c r="AF157" s="21"/>
      <c r="AG157" s="29" t="s">
        <v>77</v>
      </c>
      <c r="AH157" s="39" t="n">
        <v>46101</v>
      </c>
      <c r="AI157" s="40" t="n">
        <f aca="false">+IF(Tabla[[#This Row],[FECHA PAGO / ABONO]]&lt;1,0,(MONTH(Tabla[[#This Row],[FECHA PAGO / ABONO]])))</f>
        <v>3</v>
      </c>
      <c r="AJ157" s="40" t="n">
        <f aca="false">+IF(Tabla[[#This Row],[FECHA PAGO / ABONO]]&lt;1,0,(YEAR(Tabla[[#This Row],[FECHA PAGO / ABONO]])))</f>
        <v>2026</v>
      </c>
      <c r="AK157" s="41"/>
    </row>
    <row r="158" customFormat="false" ht="14.25" hidden="false" customHeight="false" outlineLevel="0" collapsed="false">
      <c r="A158" s="28" t="s">
        <v>99</v>
      </c>
      <c r="B158" s="29" t="s">
        <v>100</v>
      </c>
      <c r="C158" s="29" t="s">
        <v>69</v>
      </c>
      <c r="D158" s="21" t="n">
        <v>379</v>
      </c>
      <c r="E158" s="21" t="str">
        <f aca="false">+CONCATENATE(Tabla[[#This Row],[RUT]],Tabla[[#This Row],[PROVEEDOR]],Tabla[[#This Row],[FACTURA]])</f>
        <v>77482361-1INNOVATIVE CHILE SPA379</v>
      </c>
      <c r="F158" s="30" t="n">
        <v>46049</v>
      </c>
      <c r="G158" s="31" t="n">
        <f aca="false">+F158+30</f>
        <v>46079</v>
      </c>
      <c r="H158" s="29" t="n">
        <f aca="true">+IF(AE158="PAGADA",0,TODAY()-G158)</f>
        <v>0</v>
      </c>
      <c r="I158" s="29" t="str">
        <f aca="false">+IF(H158&gt;180,"Atrasada",IF(H158&gt;150,"150 dias",IF(H158&gt;120,"120 dias",IF(H158&gt;90,"90 dias",IF(H158&gt;60,"60 dias",IF(H158&gt;30,"30 dias","Al Día"))))))</f>
        <v>Al Día</v>
      </c>
      <c r="J158" s="32" t="s">
        <v>80</v>
      </c>
      <c r="K158" s="29" t="s">
        <v>81</v>
      </c>
      <c r="L158" s="33" t="s">
        <v>72</v>
      </c>
      <c r="M158" s="29" t="n">
        <f aca="false">+YEAR(F158)</f>
        <v>2026</v>
      </c>
      <c r="N158" s="29" t="n">
        <v>2025</v>
      </c>
      <c r="O158" s="29" t="n">
        <v>12</v>
      </c>
      <c r="P158" s="29" t="str">
        <f aca="false">+CONCATENATE(Tabla[[#This Row],[MES CAMPAÑA]],"/",Tabla[[#This Row],[AÑO CAMPAÑA]])</f>
        <v>12/2025</v>
      </c>
      <c r="Q158" s="29" t="s">
        <v>82</v>
      </c>
      <c r="R158" s="29" t="s">
        <v>74</v>
      </c>
      <c r="S158" s="34" t="n">
        <v>0</v>
      </c>
      <c r="T158" s="34" t="n">
        <v>2000000</v>
      </c>
      <c r="U158" s="34" t="n">
        <v>380000</v>
      </c>
      <c r="V158" s="29"/>
      <c r="W158" s="35" t="n">
        <v>2380000</v>
      </c>
      <c r="X158" s="36" t="n">
        <f aca="false">+Tabla[[#This Row],[TOTAL]]</f>
        <v>2380000</v>
      </c>
      <c r="Y158" s="37"/>
      <c r="Z158" s="37"/>
      <c r="AA158" s="37"/>
      <c r="AB158" s="38" t="n">
        <f aca="false">+W158-AC158</f>
        <v>0</v>
      </c>
      <c r="AC158" s="34" t="n">
        <f aca="false">+Tabla[[#This Row],[P4]]+Tabla[[#This Row],[P3]]+Tabla[[#This Row],[P2]]+Tabla[[#This Row],[P1]]</f>
        <v>2380000</v>
      </c>
      <c r="AD158" s="34" t="n">
        <f aca="false">+W158-AC158</f>
        <v>0</v>
      </c>
      <c r="AE158" s="21" t="str">
        <f aca="false">IF(AB158&lt;1,"PAGADA","PENDIENTE")</f>
        <v>PAGADA</v>
      </c>
      <c r="AF158" s="21"/>
      <c r="AG158" s="29" t="s">
        <v>77</v>
      </c>
      <c r="AH158" s="39" t="n">
        <v>46090</v>
      </c>
      <c r="AI158" s="40" t="n">
        <f aca="false">+IF(Tabla[[#This Row],[FECHA PAGO / ABONO]]&lt;1,0,(MONTH(Tabla[[#This Row],[FECHA PAGO / ABONO]])))</f>
        <v>3</v>
      </c>
      <c r="AJ158" s="40" t="n">
        <f aca="false">+IF(Tabla[[#This Row],[FECHA PAGO / ABONO]]&lt;1,0,(YEAR(Tabla[[#This Row],[FECHA PAGO / ABONO]])))</f>
        <v>2026</v>
      </c>
      <c r="AK158" s="41"/>
    </row>
    <row r="159" customFormat="false" ht="14.25" hidden="false" customHeight="false" outlineLevel="0" collapsed="false">
      <c r="A159" s="28" t="s">
        <v>221</v>
      </c>
      <c r="B159" s="29" t="s">
        <v>222</v>
      </c>
      <c r="C159" s="29" t="s">
        <v>69</v>
      </c>
      <c r="D159" s="21" t="n">
        <v>977</v>
      </c>
      <c r="E159" s="21" t="str">
        <f aca="false">+CONCATENATE(Tabla[[#This Row],[RUT]],Tabla[[#This Row],[PROVEEDOR]],Tabla[[#This Row],[FACTURA]])</f>
        <v>76660828-0AGENCIA PUNTUAL SPA977</v>
      </c>
      <c r="F159" s="30" t="n">
        <v>46049</v>
      </c>
      <c r="G159" s="31" t="n">
        <f aca="false">+F159+30</f>
        <v>46079</v>
      </c>
      <c r="H159" s="29" t="n">
        <f aca="true">+IF(AE159="PAGADA",0,TODAY()-G159)</f>
        <v>125</v>
      </c>
      <c r="I159" s="29" t="str">
        <f aca="false">+IF(H159&gt;180,"Atrasada",IF(H159&gt;150,"150 dias",IF(H159&gt;120,"120 dias",IF(H159&gt;90,"90 dias",IF(H159&gt;60,"60 dias",IF(H159&gt;30,"30 dias","Al Día"))))))</f>
        <v>120 dias</v>
      </c>
      <c r="J159" s="32" t="s">
        <v>80</v>
      </c>
      <c r="K159" s="29" t="s">
        <v>81</v>
      </c>
      <c r="L159" s="33" t="s">
        <v>72</v>
      </c>
      <c r="M159" s="29" t="n">
        <f aca="false">+YEAR(F159)</f>
        <v>2026</v>
      </c>
      <c r="N159" s="29" t="n">
        <v>2025</v>
      </c>
      <c r="O159" s="29" t="n">
        <v>11</v>
      </c>
      <c r="P159" s="29" t="str">
        <f aca="false">+CONCATENATE(Tabla[[#This Row],[MES CAMPAÑA]],"/",Tabla[[#This Row],[AÑO CAMPAÑA]])</f>
        <v>11/2025</v>
      </c>
      <c r="Q159" s="29" t="s">
        <v>82</v>
      </c>
      <c r="R159" s="29" t="s">
        <v>74</v>
      </c>
      <c r="S159" s="34" t="n">
        <v>0</v>
      </c>
      <c r="T159" s="34" t="n">
        <v>18792000</v>
      </c>
      <c r="U159" s="34" t="n">
        <v>3570480</v>
      </c>
      <c r="V159" s="29"/>
      <c r="W159" s="35" t="n">
        <v>22362480</v>
      </c>
      <c r="X159" s="36" t="n">
        <v>2826387</v>
      </c>
      <c r="Y159" s="36" t="n">
        <v>5217912</v>
      </c>
      <c r="Z159" s="36" t="n">
        <v>7318181</v>
      </c>
      <c r="AA159" s="37"/>
      <c r="AB159" s="38" t="n">
        <f aca="false">+W159-AC159</f>
        <v>7000000</v>
      </c>
      <c r="AC159" s="34" t="n">
        <f aca="false">+Tabla[[#This Row],[P4]]+Tabla[[#This Row],[P3]]+Tabla[[#This Row],[P2]]+Tabla[[#This Row],[P1]]</f>
        <v>15362480</v>
      </c>
      <c r="AD159" s="34" t="n">
        <f aca="false">+W159-AC159</f>
        <v>7000000</v>
      </c>
      <c r="AE159" s="21" t="str">
        <f aca="false">IF(AB159&lt;1,"PAGADA","PENDIENTE")</f>
        <v>PENDIENTE</v>
      </c>
      <c r="AF159" s="21"/>
      <c r="AG159" s="29" t="s">
        <v>77</v>
      </c>
      <c r="AH159" s="39" t="s">
        <v>223</v>
      </c>
      <c r="AI159" s="40" t="e">
        <f aca="false">+IF(Tabla[[#This Row],[FECHA PAGO / ABONO]]&lt;1,0,(MONTH(Tabla[[#This Row],[FECHA PAGO / ABONO]])))</f>
        <v>#VALUE!</v>
      </c>
      <c r="AJ159" s="40" t="e">
        <f aca="false">+IF(Tabla[[#This Row],[FECHA PAGO / ABONO]]&lt;1,0,(YEAR(Tabla[[#This Row],[FECHA PAGO / ABONO]])))</f>
        <v>#VALUE!</v>
      </c>
      <c r="AK159" s="41"/>
    </row>
    <row r="160" customFormat="false" ht="14.25" hidden="false" customHeight="false" outlineLevel="0" collapsed="false">
      <c r="A160" s="28" t="s">
        <v>221</v>
      </c>
      <c r="B160" s="29" t="s">
        <v>222</v>
      </c>
      <c r="C160" s="29" t="s">
        <v>69</v>
      </c>
      <c r="D160" s="21" t="n">
        <v>978</v>
      </c>
      <c r="E160" s="21" t="str">
        <f aca="false">+CONCATENATE(Tabla[[#This Row],[RUT]],Tabla[[#This Row],[PROVEEDOR]],Tabla[[#This Row],[FACTURA]])</f>
        <v>76660828-0AGENCIA PUNTUAL SPA978</v>
      </c>
      <c r="F160" s="30" t="n">
        <v>46049</v>
      </c>
      <c r="G160" s="31" t="n">
        <f aca="false">+F160+30</f>
        <v>46079</v>
      </c>
      <c r="H160" s="29" t="n">
        <f aca="true">+IF(AE160="PAGADA",0,TODAY()-G160)</f>
        <v>0</v>
      </c>
      <c r="I160" s="29" t="str">
        <f aca="false">+IF(H160&gt;180,"Atrasada",IF(H160&gt;150,"150 dias",IF(H160&gt;120,"120 dias",IF(H160&gt;90,"90 dias",IF(H160&gt;60,"60 dias",IF(H160&gt;30,"30 dias","Al Día"))))))</f>
        <v>Al Día</v>
      </c>
      <c r="J160" s="32" t="s">
        <v>80</v>
      </c>
      <c r="K160" s="29" t="s">
        <v>81</v>
      </c>
      <c r="L160" s="33" t="s">
        <v>72</v>
      </c>
      <c r="M160" s="29" t="n">
        <f aca="false">+YEAR(F160)</f>
        <v>2026</v>
      </c>
      <c r="N160" s="29" t="n">
        <v>2025</v>
      </c>
      <c r="O160" s="29" t="n">
        <v>12</v>
      </c>
      <c r="P160" s="29" t="str">
        <f aca="false">+CONCATENATE(Tabla[[#This Row],[MES CAMPAÑA]],"/",Tabla[[#This Row],[AÑO CAMPAÑA]])</f>
        <v>12/2025</v>
      </c>
      <c r="Q160" s="29" t="s">
        <v>82</v>
      </c>
      <c r="R160" s="29" t="s">
        <v>74</v>
      </c>
      <c r="S160" s="34" t="n">
        <v>0</v>
      </c>
      <c r="T160" s="34" t="n">
        <v>3132000</v>
      </c>
      <c r="U160" s="34" t="n">
        <v>595080</v>
      </c>
      <c r="V160" s="29"/>
      <c r="W160" s="35" t="n">
        <v>3727080</v>
      </c>
      <c r="X160" s="36" t="n">
        <f aca="false">+Tabla[[#This Row],[TOTAL]]</f>
        <v>3727080</v>
      </c>
      <c r="Y160" s="37"/>
      <c r="Z160" s="37"/>
      <c r="AA160" s="37"/>
      <c r="AB160" s="38" t="n">
        <f aca="false">+W160-AC160</f>
        <v>0</v>
      </c>
      <c r="AC160" s="34" t="n">
        <f aca="false">+Tabla[[#This Row],[P4]]+Tabla[[#This Row],[P3]]+Tabla[[#This Row],[P2]]+Tabla[[#This Row],[P1]]</f>
        <v>3727080</v>
      </c>
      <c r="AD160" s="34" t="n">
        <f aca="false">+W160-AC160</f>
        <v>0</v>
      </c>
      <c r="AE160" s="21" t="str">
        <f aca="false">IF(AB160&lt;1,"PAGADA","PENDIENTE")</f>
        <v>PAGADA</v>
      </c>
      <c r="AF160" s="21"/>
      <c r="AG160" s="29" t="s">
        <v>77</v>
      </c>
      <c r="AH160" s="40" t="s">
        <v>224</v>
      </c>
      <c r="AI160" s="40" t="e">
        <f aca="false">+IF(Tabla[[#This Row],[FECHA PAGO / ABONO]]&lt;1,0,(MONTH(Tabla[[#This Row],[FECHA PAGO / ABONO]])))</f>
        <v>#VALUE!</v>
      </c>
      <c r="AJ160" s="40" t="e">
        <f aca="false">+IF(Tabla[[#This Row],[FECHA PAGO / ABONO]]&lt;1,0,(YEAR(Tabla[[#This Row],[FECHA PAGO / ABONO]])))</f>
        <v>#VALUE!</v>
      </c>
      <c r="AK160" s="41"/>
    </row>
    <row r="161" customFormat="false" ht="14.25" hidden="false" customHeight="false" outlineLevel="0" collapsed="false">
      <c r="A161" s="28" t="s">
        <v>225</v>
      </c>
      <c r="B161" s="29" t="s">
        <v>226</v>
      </c>
      <c r="C161" s="29" t="s">
        <v>69</v>
      </c>
      <c r="D161" s="21" t="n">
        <v>10648</v>
      </c>
      <c r="E161" s="21" t="str">
        <f aca="false">+CONCATENATE(Tabla[[#This Row],[RUT]],Tabla[[#This Row],[PROVEEDOR]],Tabla[[#This Row],[FACTURA]])</f>
        <v>77649910-2AYSEN COMUNICACIONES LIMITADA10648</v>
      </c>
      <c r="F161" s="30" t="n">
        <v>46049</v>
      </c>
      <c r="G161" s="31" t="n">
        <f aca="false">+F161+30</f>
        <v>46079</v>
      </c>
      <c r="H161" s="29" t="n">
        <f aca="true">+IF(AE161="PAGADA",0,TODAY()-G161)</f>
        <v>125</v>
      </c>
      <c r="I161" s="29" t="str">
        <f aca="false">+IF(H161&gt;180,"Atrasada",IF(H161&gt;150,"150 dias",IF(H161&gt;120,"120 dias",IF(H161&gt;90,"90 dias",IF(H161&gt;60,"60 dias",IF(H161&gt;30,"30 dias","Al Día"))))))</f>
        <v>120 dias</v>
      </c>
      <c r="J161" s="32" t="s">
        <v>80</v>
      </c>
      <c r="K161" s="29" t="s">
        <v>81</v>
      </c>
      <c r="L161" s="33" t="s">
        <v>72</v>
      </c>
      <c r="M161" s="29" t="n">
        <f aca="false">+YEAR(F161)</f>
        <v>2026</v>
      </c>
      <c r="N161" s="29" t="n">
        <v>2025</v>
      </c>
      <c r="O161" s="29" t="n">
        <v>10</v>
      </c>
      <c r="P161" s="29" t="str">
        <f aca="false">+CONCATENATE(Tabla[[#This Row],[MES CAMPAÑA]],"/",Tabla[[#This Row],[AÑO CAMPAÑA]])</f>
        <v>10/2025</v>
      </c>
      <c r="Q161" s="29" t="s">
        <v>92</v>
      </c>
      <c r="R161" s="29" t="s">
        <v>74</v>
      </c>
      <c r="S161" s="34" t="n">
        <v>0</v>
      </c>
      <c r="T161" s="34" t="n">
        <v>198000</v>
      </c>
      <c r="U161" s="34" t="n">
        <v>37620</v>
      </c>
      <c r="V161" s="29"/>
      <c r="W161" s="35" t="n">
        <v>235620</v>
      </c>
      <c r="X161" s="36"/>
      <c r="Y161" s="37"/>
      <c r="Z161" s="37"/>
      <c r="AA161" s="37"/>
      <c r="AB161" s="38" t="n">
        <f aca="false">+W161-AC161</f>
        <v>235620</v>
      </c>
      <c r="AC161" s="34" t="n">
        <f aca="false">+Tabla[[#This Row],[P4]]+Tabla[[#This Row],[P3]]+Tabla[[#This Row],[P2]]+Tabla[[#This Row],[P1]]</f>
        <v>0</v>
      </c>
      <c r="AD161" s="34" t="n">
        <f aca="false">+W161-AC161</f>
        <v>235620</v>
      </c>
      <c r="AE161" s="21" t="str">
        <f aca="false">IF(AB161&lt;1,"PAGADA","PENDIENTE")</f>
        <v>PENDIENTE</v>
      </c>
      <c r="AF161" s="21"/>
      <c r="AG161" s="29"/>
      <c r="AH161" s="40"/>
      <c r="AI161" s="40" t="n">
        <f aca="false">+IF(Tabla[[#This Row],[FECHA PAGO / ABONO]]&lt;1,0,(MONTH(Tabla[[#This Row],[FECHA PAGO / ABONO]])))</f>
        <v>0</v>
      </c>
      <c r="AJ161" s="40" t="n">
        <f aca="false">+IF(Tabla[[#This Row],[FECHA PAGO / ABONO]]&lt;1,0,(YEAR(Tabla[[#This Row],[FECHA PAGO / ABONO]])))</f>
        <v>0</v>
      </c>
      <c r="AK161" s="41"/>
    </row>
    <row r="162" customFormat="false" ht="14.25" hidden="false" customHeight="false" outlineLevel="0" collapsed="false">
      <c r="A162" s="28" t="s">
        <v>227</v>
      </c>
      <c r="B162" s="29" t="s">
        <v>228</v>
      </c>
      <c r="C162" s="29" t="s">
        <v>229</v>
      </c>
      <c r="D162" s="21" t="n">
        <v>9669</v>
      </c>
      <c r="E162" s="21" t="str">
        <f aca="false">+CONCATENATE(Tabla[[#This Row],[RUT]],Tabla[[#This Row],[PROVEEDOR]],Tabla[[#This Row],[FACTURA]])</f>
        <v>77549724-6YHC CONSULTORES LIMITADA9669</v>
      </c>
      <c r="F162" s="30" t="n">
        <v>46049</v>
      </c>
      <c r="G162" s="31" t="n">
        <f aca="false">+F162+30</f>
        <v>46079</v>
      </c>
      <c r="H162" s="29" t="n">
        <f aca="true">+IF(AE162="PAGADA",0,TODAY()-G162)</f>
        <v>0</v>
      </c>
      <c r="I162" s="29" t="str">
        <f aca="false">+IF(H162&gt;180,"Atrasada",IF(H162&gt;150,"150 dias",IF(H162&gt;120,"120 dias",IF(H162&gt;90,"90 dias",IF(H162&gt;60,"60 dias",IF(H162&gt;30,"30 dias","Al Día"))))))</f>
        <v>Al Día</v>
      </c>
      <c r="J162" s="32" t="s">
        <v>31</v>
      </c>
      <c r="K162" s="29" t="s">
        <v>71</v>
      </c>
      <c r="L162" s="33" t="s">
        <v>72</v>
      </c>
      <c r="M162" s="29" t="n">
        <f aca="false">+YEAR(F162)</f>
        <v>2026</v>
      </c>
      <c r="N162" s="29" t="n">
        <v>2026</v>
      </c>
      <c r="O162" s="29" t="n">
        <v>1</v>
      </c>
      <c r="P162" s="29" t="str">
        <f aca="false">+CONCATENATE(Tabla[[#This Row],[MES CAMPAÑA]],"/",Tabla[[#This Row],[AÑO CAMPAÑA]])</f>
        <v>1/2026</v>
      </c>
      <c r="Q162" s="29" t="s">
        <v>73</v>
      </c>
      <c r="R162" s="29" t="s">
        <v>74</v>
      </c>
      <c r="S162" s="34" t="n">
        <v>1330504</v>
      </c>
      <c r="T162" s="34" t="n">
        <v>0</v>
      </c>
      <c r="U162" s="34" t="n">
        <v>0</v>
      </c>
      <c r="V162" s="29"/>
      <c r="W162" s="35" t="n">
        <v>1330504</v>
      </c>
      <c r="X162" s="36" t="n">
        <f aca="false">+Tabla[[#This Row],[TOTAL]]</f>
        <v>1330504</v>
      </c>
      <c r="Y162" s="37"/>
      <c r="Z162" s="37"/>
      <c r="AA162" s="37"/>
      <c r="AB162" s="38" t="n">
        <f aca="false">+W162-AC162</f>
        <v>0</v>
      </c>
      <c r="AC162" s="34" t="n">
        <f aca="false">+Tabla[[#This Row],[P4]]+Tabla[[#This Row],[P3]]+Tabla[[#This Row],[P2]]+Tabla[[#This Row],[P1]]</f>
        <v>1330504</v>
      </c>
      <c r="AD162" s="34" t="n">
        <f aca="false">+W162-AC162</f>
        <v>0</v>
      </c>
      <c r="AE162" s="21" t="str">
        <f aca="false">IF(AB162&lt;1,"PAGADA","PENDIENTE")</f>
        <v>PAGADA</v>
      </c>
      <c r="AF162" s="21"/>
      <c r="AG162" s="29" t="s">
        <v>77</v>
      </c>
      <c r="AH162" s="39" t="n">
        <v>46056</v>
      </c>
      <c r="AI162" s="40" t="n">
        <f aca="false">+IF(Tabla[[#This Row],[FECHA PAGO / ABONO]]&lt;1,0,(MONTH(Tabla[[#This Row],[FECHA PAGO / ABONO]])))</f>
        <v>2</v>
      </c>
      <c r="AJ162" s="40" t="n">
        <f aca="false">+IF(Tabla[[#This Row],[FECHA PAGO / ABONO]]&lt;1,0,(YEAR(Tabla[[#This Row],[FECHA PAGO / ABONO]])))</f>
        <v>2026</v>
      </c>
      <c r="AK162" s="41"/>
    </row>
    <row r="163" customFormat="false" ht="14.25" hidden="false" customHeight="false" outlineLevel="0" collapsed="false">
      <c r="A163" s="28" t="s">
        <v>214</v>
      </c>
      <c r="B163" s="29" t="s">
        <v>215</v>
      </c>
      <c r="C163" s="29" t="s">
        <v>69</v>
      </c>
      <c r="D163" s="21" t="n">
        <v>4539</v>
      </c>
      <c r="E163" s="21" t="str">
        <f aca="false">+CONCATENATE(Tabla[[#This Row],[RUT]],Tabla[[#This Row],[PROVEEDOR]],Tabla[[#This Row],[FACTURA]])</f>
        <v>89673600-0NUNEZ Y COMPANIA LIMITADA4539</v>
      </c>
      <c r="F163" s="30" t="n">
        <v>46050</v>
      </c>
      <c r="G163" s="31" t="n">
        <f aca="false">+F163+30</f>
        <v>46080</v>
      </c>
      <c r="H163" s="29" t="n">
        <f aca="true">+IF(AE163="PAGADA",0,TODAY()-G163)</f>
        <v>0</v>
      </c>
      <c r="I163" s="29" t="str">
        <f aca="false">+IF(H163&gt;180,"Atrasada",IF(H163&gt;150,"150 dias",IF(H163&gt;120,"120 dias",IF(H163&gt;90,"90 dias",IF(H163&gt;60,"60 dias",IF(H163&gt;30,"30 dias","Al Día"))))))</f>
        <v>Al Día</v>
      </c>
      <c r="J163" s="32" t="s">
        <v>80</v>
      </c>
      <c r="K163" s="29" t="s">
        <v>81</v>
      </c>
      <c r="L163" s="33" t="s">
        <v>72</v>
      </c>
      <c r="M163" s="29" t="n">
        <f aca="false">+YEAR(F163)</f>
        <v>2026</v>
      </c>
      <c r="N163" s="29" t="n">
        <v>2025</v>
      </c>
      <c r="O163" s="29" t="n">
        <v>12</v>
      </c>
      <c r="P163" s="29" t="str">
        <f aca="false">+CONCATENATE(Tabla[[#This Row],[MES CAMPAÑA]],"/",Tabla[[#This Row],[AÑO CAMPAÑA]])</f>
        <v>12/2025</v>
      </c>
      <c r="Q163" s="29" t="s">
        <v>108</v>
      </c>
      <c r="R163" s="29" t="s">
        <v>74</v>
      </c>
      <c r="S163" s="34" t="n">
        <v>0</v>
      </c>
      <c r="T163" s="34" t="n">
        <v>641025</v>
      </c>
      <c r="U163" s="34" t="n">
        <v>121795</v>
      </c>
      <c r="V163" s="29"/>
      <c r="W163" s="35" t="n">
        <v>762820</v>
      </c>
      <c r="X163" s="36" t="n">
        <f aca="false">+Tabla[[#This Row],[TOTAL]]</f>
        <v>762820</v>
      </c>
      <c r="Y163" s="37"/>
      <c r="Z163" s="37"/>
      <c r="AA163" s="37"/>
      <c r="AB163" s="38" t="n">
        <f aca="false">+W163-AC163</f>
        <v>0</v>
      </c>
      <c r="AC163" s="34" t="n">
        <f aca="false">+Tabla[[#This Row],[P4]]+Tabla[[#This Row],[P3]]+Tabla[[#This Row],[P2]]+Tabla[[#This Row],[P1]]</f>
        <v>762820</v>
      </c>
      <c r="AD163" s="34" t="n">
        <f aca="false">+W163-AC163</f>
        <v>0</v>
      </c>
      <c r="AE163" s="21" t="str">
        <f aca="false">IF(AB163&lt;1,"PAGADA","PENDIENTE")</f>
        <v>PAGADA</v>
      </c>
      <c r="AF163" s="21"/>
      <c r="AG163" s="29" t="s">
        <v>77</v>
      </c>
      <c r="AH163" s="39" t="n">
        <v>46108</v>
      </c>
      <c r="AI163" s="40" t="n">
        <f aca="false">+IF(Tabla[[#This Row],[FECHA PAGO / ABONO]]&lt;1,0,(MONTH(Tabla[[#This Row],[FECHA PAGO / ABONO]])))</f>
        <v>3</v>
      </c>
      <c r="AJ163" s="40" t="n">
        <f aca="false">+IF(Tabla[[#This Row],[FECHA PAGO / ABONO]]&lt;1,0,(YEAR(Tabla[[#This Row],[FECHA PAGO / ABONO]])))</f>
        <v>2026</v>
      </c>
      <c r="AK163" s="41"/>
    </row>
    <row r="164" customFormat="false" ht="14.25" hidden="false" customHeight="false" outlineLevel="0" collapsed="false">
      <c r="A164" s="28" t="s">
        <v>214</v>
      </c>
      <c r="B164" s="29" t="s">
        <v>215</v>
      </c>
      <c r="C164" s="29" t="s">
        <v>125</v>
      </c>
      <c r="D164" s="21" t="n">
        <v>558</v>
      </c>
      <c r="E164" s="21" t="str">
        <f aca="false">+CONCATENATE(Tabla[[#This Row],[RUT]],Tabla[[#This Row],[PROVEEDOR]],Tabla[[#This Row],[FACTURA]])</f>
        <v>89673600-0NUNEZ Y COMPANIA LIMITADA558</v>
      </c>
      <c r="F164" s="30" t="n">
        <v>46050</v>
      </c>
      <c r="G164" s="31" t="n">
        <f aca="false">+F164+30</f>
        <v>46080</v>
      </c>
      <c r="H164" s="29" t="n">
        <f aca="true">+IF(AE164="PAGADA",0,TODAY()-G164)</f>
        <v>0</v>
      </c>
      <c r="I164" s="29" t="str">
        <f aca="false">+IF(H164&gt;180,"Atrasada",IF(H164&gt;150,"150 dias",IF(H164&gt;120,"120 dias",IF(H164&gt;90,"90 dias",IF(H164&gt;60,"60 dias",IF(H164&gt;30,"30 dias","Al Día"))))))</f>
        <v>Al Día</v>
      </c>
      <c r="J164" s="32" t="s">
        <v>80</v>
      </c>
      <c r="K164" s="29" t="s">
        <v>126</v>
      </c>
      <c r="L164" s="33" t="s">
        <v>72</v>
      </c>
      <c r="M164" s="29" t="n">
        <f aca="false">+YEAR(F164)</f>
        <v>2026</v>
      </c>
      <c r="N164" s="29" t="n">
        <v>2025</v>
      </c>
      <c r="O164" s="29" t="n">
        <v>12</v>
      </c>
      <c r="P164" s="29" t="str">
        <f aca="false">+CONCATENATE(Tabla[[#This Row],[MES CAMPAÑA]],"/",Tabla[[#This Row],[AÑO CAMPAÑA]])</f>
        <v>12/2025</v>
      </c>
      <c r="Q164" s="29" t="s">
        <v>108</v>
      </c>
      <c r="R164" s="29" t="s">
        <v>74</v>
      </c>
      <c r="S164" s="34" t="n">
        <v>0</v>
      </c>
      <c r="T164" s="34" t="n">
        <v>641025</v>
      </c>
      <c r="U164" s="34" t="n">
        <v>121795</v>
      </c>
      <c r="V164" s="29"/>
      <c r="W164" s="35" t="n">
        <v>762820</v>
      </c>
      <c r="X164" s="36" t="n">
        <f aca="false">+Tabla[[#This Row],[TOTAL]]</f>
        <v>762820</v>
      </c>
      <c r="Y164" s="37"/>
      <c r="Z164" s="37"/>
      <c r="AA164" s="37"/>
      <c r="AB164" s="38" t="n">
        <f aca="false">+W164-AC164</f>
        <v>0</v>
      </c>
      <c r="AC164" s="34" t="n">
        <f aca="false">+Tabla[[#This Row],[P4]]+Tabla[[#This Row],[P3]]+Tabla[[#This Row],[P2]]+Tabla[[#This Row],[P1]]</f>
        <v>762820</v>
      </c>
      <c r="AD164" s="34" t="n">
        <f aca="false">+W164-AC164</f>
        <v>0</v>
      </c>
      <c r="AE164" s="21" t="str">
        <f aca="false">IF(AB164&lt;1,"PAGADA","PENDIENTE")</f>
        <v>PAGADA</v>
      </c>
      <c r="AF164" s="21"/>
      <c r="AG164" s="29" t="s">
        <v>230</v>
      </c>
      <c r="AH164" s="40"/>
      <c r="AI164" s="40" t="n">
        <f aca="false">+IF(Tabla[[#This Row],[FECHA PAGO / ABONO]]&lt;1,0,(MONTH(Tabla[[#This Row],[FECHA PAGO / ABONO]])))</f>
        <v>0</v>
      </c>
      <c r="AJ164" s="40" t="n">
        <f aca="false">+IF(Tabla[[#This Row],[FECHA PAGO / ABONO]]&lt;1,0,(YEAR(Tabla[[#This Row],[FECHA PAGO / ABONO]])))</f>
        <v>0</v>
      </c>
      <c r="AK164" s="41"/>
    </row>
    <row r="165" customFormat="false" ht="14.25" hidden="false" customHeight="false" outlineLevel="0" collapsed="false">
      <c r="A165" s="28" t="s">
        <v>231</v>
      </c>
      <c r="B165" s="29" t="s">
        <v>232</v>
      </c>
      <c r="C165" s="29" t="s">
        <v>69</v>
      </c>
      <c r="D165" s="21" t="n">
        <v>318785</v>
      </c>
      <c r="E165" s="21" t="str">
        <f aca="false">+CONCATENATE(Tabla[[#This Row],[RUT]],Tabla[[#This Row],[PROVEEDOR]],Tabla[[#This Row],[FACTURA]])</f>
        <v>99538470-1PORTALES DE NEGOCIOS S.A318785</v>
      </c>
      <c r="F165" s="30" t="n">
        <v>46050</v>
      </c>
      <c r="G165" s="31" t="n">
        <f aca="false">+F165+30</f>
        <v>46080</v>
      </c>
      <c r="H165" s="29" t="n">
        <f aca="true">+IF(AE165="PAGADA",0,TODAY()-G165)</f>
        <v>0</v>
      </c>
      <c r="I165" s="29" t="str">
        <f aca="false">+IF(H165&gt;180,"Atrasada",IF(H165&gt;150,"150 dias",IF(H165&gt;120,"120 dias",IF(H165&gt;90,"90 dias",IF(H165&gt;60,"60 dias",IF(H165&gt;30,"30 dias","Al Día"))))))</f>
        <v>Al Día</v>
      </c>
      <c r="J165" s="32" t="s">
        <v>80</v>
      </c>
      <c r="K165" s="29" t="s">
        <v>81</v>
      </c>
      <c r="L165" s="33" t="s">
        <v>72</v>
      </c>
      <c r="M165" s="29" t="n">
        <f aca="false">+YEAR(F165)</f>
        <v>2026</v>
      </c>
      <c r="N165" s="29" t="n">
        <v>2025</v>
      </c>
      <c r="O165" s="29" t="n">
        <v>12</v>
      </c>
      <c r="P165" s="29" t="str">
        <f aca="false">+CONCATENATE(Tabla[[#This Row],[MES CAMPAÑA]],"/",Tabla[[#This Row],[AÑO CAMPAÑA]])</f>
        <v>12/2025</v>
      </c>
      <c r="Q165" s="29" t="s">
        <v>82</v>
      </c>
      <c r="R165" s="29" t="s">
        <v>74</v>
      </c>
      <c r="S165" s="34" t="n">
        <v>0</v>
      </c>
      <c r="T165" s="34" t="n">
        <v>901070</v>
      </c>
      <c r="U165" s="34" t="n">
        <v>171203</v>
      </c>
      <c r="V165" s="29"/>
      <c r="W165" s="35" t="n">
        <v>1072273</v>
      </c>
      <c r="X165" s="36" t="n">
        <f aca="false">+Tabla[[#This Row],[TOTAL]]</f>
        <v>1072273</v>
      </c>
      <c r="Y165" s="37"/>
      <c r="Z165" s="37"/>
      <c r="AA165" s="37"/>
      <c r="AB165" s="38" t="n">
        <f aca="false">+W165-AC165</f>
        <v>0</v>
      </c>
      <c r="AC165" s="34" t="n">
        <f aca="false">+Tabla[[#This Row],[P4]]+Tabla[[#This Row],[P3]]+Tabla[[#This Row],[P2]]+Tabla[[#This Row],[P1]]</f>
        <v>1072273</v>
      </c>
      <c r="AD165" s="34" t="n">
        <f aca="false">+W165-AC165</f>
        <v>0</v>
      </c>
      <c r="AE165" s="21" t="str">
        <f aca="false">IF(AB165&lt;1,"PAGADA","PENDIENTE")</f>
        <v>PAGADA</v>
      </c>
      <c r="AF165" s="21" t="s">
        <v>233</v>
      </c>
      <c r="AG165" s="29" t="s">
        <v>77</v>
      </c>
      <c r="AH165" s="39" t="n">
        <v>46189</v>
      </c>
      <c r="AI165" s="40" t="n">
        <f aca="false">+IF(Tabla[[#This Row],[FECHA PAGO / ABONO]]&lt;1,0,(MONTH(Tabla[[#This Row],[FECHA PAGO / ABONO]])))</f>
        <v>6</v>
      </c>
      <c r="AJ165" s="40" t="n">
        <f aca="false">+IF(Tabla[[#This Row],[FECHA PAGO / ABONO]]&lt;1,0,(YEAR(Tabla[[#This Row],[FECHA PAGO / ABONO]])))</f>
        <v>2026</v>
      </c>
      <c r="AK165" s="41"/>
    </row>
    <row r="166" customFormat="false" ht="14.25" hidden="false" customHeight="false" outlineLevel="0" collapsed="false">
      <c r="A166" s="28" t="s">
        <v>231</v>
      </c>
      <c r="B166" s="29" t="s">
        <v>232</v>
      </c>
      <c r="C166" s="29" t="s">
        <v>69</v>
      </c>
      <c r="D166" s="21" t="n">
        <v>318786</v>
      </c>
      <c r="E166" s="21" t="str">
        <f aca="false">+CONCATENATE(Tabla[[#This Row],[RUT]],Tabla[[#This Row],[PROVEEDOR]],Tabla[[#This Row],[FACTURA]])</f>
        <v>99538470-1PORTALES DE NEGOCIOS S.A318786</v>
      </c>
      <c r="F166" s="30" t="n">
        <v>46050</v>
      </c>
      <c r="G166" s="31" t="n">
        <f aca="false">+F166+30</f>
        <v>46080</v>
      </c>
      <c r="H166" s="29" t="n">
        <f aca="true">+IF(AE166="PAGADA",0,TODAY()-G166)</f>
        <v>0</v>
      </c>
      <c r="I166" s="29" t="str">
        <f aca="false">+IF(H166&gt;180,"Atrasada",IF(H166&gt;150,"150 dias",IF(H166&gt;120,"120 dias",IF(H166&gt;90,"90 dias",IF(H166&gt;60,"60 dias",IF(H166&gt;30,"30 dias","Al Día"))))))</f>
        <v>Al Día</v>
      </c>
      <c r="J166" s="32" t="s">
        <v>80</v>
      </c>
      <c r="K166" s="29" t="s">
        <v>81</v>
      </c>
      <c r="L166" s="33" t="s">
        <v>72</v>
      </c>
      <c r="M166" s="29" t="n">
        <f aca="false">+YEAR(F166)</f>
        <v>2026</v>
      </c>
      <c r="N166" s="29" t="n">
        <v>2025</v>
      </c>
      <c r="O166" s="29" t="n">
        <v>12</v>
      </c>
      <c r="P166" s="29" t="str">
        <f aca="false">+CONCATENATE(Tabla[[#This Row],[MES CAMPAÑA]],"/",Tabla[[#This Row],[AÑO CAMPAÑA]])</f>
        <v>12/2025</v>
      </c>
      <c r="Q166" s="29" t="s">
        <v>130</v>
      </c>
      <c r="R166" s="29" t="s">
        <v>74</v>
      </c>
      <c r="S166" s="34" t="n">
        <v>0</v>
      </c>
      <c r="T166" s="34" t="n">
        <v>2000000</v>
      </c>
      <c r="U166" s="34" t="n">
        <v>380000</v>
      </c>
      <c r="V166" s="29"/>
      <c r="W166" s="35" t="n">
        <v>2380000</v>
      </c>
      <c r="X166" s="36" t="n">
        <f aca="false">+Tabla[[#This Row],[TOTAL]]</f>
        <v>2380000</v>
      </c>
      <c r="Y166" s="37"/>
      <c r="Z166" s="37"/>
      <c r="AA166" s="37"/>
      <c r="AB166" s="38" t="n">
        <f aca="false">+W166-AC166</f>
        <v>0</v>
      </c>
      <c r="AC166" s="34" t="n">
        <f aca="false">+Tabla[[#This Row],[P4]]+Tabla[[#This Row],[P3]]+Tabla[[#This Row],[P2]]+Tabla[[#This Row],[P1]]</f>
        <v>2380000</v>
      </c>
      <c r="AD166" s="34" t="n">
        <f aca="false">+W166-AC166</f>
        <v>0</v>
      </c>
      <c r="AE166" s="21" t="str">
        <f aca="false">IF(AB166&lt;1,"PAGADA","PENDIENTE")</f>
        <v>PAGADA</v>
      </c>
      <c r="AF166" s="21" t="s">
        <v>233</v>
      </c>
      <c r="AG166" s="29" t="s">
        <v>77</v>
      </c>
      <c r="AH166" s="39" t="n">
        <v>46189</v>
      </c>
      <c r="AI166" s="40" t="n">
        <f aca="false">+IF(Tabla[[#This Row],[FECHA PAGO / ABONO]]&lt;1,0,(MONTH(Tabla[[#This Row],[FECHA PAGO / ABONO]])))</f>
        <v>6</v>
      </c>
      <c r="AJ166" s="40" t="n">
        <f aca="false">+IF(Tabla[[#This Row],[FECHA PAGO / ABONO]]&lt;1,0,(YEAR(Tabla[[#This Row],[FECHA PAGO / ABONO]])))</f>
        <v>2026</v>
      </c>
      <c r="AK166" s="41"/>
    </row>
    <row r="167" customFormat="false" ht="14.25" hidden="false" customHeight="false" outlineLevel="0" collapsed="false">
      <c r="A167" s="28" t="s">
        <v>234</v>
      </c>
      <c r="B167" s="29" t="s">
        <v>235</v>
      </c>
      <c r="C167" s="29" t="s">
        <v>69</v>
      </c>
      <c r="D167" s="21" t="n">
        <v>34868</v>
      </c>
      <c r="E167" s="21" t="str">
        <f aca="false">+CONCATENATE(Tabla[[#This Row],[RUT]],Tabla[[#This Row],[PROVEEDOR]],Tabla[[#This Row],[FACTURA]])</f>
        <v>77022910-3MASSIVA  S.A.34868</v>
      </c>
      <c r="F167" s="30" t="n">
        <v>46050</v>
      </c>
      <c r="G167" s="31" t="n">
        <f aca="false">+F167+30</f>
        <v>46080</v>
      </c>
      <c r="H167" s="29" t="n">
        <f aca="true">+IF(AE167="PAGADA",0,TODAY()-G167)</f>
        <v>0</v>
      </c>
      <c r="I167" s="29" t="str">
        <f aca="false">+IF(H167&gt;180,"Atrasada",IF(H167&gt;150,"150 dias",IF(H167&gt;120,"120 dias",IF(H167&gt;90,"90 dias",IF(H167&gt;60,"60 dias",IF(H167&gt;30,"30 dias","Al Día"))))))</f>
        <v>Al Día</v>
      </c>
      <c r="J167" s="32" t="s">
        <v>80</v>
      </c>
      <c r="K167" s="29" t="s">
        <v>81</v>
      </c>
      <c r="L167" s="33" t="s">
        <v>72</v>
      </c>
      <c r="M167" s="29" t="n">
        <f aca="false">+YEAR(F167)</f>
        <v>2026</v>
      </c>
      <c r="N167" s="29" t="n">
        <v>2025</v>
      </c>
      <c r="O167" s="29" t="n">
        <v>12</v>
      </c>
      <c r="P167" s="29" t="str">
        <f aca="false">+CONCATENATE(Tabla[[#This Row],[MES CAMPAÑA]],"/",Tabla[[#This Row],[AÑO CAMPAÑA]])</f>
        <v>12/2025</v>
      </c>
      <c r="Q167" s="29" t="s">
        <v>108</v>
      </c>
      <c r="R167" s="29" t="s">
        <v>74</v>
      </c>
      <c r="S167" s="34" t="n">
        <v>0</v>
      </c>
      <c r="T167" s="34" t="n">
        <v>4000000</v>
      </c>
      <c r="U167" s="34" t="n">
        <v>760000</v>
      </c>
      <c r="V167" s="29"/>
      <c r="W167" s="35" t="n">
        <v>4760000</v>
      </c>
      <c r="X167" s="36" t="n">
        <f aca="false">+Tabla[[#This Row],[TOTAL]]</f>
        <v>4760000</v>
      </c>
      <c r="Y167" s="37"/>
      <c r="Z167" s="37"/>
      <c r="AA167" s="37"/>
      <c r="AB167" s="38" t="n">
        <f aca="false">+W167-AC167</f>
        <v>0</v>
      </c>
      <c r="AC167" s="34" t="n">
        <f aca="false">+Tabla[[#This Row],[P4]]+Tabla[[#This Row],[P3]]+Tabla[[#This Row],[P2]]+Tabla[[#This Row],[P1]]</f>
        <v>4760000</v>
      </c>
      <c r="AD167" s="34" t="n">
        <f aca="false">+W167-AC167</f>
        <v>0</v>
      </c>
      <c r="AE167" s="21" t="str">
        <f aca="false">IF(AB167&lt;1,"PAGADA","PENDIENTE")</f>
        <v>PAGADA</v>
      </c>
      <c r="AF167" s="21"/>
      <c r="AG167" s="29" t="s">
        <v>77</v>
      </c>
      <c r="AH167" s="39" t="n">
        <v>46154</v>
      </c>
      <c r="AI167" s="40" t="n">
        <f aca="false">+IF(Tabla[[#This Row],[FECHA PAGO / ABONO]]&lt;1,0,(MONTH(Tabla[[#This Row],[FECHA PAGO / ABONO]])))</f>
        <v>5</v>
      </c>
      <c r="AJ167" s="40" t="n">
        <f aca="false">+IF(Tabla[[#This Row],[FECHA PAGO / ABONO]]&lt;1,0,(YEAR(Tabla[[#This Row],[FECHA PAGO / ABONO]])))</f>
        <v>2026</v>
      </c>
      <c r="AK167" s="41"/>
    </row>
    <row r="168" customFormat="false" ht="14.25" hidden="false" customHeight="false" outlineLevel="0" collapsed="false">
      <c r="A168" s="28" t="s">
        <v>236</v>
      </c>
      <c r="B168" s="29" t="s">
        <v>237</v>
      </c>
      <c r="C168" s="29" t="s">
        <v>69</v>
      </c>
      <c r="D168" s="21" t="n">
        <v>110043</v>
      </c>
      <c r="E168" s="21" t="str">
        <f aca="false">+CONCATENATE(Tabla[[#This Row],[RUT]],Tabla[[#This Row],[PROVEEDOR]],Tabla[[#This Row],[FACTURA]])</f>
        <v>96669520-KRed De Television Chilevision SA110043</v>
      </c>
      <c r="F168" s="30" t="n">
        <v>46050</v>
      </c>
      <c r="G168" s="31" t="n">
        <f aca="false">+F168+30</f>
        <v>46080</v>
      </c>
      <c r="H168" s="29" t="n">
        <f aca="true">+IF(AE168="PAGADA",0,TODAY()-G168)</f>
        <v>124</v>
      </c>
      <c r="I168" s="29" t="str">
        <f aca="false">+IF(H168&gt;180,"Atrasada",IF(H168&gt;150,"150 dias",IF(H168&gt;120,"120 dias",IF(H168&gt;90,"90 dias",IF(H168&gt;60,"60 dias",IF(H168&gt;30,"30 dias","Al Día"))))))</f>
        <v>120 dias</v>
      </c>
      <c r="J168" s="32" t="s">
        <v>80</v>
      </c>
      <c r="K168" s="29" t="s">
        <v>81</v>
      </c>
      <c r="L168" s="33" t="s">
        <v>72</v>
      </c>
      <c r="M168" s="29" t="n">
        <f aca="false">+YEAR(F168)</f>
        <v>2026</v>
      </c>
      <c r="N168" s="29" t="n">
        <v>2025</v>
      </c>
      <c r="O168" s="29" t="n">
        <v>12</v>
      </c>
      <c r="P168" s="29" t="str">
        <f aca="false">+CONCATENATE(Tabla[[#This Row],[MES CAMPAÑA]],"/",Tabla[[#This Row],[AÑO CAMPAÑA]])</f>
        <v>12/2025</v>
      </c>
      <c r="Q168" s="29" t="s">
        <v>161</v>
      </c>
      <c r="R168" s="29" t="s">
        <v>74</v>
      </c>
      <c r="S168" s="34" t="n">
        <v>0</v>
      </c>
      <c r="T168" s="34" t="n">
        <v>1385952</v>
      </c>
      <c r="U168" s="34" t="n">
        <v>263331</v>
      </c>
      <c r="V168" s="29"/>
      <c r="W168" s="35" t="n">
        <v>1649283</v>
      </c>
      <c r="X168" s="36"/>
      <c r="Y168" s="37"/>
      <c r="Z168" s="37"/>
      <c r="AA168" s="37"/>
      <c r="AB168" s="38" t="n">
        <f aca="false">+W168-AC168</f>
        <v>1649283</v>
      </c>
      <c r="AC168" s="34" t="n">
        <f aca="false">+Tabla[[#This Row],[P4]]+Tabla[[#This Row],[P3]]+Tabla[[#This Row],[P2]]+Tabla[[#This Row],[P1]]</f>
        <v>0</v>
      </c>
      <c r="AD168" s="34" t="n">
        <f aca="false">+W168-AC168</f>
        <v>1649283</v>
      </c>
      <c r="AE168" s="21" t="str">
        <f aca="false">IF(AB168&lt;1,"PAGADA","PENDIENTE")</f>
        <v>PENDIENTE</v>
      </c>
      <c r="AF168" s="21"/>
      <c r="AG168" s="29"/>
      <c r="AH168" s="40"/>
      <c r="AI168" s="40" t="n">
        <f aca="false">+IF(Tabla[[#This Row],[FECHA PAGO / ABONO]]&lt;1,0,(MONTH(Tabla[[#This Row],[FECHA PAGO / ABONO]])))</f>
        <v>0</v>
      </c>
      <c r="AJ168" s="40" t="n">
        <f aca="false">+IF(Tabla[[#This Row],[FECHA PAGO / ABONO]]&lt;1,0,(YEAR(Tabla[[#This Row],[FECHA PAGO / ABONO]])))</f>
        <v>0</v>
      </c>
      <c r="AK168" s="41"/>
    </row>
    <row r="169" customFormat="false" ht="14.25" hidden="false" customHeight="false" outlineLevel="0" collapsed="false">
      <c r="A169" s="28" t="s">
        <v>236</v>
      </c>
      <c r="B169" s="29" t="s">
        <v>237</v>
      </c>
      <c r="C169" s="29" t="s">
        <v>69</v>
      </c>
      <c r="D169" s="21" t="n">
        <v>110044</v>
      </c>
      <c r="E169" s="21" t="str">
        <f aca="false">+CONCATENATE(Tabla[[#This Row],[RUT]],Tabla[[#This Row],[PROVEEDOR]],Tabla[[#This Row],[FACTURA]])</f>
        <v>96669520-KRed De Television Chilevision SA110044</v>
      </c>
      <c r="F169" s="30" t="n">
        <v>46050</v>
      </c>
      <c r="G169" s="31" t="n">
        <f aca="false">+F169+30</f>
        <v>46080</v>
      </c>
      <c r="H169" s="29" t="n">
        <f aca="true">+IF(AE169="PAGADA",0,TODAY()-G169)</f>
        <v>124</v>
      </c>
      <c r="I169" s="29" t="str">
        <f aca="false">+IF(H169&gt;180,"Atrasada",IF(H169&gt;150,"150 dias",IF(H169&gt;120,"120 dias",IF(H169&gt;90,"90 dias",IF(H169&gt;60,"60 dias",IF(H169&gt;30,"30 dias","Al Día"))))))</f>
        <v>120 dias</v>
      </c>
      <c r="J169" s="32" t="s">
        <v>80</v>
      </c>
      <c r="K169" s="29" t="s">
        <v>81</v>
      </c>
      <c r="L169" s="33" t="s">
        <v>72</v>
      </c>
      <c r="M169" s="29" t="n">
        <f aca="false">+YEAR(F169)</f>
        <v>2026</v>
      </c>
      <c r="N169" s="29" t="n">
        <v>2025</v>
      </c>
      <c r="O169" s="29" t="n">
        <v>12</v>
      </c>
      <c r="P169" s="29" t="str">
        <f aca="false">+CONCATENATE(Tabla[[#This Row],[MES CAMPAÑA]],"/",Tabla[[#This Row],[AÑO CAMPAÑA]])</f>
        <v>12/2025</v>
      </c>
      <c r="Q169" s="29" t="s">
        <v>123</v>
      </c>
      <c r="R169" s="29" t="s">
        <v>74</v>
      </c>
      <c r="S169" s="34" t="n">
        <v>0</v>
      </c>
      <c r="T169" s="34" t="n">
        <v>1404000</v>
      </c>
      <c r="U169" s="34" t="n">
        <v>266760</v>
      </c>
      <c r="V169" s="29"/>
      <c r="W169" s="35" t="n">
        <v>1670760</v>
      </c>
      <c r="X169" s="36"/>
      <c r="Y169" s="37"/>
      <c r="Z169" s="37"/>
      <c r="AA169" s="37"/>
      <c r="AB169" s="38" t="n">
        <f aca="false">+W169-AC169</f>
        <v>1670760</v>
      </c>
      <c r="AC169" s="34" t="n">
        <f aca="false">+Tabla[[#This Row],[P4]]+Tabla[[#This Row],[P3]]+Tabla[[#This Row],[P2]]+Tabla[[#This Row],[P1]]</f>
        <v>0</v>
      </c>
      <c r="AD169" s="34" t="n">
        <f aca="false">+W169-AC169</f>
        <v>1670760</v>
      </c>
      <c r="AE169" s="21" t="str">
        <f aca="false">IF(AB169&lt;1,"PAGADA","PENDIENTE")</f>
        <v>PENDIENTE</v>
      </c>
      <c r="AF169" s="21"/>
      <c r="AG169" s="29"/>
      <c r="AH169" s="40"/>
      <c r="AI169" s="40" t="n">
        <f aca="false">+IF(Tabla[[#This Row],[FECHA PAGO / ABONO]]&lt;1,0,(MONTH(Tabla[[#This Row],[FECHA PAGO / ABONO]])))</f>
        <v>0</v>
      </c>
      <c r="AJ169" s="40" t="n">
        <f aca="false">+IF(Tabla[[#This Row],[FECHA PAGO / ABONO]]&lt;1,0,(YEAR(Tabla[[#This Row],[FECHA PAGO / ABONO]])))</f>
        <v>0</v>
      </c>
      <c r="AK169" s="41"/>
    </row>
    <row r="170" customFormat="false" ht="14.25" hidden="false" customHeight="false" outlineLevel="0" collapsed="false">
      <c r="A170" s="28" t="s">
        <v>236</v>
      </c>
      <c r="B170" s="29" t="s">
        <v>237</v>
      </c>
      <c r="C170" s="29" t="s">
        <v>69</v>
      </c>
      <c r="D170" s="21" t="n">
        <v>110045</v>
      </c>
      <c r="E170" s="21" t="str">
        <f aca="false">+CONCATENATE(Tabla[[#This Row],[RUT]],Tabla[[#This Row],[PROVEEDOR]],Tabla[[#This Row],[FACTURA]])</f>
        <v>96669520-KRed De Television Chilevision SA110045</v>
      </c>
      <c r="F170" s="30" t="n">
        <v>46050</v>
      </c>
      <c r="G170" s="31" t="n">
        <f aca="false">+F170+30</f>
        <v>46080</v>
      </c>
      <c r="H170" s="29" t="n">
        <f aca="true">+IF(AE170="PAGADA",0,TODAY()-G170)</f>
        <v>124</v>
      </c>
      <c r="I170" s="29" t="str">
        <f aca="false">+IF(H170&gt;180,"Atrasada",IF(H170&gt;150,"150 dias",IF(H170&gt;120,"120 dias",IF(H170&gt;90,"90 dias",IF(H170&gt;60,"60 dias",IF(H170&gt;30,"30 dias","Al Día"))))))</f>
        <v>120 dias</v>
      </c>
      <c r="J170" s="32" t="s">
        <v>80</v>
      </c>
      <c r="K170" s="29" t="s">
        <v>81</v>
      </c>
      <c r="L170" s="33" t="s">
        <v>72</v>
      </c>
      <c r="M170" s="29" t="n">
        <f aca="false">+YEAR(F170)</f>
        <v>2026</v>
      </c>
      <c r="N170" s="29" t="n">
        <v>2025</v>
      </c>
      <c r="O170" s="29" t="n">
        <v>12</v>
      </c>
      <c r="P170" s="29" t="str">
        <f aca="false">+CONCATENATE(Tabla[[#This Row],[MES CAMPAÑA]],"/",Tabla[[#This Row],[AÑO CAMPAÑA]])</f>
        <v>12/2025</v>
      </c>
      <c r="Q170" s="29" t="s">
        <v>82</v>
      </c>
      <c r="R170" s="29" t="s">
        <v>74</v>
      </c>
      <c r="S170" s="34" t="n">
        <v>0</v>
      </c>
      <c r="T170" s="34" t="n">
        <v>1512500</v>
      </c>
      <c r="U170" s="34" t="n">
        <v>287375</v>
      </c>
      <c r="V170" s="29"/>
      <c r="W170" s="35" t="n">
        <v>1799875</v>
      </c>
      <c r="X170" s="36"/>
      <c r="Y170" s="37"/>
      <c r="Z170" s="37"/>
      <c r="AA170" s="37"/>
      <c r="AB170" s="38" t="n">
        <f aca="false">+W170-AC170</f>
        <v>1799875</v>
      </c>
      <c r="AC170" s="34" t="n">
        <f aca="false">+Tabla[[#This Row],[P4]]+Tabla[[#This Row],[P3]]+Tabla[[#This Row],[P2]]+Tabla[[#This Row],[P1]]</f>
        <v>0</v>
      </c>
      <c r="AD170" s="34" t="n">
        <f aca="false">+W170-AC170</f>
        <v>1799875</v>
      </c>
      <c r="AE170" s="21" t="str">
        <f aca="false">IF(AB170&lt;1,"PAGADA","PENDIENTE")</f>
        <v>PENDIENTE</v>
      </c>
      <c r="AF170" s="21"/>
      <c r="AG170" s="29"/>
      <c r="AH170" s="40"/>
      <c r="AI170" s="40" t="n">
        <f aca="false">+IF(Tabla[[#This Row],[FECHA PAGO / ABONO]]&lt;1,0,(MONTH(Tabla[[#This Row],[FECHA PAGO / ABONO]])))</f>
        <v>0</v>
      </c>
      <c r="AJ170" s="40" t="n">
        <f aca="false">+IF(Tabla[[#This Row],[FECHA PAGO / ABONO]]&lt;1,0,(YEAR(Tabla[[#This Row],[FECHA PAGO / ABONO]])))</f>
        <v>0</v>
      </c>
      <c r="AK170" s="41"/>
    </row>
    <row r="171" customFormat="false" ht="14.25" hidden="false" customHeight="false" outlineLevel="0" collapsed="false">
      <c r="A171" s="28" t="s">
        <v>236</v>
      </c>
      <c r="B171" s="29" t="s">
        <v>237</v>
      </c>
      <c r="C171" s="29" t="s">
        <v>69</v>
      </c>
      <c r="D171" s="21" t="n">
        <v>110046</v>
      </c>
      <c r="E171" s="21" t="str">
        <f aca="false">+CONCATENATE(Tabla[[#This Row],[RUT]],Tabla[[#This Row],[PROVEEDOR]],Tabla[[#This Row],[FACTURA]])</f>
        <v>96669520-KRed De Television Chilevision SA110046</v>
      </c>
      <c r="F171" s="30" t="n">
        <v>46050</v>
      </c>
      <c r="G171" s="31" t="n">
        <f aca="false">+F171+30</f>
        <v>46080</v>
      </c>
      <c r="H171" s="29" t="n">
        <f aca="true">+IF(AE171="PAGADA",0,TODAY()-G171)</f>
        <v>124</v>
      </c>
      <c r="I171" s="29" t="str">
        <f aca="false">+IF(H171&gt;180,"Atrasada",IF(H171&gt;150,"150 dias",IF(H171&gt;120,"120 dias",IF(H171&gt;90,"90 dias",IF(H171&gt;60,"60 dias",IF(H171&gt;30,"30 dias","Al Día"))))))</f>
        <v>120 dias</v>
      </c>
      <c r="J171" s="32" t="s">
        <v>80</v>
      </c>
      <c r="K171" s="29" t="s">
        <v>81</v>
      </c>
      <c r="L171" s="33" t="s">
        <v>72</v>
      </c>
      <c r="M171" s="29" t="n">
        <f aca="false">+YEAR(F171)</f>
        <v>2026</v>
      </c>
      <c r="N171" s="29" t="n">
        <v>2025</v>
      </c>
      <c r="O171" s="29" t="n">
        <v>12</v>
      </c>
      <c r="P171" s="29" t="str">
        <f aca="false">+CONCATENATE(Tabla[[#This Row],[MES CAMPAÑA]],"/",Tabla[[#This Row],[AÑO CAMPAÑA]])</f>
        <v>12/2025</v>
      </c>
      <c r="Q171" s="29" t="s">
        <v>123</v>
      </c>
      <c r="R171" s="29" t="s">
        <v>74</v>
      </c>
      <c r="S171" s="34" t="n">
        <v>0</v>
      </c>
      <c r="T171" s="34" t="n">
        <v>6000000</v>
      </c>
      <c r="U171" s="34" t="n">
        <v>1140000</v>
      </c>
      <c r="V171" s="29"/>
      <c r="W171" s="35" t="n">
        <v>7140000</v>
      </c>
      <c r="X171" s="36"/>
      <c r="Y171" s="37"/>
      <c r="Z171" s="37"/>
      <c r="AA171" s="37"/>
      <c r="AB171" s="38" t="n">
        <f aca="false">+W171-AC171</f>
        <v>7140000</v>
      </c>
      <c r="AC171" s="34" t="n">
        <f aca="false">+Tabla[[#This Row],[P4]]+Tabla[[#This Row],[P3]]+Tabla[[#This Row],[P2]]+Tabla[[#This Row],[P1]]</f>
        <v>0</v>
      </c>
      <c r="AD171" s="34" t="n">
        <f aca="false">+W171-AC171</f>
        <v>7140000</v>
      </c>
      <c r="AE171" s="21" t="str">
        <f aca="false">IF(AB171&lt;1,"PAGADA","PENDIENTE")</f>
        <v>PENDIENTE</v>
      </c>
      <c r="AF171" s="21"/>
      <c r="AG171" s="29"/>
      <c r="AH171" s="40"/>
      <c r="AI171" s="40" t="n">
        <f aca="false">+IF(Tabla[[#This Row],[FECHA PAGO / ABONO]]&lt;1,0,(MONTH(Tabla[[#This Row],[FECHA PAGO / ABONO]])))</f>
        <v>0</v>
      </c>
      <c r="AJ171" s="40" t="n">
        <f aca="false">+IF(Tabla[[#This Row],[FECHA PAGO / ABONO]]&lt;1,0,(YEAR(Tabla[[#This Row],[FECHA PAGO / ABONO]])))</f>
        <v>0</v>
      </c>
      <c r="AK171" s="41"/>
    </row>
    <row r="172" customFormat="false" ht="14.25" hidden="false" customHeight="false" outlineLevel="0" collapsed="false">
      <c r="A172" s="28" t="s">
        <v>236</v>
      </c>
      <c r="B172" s="29" t="s">
        <v>237</v>
      </c>
      <c r="C172" s="29" t="s">
        <v>69</v>
      </c>
      <c r="D172" s="21" t="n">
        <v>110047</v>
      </c>
      <c r="E172" s="21" t="str">
        <f aca="false">+CONCATENATE(Tabla[[#This Row],[RUT]],Tabla[[#This Row],[PROVEEDOR]],Tabla[[#This Row],[FACTURA]])</f>
        <v>96669520-KRed De Television Chilevision SA110047</v>
      </c>
      <c r="F172" s="30" t="n">
        <v>46050</v>
      </c>
      <c r="G172" s="31" t="n">
        <f aca="false">+F172+30</f>
        <v>46080</v>
      </c>
      <c r="H172" s="29" t="n">
        <f aca="true">+IF(AE172="PAGADA",0,TODAY()-G172)</f>
        <v>124</v>
      </c>
      <c r="I172" s="29" t="str">
        <f aca="false">+IF(H172&gt;180,"Atrasada",IF(H172&gt;150,"150 dias",IF(H172&gt;120,"120 dias",IF(H172&gt;90,"90 dias",IF(H172&gt;60,"60 dias",IF(H172&gt;30,"30 dias","Al Día"))))))</f>
        <v>120 dias</v>
      </c>
      <c r="J172" s="32" t="s">
        <v>80</v>
      </c>
      <c r="K172" s="29" t="s">
        <v>81</v>
      </c>
      <c r="L172" s="33" t="s">
        <v>72</v>
      </c>
      <c r="M172" s="29" t="n">
        <f aca="false">+YEAR(F172)</f>
        <v>2026</v>
      </c>
      <c r="N172" s="29" t="n">
        <v>2025</v>
      </c>
      <c r="O172" s="29" t="n">
        <v>12</v>
      </c>
      <c r="P172" s="29" t="str">
        <f aca="false">+CONCATENATE(Tabla[[#This Row],[MES CAMPAÑA]],"/",Tabla[[#This Row],[AÑO CAMPAÑA]])</f>
        <v>12/2025</v>
      </c>
      <c r="Q172" s="29" t="s">
        <v>123</v>
      </c>
      <c r="R172" s="29" t="s">
        <v>74</v>
      </c>
      <c r="S172" s="34" t="n">
        <v>0</v>
      </c>
      <c r="T172" s="34" t="n">
        <v>70200</v>
      </c>
      <c r="U172" s="34" t="n">
        <v>13338</v>
      </c>
      <c r="V172" s="29"/>
      <c r="W172" s="35" t="n">
        <v>83538</v>
      </c>
      <c r="X172" s="36"/>
      <c r="Y172" s="37"/>
      <c r="Z172" s="37"/>
      <c r="AA172" s="37"/>
      <c r="AB172" s="38" t="n">
        <f aca="false">+W172-AC172</f>
        <v>83538</v>
      </c>
      <c r="AC172" s="34" t="n">
        <f aca="false">+Tabla[[#This Row],[P4]]+Tabla[[#This Row],[P3]]+Tabla[[#This Row],[P2]]+Tabla[[#This Row],[P1]]</f>
        <v>0</v>
      </c>
      <c r="AD172" s="34" t="n">
        <f aca="false">+W172-AC172</f>
        <v>83538</v>
      </c>
      <c r="AE172" s="21" t="str">
        <f aca="false">IF(AB172&lt;1,"PAGADA","PENDIENTE")</f>
        <v>PENDIENTE</v>
      </c>
      <c r="AF172" s="21"/>
      <c r="AG172" s="29"/>
      <c r="AH172" s="40"/>
      <c r="AI172" s="40" t="n">
        <f aca="false">+IF(Tabla[[#This Row],[FECHA PAGO / ABONO]]&lt;1,0,(MONTH(Tabla[[#This Row],[FECHA PAGO / ABONO]])))</f>
        <v>0</v>
      </c>
      <c r="AJ172" s="40" t="n">
        <f aca="false">+IF(Tabla[[#This Row],[FECHA PAGO / ABONO]]&lt;1,0,(YEAR(Tabla[[#This Row],[FECHA PAGO / ABONO]])))</f>
        <v>0</v>
      </c>
      <c r="AK172" s="41"/>
    </row>
    <row r="173" customFormat="false" ht="14.25" hidden="false" customHeight="false" outlineLevel="0" collapsed="false">
      <c r="A173" s="28" t="s">
        <v>236</v>
      </c>
      <c r="B173" s="29" t="s">
        <v>237</v>
      </c>
      <c r="C173" s="29" t="s">
        <v>69</v>
      </c>
      <c r="D173" s="21" t="n">
        <v>110048</v>
      </c>
      <c r="E173" s="21" t="str">
        <f aca="false">+CONCATENATE(Tabla[[#This Row],[RUT]],Tabla[[#This Row],[PROVEEDOR]],Tabla[[#This Row],[FACTURA]])</f>
        <v>96669520-KRed De Television Chilevision SA110048</v>
      </c>
      <c r="F173" s="30" t="n">
        <v>46050</v>
      </c>
      <c r="G173" s="31" t="n">
        <f aca="false">+F173+30</f>
        <v>46080</v>
      </c>
      <c r="H173" s="29" t="n">
        <f aca="true">+IF(AE173="PAGADA",0,TODAY()-G173)</f>
        <v>124</v>
      </c>
      <c r="I173" s="29" t="str">
        <f aca="false">+IF(H173&gt;180,"Atrasada",IF(H173&gt;150,"150 dias",IF(H173&gt;120,"120 dias",IF(H173&gt;90,"90 dias",IF(H173&gt;60,"60 dias",IF(H173&gt;30,"30 dias","Al Día"))))))</f>
        <v>120 dias</v>
      </c>
      <c r="J173" s="32" t="s">
        <v>80</v>
      </c>
      <c r="K173" s="29" t="s">
        <v>81</v>
      </c>
      <c r="L173" s="33" t="s">
        <v>72</v>
      </c>
      <c r="M173" s="29" t="n">
        <f aca="false">+YEAR(F173)</f>
        <v>2026</v>
      </c>
      <c r="N173" s="29" t="n">
        <v>2025</v>
      </c>
      <c r="O173" s="29" t="n">
        <v>12</v>
      </c>
      <c r="P173" s="29" t="str">
        <f aca="false">+CONCATENATE(Tabla[[#This Row],[MES CAMPAÑA]],"/",Tabla[[#This Row],[AÑO CAMPAÑA]])</f>
        <v>12/2025</v>
      </c>
      <c r="Q173" s="29" t="s">
        <v>123</v>
      </c>
      <c r="R173" s="29" t="s">
        <v>74</v>
      </c>
      <c r="S173" s="34" t="n">
        <v>0</v>
      </c>
      <c r="T173" s="34" t="n">
        <v>140400</v>
      </c>
      <c r="U173" s="34" t="n">
        <v>26676</v>
      </c>
      <c r="V173" s="29"/>
      <c r="W173" s="35" t="n">
        <v>167076</v>
      </c>
      <c r="X173" s="36"/>
      <c r="Y173" s="37"/>
      <c r="Z173" s="37"/>
      <c r="AA173" s="37"/>
      <c r="AB173" s="38" t="n">
        <f aca="false">+W173-AC173</f>
        <v>167076</v>
      </c>
      <c r="AC173" s="34" t="n">
        <f aca="false">+Tabla[[#This Row],[P4]]+Tabla[[#This Row],[P3]]+Tabla[[#This Row],[P2]]+Tabla[[#This Row],[P1]]</f>
        <v>0</v>
      </c>
      <c r="AD173" s="34" t="n">
        <f aca="false">+W173-AC173</f>
        <v>167076</v>
      </c>
      <c r="AE173" s="21" t="str">
        <f aca="false">IF(AB173&lt;1,"PAGADA","PENDIENTE")</f>
        <v>PENDIENTE</v>
      </c>
      <c r="AF173" s="21"/>
      <c r="AG173" s="29"/>
      <c r="AH173" s="40"/>
      <c r="AI173" s="40" t="n">
        <f aca="false">+IF(Tabla[[#This Row],[FECHA PAGO / ABONO]]&lt;1,0,(MONTH(Tabla[[#This Row],[FECHA PAGO / ABONO]])))</f>
        <v>0</v>
      </c>
      <c r="AJ173" s="40" t="n">
        <f aca="false">+IF(Tabla[[#This Row],[FECHA PAGO / ABONO]]&lt;1,0,(YEAR(Tabla[[#This Row],[FECHA PAGO / ABONO]])))</f>
        <v>0</v>
      </c>
      <c r="AK173" s="41"/>
    </row>
    <row r="174" customFormat="false" ht="14.25" hidden="false" customHeight="false" outlineLevel="0" collapsed="false">
      <c r="A174" s="28" t="s">
        <v>236</v>
      </c>
      <c r="B174" s="29" t="s">
        <v>237</v>
      </c>
      <c r="C174" s="29" t="s">
        <v>69</v>
      </c>
      <c r="D174" s="21" t="n">
        <v>110049</v>
      </c>
      <c r="E174" s="21" t="str">
        <f aca="false">+CONCATENATE(Tabla[[#This Row],[RUT]],Tabla[[#This Row],[PROVEEDOR]],Tabla[[#This Row],[FACTURA]])</f>
        <v>96669520-KRed De Television Chilevision SA110049</v>
      </c>
      <c r="F174" s="30" t="n">
        <v>46050</v>
      </c>
      <c r="G174" s="31" t="n">
        <f aca="false">+F174+30</f>
        <v>46080</v>
      </c>
      <c r="H174" s="29" t="n">
        <f aca="true">+IF(AE174="PAGADA",0,TODAY()-G174)</f>
        <v>124</v>
      </c>
      <c r="I174" s="29" t="str">
        <f aca="false">+IF(H174&gt;180,"Atrasada",IF(H174&gt;150,"150 dias",IF(H174&gt;120,"120 dias",IF(H174&gt;90,"90 dias",IF(H174&gt;60,"60 dias",IF(H174&gt;30,"30 dias","Al Día"))))))</f>
        <v>120 dias</v>
      </c>
      <c r="J174" s="32" t="s">
        <v>80</v>
      </c>
      <c r="K174" s="29" t="s">
        <v>81</v>
      </c>
      <c r="L174" s="33" t="s">
        <v>72</v>
      </c>
      <c r="M174" s="29" t="n">
        <f aca="false">+YEAR(F174)</f>
        <v>2026</v>
      </c>
      <c r="N174" s="29" t="n">
        <v>2025</v>
      </c>
      <c r="O174" s="29" t="n">
        <v>12</v>
      </c>
      <c r="P174" s="29" t="str">
        <f aca="false">+CONCATENATE(Tabla[[#This Row],[MES CAMPAÑA]],"/",Tabla[[#This Row],[AÑO CAMPAÑA]])</f>
        <v>12/2025</v>
      </c>
      <c r="Q174" s="29" t="s">
        <v>123</v>
      </c>
      <c r="R174" s="29" t="s">
        <v>74</v>
      </c>
      <c r="S174" s="34" t="n">
        <v>0</v>
      </c>
      <c r="T174" s="34" t="n">
        <v>400000</v>
      </c>
      <c r="U174" s="34" t="n">
        <v>76000</v>
      </c>
      <c r="V174" s="29"/>
      <c r="W174" s="35" t="n">
        <v>476000</v>
      </c>
      <c r="X174" s="36"/>
      <c r="Y174" s="37"/>
      <c r="Z174" s="37"/>
      <c r="AA174" s="37"/>
      <c r="AB174" s="38" t="n">
        <f aca="false">+W174-AC174</f>
        <v>476000</v>
      </c>
      <c r="AC174" s="34" t="n">
        <f aca="false">+Tabla[[#This Row],[P4]]+Tabla[[#This Row],[P3]]+Tabla[[#This Row],[P2]]+Tabla[[#This Row],[P1]]</f>
        <v>0</v>
      </c>
      <c r="AD174" s="34" t="n">
        <f aca="false">+W174-AC174</f>
        <v>476000</v>
      </c>
      <c r="AE174" s="21" t="str">
        <f aca="false">IF(AB174&lt;1,"PAGADA","PENDIENTE")</f>
        <v>PENDIENTE</v>
      </c>
      <c r="AF174" s="21"/>
      <c r="AG174" s="29"/>
      <c r="AH174" s="40"/>
      <c r="AI174" s="40" t="n">
        <f aca="false">+IF(Tabla[[#This Row],[FECHA PAGO / ABONO]]&lt;1,0,(MONTH(Tabla[[#This Row],[FECHA PAGO / ABONO]])))</f>
        <v>0</v>
      </c>
      <c r="AJ174" s="40" t="n">
        <f aca="false">+IF(Tabla[[#This Row],[FECHA PAGO / ABONO]]&lt;1,0,(YEAR(Tabla[[#This Row],[FECHA PAGO / ABONO]])))</f>
        <v>0</v>
      </c>
      <c r="AK174" s="41"/>
    </row>
    <row r="175" customFormat="false" ht="14.25" hidden="false" customHeight="false" outlineLevel="0" collapsed="false">
      <c r="A175" s="28" t="s">
        <v>236</v>
      </c>
      <c r="B175" s="29" t="s">
        <v>237</v>
      </c>
      <c r="C175" s="29" t="s">
        <v>69</v>
      </c>
      <c r="D175" s="21" t="n">
        <v>110050</v>
      </c>
      <c r="E175" s="21" t="str">
        <f aca="false">+CONCATENATE(Tabla[[#This Row],[RUT]],Tabla[[#This Row],[PROVEEDOR]],Tabla[[#This Row],[FACTURA]])</f>
        <v>96669520-KRed De Television Chilevision SA110050</v>
      </c>
      <c r="F175" s="30" t="n">
        <v>46050</v>
      </c>
      <c r="G175" s="31" t="n">
        <f aca="false">+F175+30</f>
        <v>46080</v>
      </c>
      <c r="H175" s="29" t="n">
        <f aca="true">+IF(AE175="PAGADA",0,TODAY()-G175)</f>
        <v>124</v>
      </c>
      <c r="I175" s="29" t="str">
        <f aca="false">+IF(H175&gt;180,"Atrasada",IF(H175&gt;150,"150 dias",IF(H175&gt;120,"120 dias",IF(H175&gt;90,"90 dias",IF(H175&gt;60,"60 dias",IF(H175&gt;30,"30 dias","Al Día"))))))</f>
        <v>120 dias</v>
      </c>
      <c r="J175" s="32" t="s">
        <v>80</v>
      </c>
      <c r="K175" s="29" t="s">
        <v>81</v>
      </c>
      <c r="L175" s="33" t="s">
        <v>72</v>
      </c>
      <c r="M175" s="29" t="n">
        <f aca="false">+YEAR(F175)</f>
        <v>2026</v>
      </c>
      <c r="N175" s="29" t="n">
        <v>2025</v>
      </c>
      <c r="O175" s="29" t="n">
        <v>12</v>
      </c>
      <c r="P175" s="29" t="str">
        <f aca="false">+CONCATENATE(Tabla[[#This Row],[MES CAMPAÑA]],"/",Tabla[[#This Row],[AÑO CAMPAÑA]])</f>
        <v>12/2025</v>
      </c>
      <c r="Q175" s="29" t="s">
        <v>123</v>
      </c>
      <c r="R175" s="29" t="s">
        <v>74</v>
      </c>
      <c r="S175" s="34" t="n">
        <v>0</v>
      </c>
      <c r="T175" s="34" t="n">
        <v>800000</v>
      </c>
      <c r="U175" s="34" t="n">
        <v>152000</v>
      </c>
      <c r="V175" s="29"/>
      <c r="W175" s="35" t="n">
        <v>952000</v>
      </c>
      <c r="X175" s="36"/>
      <c r="Y175" s="37"/>
      <c r="Z175" s="37"/>
      <c r="AA175" s="37"/>
      <c r="AB175" s="38" t="n">
        <f aca="false">+W175-AC175</f>
        <v>952000</v>
      </c>
      <c r="AC175" s="34" t="n">
        <f aca="false">+Tabla[[#This Row],[P4]]+Tabla[[#This Row],[P3]]+Tabla[[#This Row],[P2]]+Tabla[[#This Row],[P1]]</f>
        <v>0</v>
      </c>
      <c r="AD175" s="34" t="n">
        <f aca="false">+W175-AC175</f>
        <v>952000</v>
      </c>
      <c r="AE175" s="21" t="str">
        <f aca="false">IF(AB175&lt;1,"PAGADA","PENDIENTE")</f>
        <v>PENDIENTE</v>
      </c>
      <c r="AF175" s="21"/>
      <c r="AG175" s="29"/>
      <c r="AH175" s="40"/>
      <c r="AI175" s="40" t="n">
        <f aca="false">+IF(Tabla[[#This Row],[FECHA PAGO / ABONO]]&lt;1,0,(MONTH(Tabla[[#This Row],[FECHA PAGO / ABONO]])))</f>
        <v>0</v>
      </c>
      <c r="AJ175" s="40" t="n">
        <f aca="false">+IF(Tabla[[#This Row],[FECHA PAGO / ABONO]]&lt;1,0,(YEAR(Tabla[[#This Row],[FECHA PAGO / ABONO]])))</f>
        <v>0</v>
      </c>
      <c r="AK175" s="41"/>
    </row>
    <row r="176" customFormat="false" ht="14.25" hidden="false" customHeight="false" outlineLevel="0" collapsed="false">
      <c r="A176" s="28" t="s">
        <v>238</v>
      </c>
      <c r="B176" s="29" t="s">
        <v>239</v>
      </c>
      <c r="C176" s="29" t="s">
        <v>229</v>
      </c>
      <c r="D176" s="21" t="n">
        <v>213</v>
      </c>
      <c r="E176" s="21" t="str">
        <f aca="false">+CONCATENATE(Tabla[[#This Row],[RUT]],Tabla[[#This Row],[PROVEEDOR]],Tabla[[#This Row],[FACTURA]])</f>
        <v>77688283-6SOCIEDAD DE PROFESIONALES YY LIMITADA213</v>
      </c>
      <c r="F176" s="30" t="n">
        <v>46050</v>
      </c>
      <c r="G176" s="31" t="n">
        <f aca="false">+F176+30</f>
        <v>46080</v>
      </c>
      <c r="H176" s="29" t="n">
        <f aca="true">+IF(AE176="PAGADA",0,TODAY()-G176)</f>
        <v>0</v>
      </c>
      <c r="I176" s="29" t="str">
        <f aca="false">+IF(H176&gt;180,"Atrasada",IF(H176&gt;150,"150 dias",IF(H176&gt;120,"120 dias",IF(H176&gt;90,"90 dias",IF(H176&gt;60,"60 dias",IF(H176&gt;30,"30 dias","Al Día"))))))</f>
        <v>Al Día</v>
      </c>
      <c r="J176" s="32" t="s">
        <v>31</v>
      </c>
      <c r="K176" s="29" t="s">
        <v>71</v>
      </c>
      <c r="L176" s="33" t="s">
        <v>72</v>
      </c>
      <c r="M176" s="29" t="n">
        <f aca="false">+YEAR(F176)</f>
        <v>2026</v>
      </c>
      <c r="N176" s="29" t="n">
        <v>2026</v>
      </c>
      <c r="O176" s="29" t="n">
        <v>1</v>
      </c>
      <c r="P176" s="29" t="str">
        <f aca="false">+CONCATENATE(Tabla[[#This Row],[MES CAMPAÑA]],"/",Tabla[[#This Row],[AÑO CAMPAÑA]])</f>
        <v>1/2026</v>
      </c>
      <c r="Q176" s="29" t="s">
        <v>73</v>
      </c>
      <c r="R176" s="29" t="s">
        <v>74</v>
      </c>
      <c r="S176" s="34" t="n">
        <v>6500000</v>
      </c>
      <c r="T176" s="34" t="n">
        <v>0</v>
      </c>
      <c r="U176" s="34" t="n">
        <v>0</v>
      </c>
      <c r="V176" s="29"/>
      <c r="W176" s="35" t="n">
        <v>6500000</v>
      </c>
      <c r="X176" s="36" t="n">
        <f aca="false">+Tabla[[#This Row],[TOTAL]]</f>
        <v>6500000</v>
      </c>
      <c r="Y176" s="37"/>
      <c r="Z176" s="37"/>
      <c r="AA176" s="37"/>
      <c r="AB176" s="38" t="n">
        <f aca="false">+W176-AC176</f>
        <v>0</v>
      </c>
      <c r="AC176" s="34" t="n">
        <f aca="false">+Tabla[[#This Row],[P4]]+Tabla[[#This Row],[P3]]+Tabla[[#This Row],[P2]]+Tabla[[#This Row],[P1]]</f>
        <v>6500000</v>
      </c>
      <c r="AD176" s="34" t="n">
        <f aca="false">+W176-AC176</f>
        <v>0</v>
      </c>
      <c r="AE176" s="21" t="str">
        <f aca="false">IF(AB176&lt;1,"PAGADA","PENDIENTE")</f>
        <v>PAGADA</v>
      </c>
      <c r="AF176" s="21"/>
      <c r="AG176" s="29" t="s">
        <v>77</v>
      </c>
      <c r="AH176" s="39" t="n">
        <v>46050</v>
      </c>
      <c r="AI176" s="40" t="n">
        <f aca="false">+IF(Tabla[[#This Row],[FECHA PAGO / ABONO]]&lt;1,0,(MONTH(Tabla[[#This Row],[FECHA PAGO / ABONO]])))</f>
        <v>1</v>
      </c>
      <c r="AJ176" s="40" t="n">
        <f aca="false">+IF(Tabla[[#This Row],[FECHA PAGO / ABONO]]&lt;1,0,(YEAR(Tabla[[#This Row],[FECHA PAGO / ABONO]])))</f>
        <v>2026</v>
      </c>
      <c r="AK176" s="41"/>
    </row>
    <row r="177" customFormat="false" ht="14.25" hidden="false" customHeight="false" outlineLevel="0" collapsed="false">
      <c r="A177" s="28" t="s">
        <v>234</v>
      </c>
      <c r="B177" s="29" t="s">
        <v>235</v>
      </c>
      <c r="C177" s="29" t="s">
        <v>69</v>
      </c>
      <c r="D177" s="21" t="n">
        <v>34877</v>
      </c>
      <c r="E177" s="21" t="str">
        <f aca="false">+CONCATENATE(Tabla[[#This Row],[RUT]],Tabla[[#This Row],[PROVEEDOR]],Tabla[[#This Row],[FACTURA]])</f>
        <v>77022910-3MASSIVA  S.A.34877</v>
      </c>
      <c r="F177" s="30" t="n">
        <v>46050</v>
      </c>
      <c r="G177" s="31" t="n">
        <f aca="false">+F177+30</f>
        <v>46080</v>
      </c>
      <c r="H177" s="29" t="n">
        <f aca="true">+IF(AE177="PAGADA",0,TODAY()-G177)</f>
        <v>0</v>
      </c>
      <c r="I177" s="29" t="str">
        <f aca="false">+IF(H177&gt;180,"Atrasada",IF(H177&gt;150,"150 dias",IF(H177&gt;120,"120 dias",IF(H177&gt;90,"90 dias",IF(H177&gt;60,"60 dias",IF(H177&gt;30,"30 dias","Al Día"))))))</f>
        <v>Al Día</v>
      </c>
      <c r="J177" s="32" t="s">
        <v>80</v>
      </c>
      <c r="K177" s="29" t="s">
        <v>81</v>
      </c>
      <c r="L177" s="33" t="s">
        <v>72</v>
      </c>
      <c r="M177" s="29" t="n">
        <f aca="false">+YEAR(F177)</f>
        <v>2026</v>
      </c>
      <c r="N177" s="29" t="n">
        <v>2025</v>
      </c>
      <c r="O177" s="29" t="n">
        <v>12</v>
      </c>
      <c r="P177" s="29" t="str">
        <f aca="false">+CONCATENATE(Tabla[[#This Row],[MES CAMPAÑA]],"/",Tabla[[#This Row],[AÑO CAMPAÑA]])</f>
        <v>12/2025</v>
      </c>
      <c r="Q177" s="29" t="s">
        <v>123</v>
      </c>
      <c r="R177" s="29" t="s">
        <v>74</v>
      </c>
      <c r="S177" s="34" t="n">
        <v>0</v>
      </c>
      <c r="T177" s="34" t="n">
        <v>367000</v>
      </c>
      <c r="U177" s="34" t="n">
        <v>69730</v>
      </c>
      <c r="V177" s="29"/>
      <c r="W177" s="35" t="n">
        <v>436730</v>
      </c>
      <c r="X177" s="36" t="n">
        <f aca="false">+Tabla[[#This Row],[TOTAL]]</f>
        <v>436730</v>
      </c>
      <c r="Y177" s="37"/>
      <c r="Z177" s="37"/>
      <c r="AA177" s="37"/>
      <c r="AB177" s="38" t="n">
        <f aca="false">+W177-AC177</f>
        <v>0</v>
      </c>
      <c r="AC177" s="34" t="n">
        <f aca="false">+Tabla[[#This Row],[P4]]+Tabla[[#This Row],[P3]]+Tabla[[#This Row],[P2]]+Tabla[[#This Row],[P1]]</f>
        <v>436730</v>
      </c>
      <c r="AD177" s="34" t="n">
        <f aca="false">+W177-AC177</f>
        <v>0</v>
      </c>
      <c r="AE177" s="21" t="str">
        <f aca="false">IF(AB177&lt;1,"PAGADA","PENDIENTE")</f>
        <v>PAGADA</v>
      </c>
      <c r="AF177" s="21"/>
      <c r="AG177" s="29" t="s">
        <v>77</v>
      </c>
      <c r="AH177" s="39" t="n">
        <v>46135</v>
      </c>
      <c r="AI177" s="40" t="n">
        <f aca="false">+IF(Tabla[[#This Row],[FECHA PAGO / ABONO]]&lt;1,0,(MONTH(Tabla[[#This Row],[FECHA PAGO / ABONO]])))</f>
        <v>4</v>
      </c>
      <c r="AJ177" s="40" t="n">
        <f aca="false">+IF(Tabla[[#This Row],[FECHA PAGO / ABONO]]&lt;1,0,(YEAR(Tabla[[#This Row],[FECHA PAGO / ABONO]])))</f>
        <v>2026</v>
      </c>
      <c r="AK177" s="41"/>
    </row>
    <row r="178" customFormat="false" ht="14.25" hidden="false" customHeight="false" outlineLevel="0" collapsed="false">
      <c r="A178" s="28" t="s">
        <v>234</v>
      </c>
      <c r="B178" s="29" t="s">
        <v>235</v>
      </c>
      <c r="C178" s="29" t="s">
        <v>69</v>
      </c>
      <c r="D178" s="21" t="n">
        <v>34878</v>
      </c>
      <c r="E178" s="21" t="str">
        <f aca="false">+CONCATENATE(Tabla[[#This Row],[RUT]],Tabla[[#This Row],[PROVEEDOR]],Tabla[[#This Row],[FACTURA]])</f>
        <v>77022910-3MASSIVA  S.A.34878</v>
      </c>
      <c r="F178" s="30" t="n">
        <v>46050</v>
      </c>
      <c r="G178" s="31" t="n">
        <f aca="false">+F178+30</f>
        <v>46080</v>
      </c>
      <c r="H178" s="29" t="n">
        <f aca="true">+IF(AE178="PAGADA",0,TODAY()-G178)</f>
        <v>0</v>
      </c>
      <c r="I178" s="29" t="str">
        <f aca="false">+IF(H178&gt;180,"Atrasada",IF(H178&gt;150,"150 dias",IF(H178&gt;120,"120 dias",IF(H178&gt;90,"90 dias",IF(H178&gt;60,"60 dias",IF(H178&gt;30,"30 dias","Al Día"))))))</f>
        <v>Al Día</v>
      </c>
      <c r="J178" s="32" t="s">
        <v>80</v>
      </c>
      <c r="K178" s="29" t="s">
        <v>81</v>
      </c>
      <c r="L178" s="33" t="s">
        <v>72</v>
      </c>
      <c r="M178" s="29" t="n">
        <f aca="false">+YEAR(F178)</f>
        <v>2026</v>
      </c>
      <c r="N178" s="29" t="n">
        <v>2025</v>
      </c>
      <c r="O178" s="29" t="n">
        <v>12</v>
      </c>
      <c r="P178" s="29" t="str">
        <f aca="false">+CONCATENATE(Tabla[[#This Row],[MES CAMPAÑA]],"/",Tabla[[#This Row],[AÑO CAMPAÑA]])</f>
        <v>12/2025</v>
      </c>
      <c r="Q178" s="29" t="s">
        <v>123</v>
      </c>
      <c r="R178" s="29" t="s">
        <v>74</v>
      </c>
      <c r="S178" s="34" t="n">
        <v>0</v>
      </c>
      <c r="T178" s="34" t="n">
        <v>1146000</v>
      </c>
      <c r="U178" s="34" t="n">
        <v>217740</v>
      </c>
      <c r="V178" s="29"/>
      <c r="W178" s="35" t="n">
        <v>1363740</v>
      </c>
      <c r="X178" s="36" t="n">
        <f aca="false">+Tabla[[#This Row],[TOTAL]]</f>
        <v>1363740</v>
      </c>
      <c r="Y178" s="37"/>
      <c r="Z178" s="37"/>
      <c r="AA178" s="37"/>
      <c r="AB178" s="38" t="n">
        <f aca="false">+W178-AC178</f>
        <v>0</v>
      </c>
      <c r="AC178" s="34" t="n">
        <f aca="false">+Tabla[[#This Row],[P4]]+Tabla[[#This Row],[P3]]+Tabla[[#This Row],[P2]]+Tabla[[#This Row],[P1]]</f>
        <v>1363740</v>
      </c>
      <c r="AD178" s="34" t="n">
        <f aca="false">+W178-AC178</f>
        <v>0</v>
      </c>
      <c r="AE178" s="21" t="str">
        <f aca="false">IF(AB178&lt;1,"PAGADA","PENDIENTE")</f>
        <v>PAGADA</v>
      </c>
      <c r="AF178" s="21"/>
      <c r="AG178" s="29" t="s">
        <v>77</v>
      </c>
      <c r="AH178" s="39" t="n">
        <v>46135</v>
      </c>
      <c r="AI178" s="40" t="n">
        <f aca="false">+IF(Tabla[[#This Row],[FECHA PAGO / ABONO]]&lt;1,0,(MONTH(Tabla[[#This Row],[FECHA PAGO / ABONO]])))</f>
        <v>4</v>
      </c>
      <c r="AJ178" s="40" t="n">
        <f aca="false">+IF(Tabla[[#This Row],[FECHA PAGO / ABONO]]&lt;1,0,(YEAR(Tabla[[#This Row],[FECHA PAGO / ABONO]])))</f>
        <v>2026</v>
      </c>
      <c r="AK178" s="41"/>
    </row>
    <row r="179" customFormat="false" ht="14.25" hidden="false" customHeight="false" outlineLevel="0" collapsed="false">
      <c r="A179" s="28" t="s">
        <v>234</v>
      </c>
      <c r="B179" s="29" t="s">
        <v>235</v>
      </c>
      <c r="C179" s="29" t="s">
        <v>69</v>
      </c>
      <c r="D179" s="21" t="n">
        <v>34879</v>
      </c>
      <c r="E179" s="21" t="str">
        <f aca="false">+CONCATENATE(Tabla[[#This Row],[RUT]],Tabla[[#This Row],[PROVEEDOR]],Tabla[[#This Row],[FACTURA]])</f>
        <v>77022910-3MASSIVA  S.A.34879</v>
      </c>
      <c r="F179" s="30" t="n">
        <v>46050</v>
      </c>
      <c r="G179" s="31" t="n">
        <f aca="false">+F179+30</f>
        <v>46080</v>
      </c>
      <c r="H179" s="29" t="n">
        <f aca="true">+IF(AE179="PAGADA",0,TODAY()-G179)</f>
        <v>0</v>
      </c>
      <c r="I179" s="29" t="str">
        <f aca="false">+IF(H179&gt;180,"Atrasada",IF(H179&gt;150,"150 dias",IF(H179&gt;120,"120 dias",IF(H179&gt;90,"90 dias",IF(H179&gt;60,"60 dias",IF(H179&gt;30,"30 dias","Al Día"))))))</f>
        <v>Al Día</v>
      </c>
      <c r="J179" s="32" t="s">
        <v>80</v>
      </c>
      <c r="K179" s="29" t="s">
        <v>81</v>
      </c>
      <c r="L179" s="33" t="s">
        <v>72</v>
      </c>
      <c r="M179" s="29" t="n">
        <f aca="false">+YEAR(F179)</f>
        <v>2026</v>
      </c>
      <c r="N179" s="29" t="n">
        <v>2025</v>
      </c>
      <c r="O179" s="29" t="n">
        <v>12</v>
      </c>
      <c r="P179" s="29" t="str">
        <f aca="false">+CONCATENATE(Tabla[[#This Row],[MES CAMPAÑA]],"/",Tabla[[#This Row],[AÑO CAMPAÑA]])</f>
        <v>12/2025</v>
      </c>
      <c r="Q179" s="29" t="s">
        <v>123</v>
      </c>
      <c r="R179" s="29" t="s">
        <v>74</v>
      </c>
      <c r="S179" s="34" t="n">
        <v>0</v>
      </c>
      <c r="T179" s="34" t="n">
        <v>4284632</v>
      </c>
      <c r="U179" s="34" t="n">
        <v>814080</v>
      </c>
      <c r="V179" s="29"/>
      <c r="W179" s="35" t="n">
        <v>5098712</v>
      </c>
      <c r="X179" s="36" t="n">
        <f aca="false">+Tabla[[#This Row],[TOTAL]]</f>
        <v>5098712</v>
      </c>
      <c r="Y179" s="37"/>
      <c r="Z179" s="37"/>
      <c r="AA179" s="37"/>
      <c r="AB179" s="38" t="n">
        <f aca="false">+W179-AC179</f>
        <v>0</v>
      </c>
      <c r="AC179" s="34" t="n">
        <f aca="false">+Tabla[[#This Row],[P4]]+Tabla[[#This Row],[P3]]+Tabla[[#This Row],[P2]]+Tabla[[#This Row],[P1]]</f>
        <v>5098712</v>
      </c>
      <c r="AD179" s="34" t="n">
        <f aca="false">+W179-AC179</f>
        <v>0</v>
      </c>
      <c r="AE179" s="21" t="str">
        <f aca="false">IF(AB179&lt;1,"PAGADA","PENDIENTE")</f>
        <v>PAGADA</v>
      </c>
      <c r="AF179" s="21"/>
      <c r="AG179" s="29" t="s">
        <v>77</v>
      </c>
      <c r="AH179" s="39" t="n">
        <v>46154</v>
      </c>
      <c r="AI179" s="40" t="n">
        <f aca="false">+IF(Tabla[[#This Row],[FECHA PAGO / ABONO]]&lt;1,0,(MONTH(Tabla[[#This Row],[FECHA PAGO / ABONO]])))</f>
        <v>5</v>
      </c>
      <c r="AJ179" s="40" t="n">
        <f aca="false">+IF(Tabla[[#This Row],[FECHA PAGO / ABONO]]&lt;1,0,(YEAR(Tabla[[#This Row],[FECHA PAGO / ABONO]])))</f>
        <v>2026</v>
      </c>
      <c r="AK179" s="41"/>
    </row>
    <row r="180" customFormat="false" ht="14.25" hidden="false" customHeight="false" outlineLevel="0" collapsed="false">
      <c r="A180" s="28" t="s">
        <v>236</v>
      </c>
      <c r="B180" s="29" t="s">
        <v>237</v>
      </c>
      <c r="C180" s="29" t="s">
        <v>69</v>
      </c>
      <c r="D180" s="21" t="n">
        <v>110051</v>
      </c>
      <c r="E180" s="21" t="str">
        <f aca="false">+CONCATENATE(Tabla[[#This Row],[RUT]],Tabla[[#This Row],[PROVEEDOR]],Tabla[[#This Row],[FACTURA]])</f>
        <v>96669520-KRed De Television Chilevision SA110051</v>
      </c>
      <c r="F180" s="30" t="n">
        <v>46050</v>
      </c>
      <c r="G180" s="31" t="n">
        <f aca="false">+F180+30</f>
        <v>46080</v>
      </c>
      <c r="H180" s="29" t="n">
        <f aca="true">+IF(AE180="PAGADA",0,TODAY()-G180)</f>
        <v>124</v>
      </c>
      <c r="I180" s="29" t="str">
        <f aca="false">+IF(H180&gt;180,"Atrasada",IF(H180&gt;150,"150 dias",IF(H180&gt;120,"120 dias",IF(H180&gt;90,"90 dias",IF(H180&gt;60,"60 dias",IF(H180&gt;30,"30 dias","Al Día"))))))</f>
        <v>120 dias</v>
      </c>
      <c r="J180" s="32" t="s">
        <v>80</v>
      </c>
      <c r="K180" s="29" t="s">
        <v>81</v>
      </c>
      <c r="L180" s="33" t="s">
        <v>72</v>
      </c>
      <c r="M180" s="29" t="n">
        <f aca="false">+YEAR(F180)</f>
        <v>2026</v>
      </c>
      <c r="N180" s="29" t="n">
        <v>2025</v>
      </c>
      <c r="O180" s="29" t="n">
        <v>11</v>
      </c>
      <c r="P180" s="29" t="str">
        <f aca="false">+CONCATENATE(Tabla[[#This Row],[MES CAMPAÑA]],"/",Tabla[[#This Row],[AÑO CAMPAÑA]])</f>
        <v>11/2025</v>
      </c>
      <c r="Q180" s="29" t="s">
        <v>82</v>
      </c>
      <c r="R180" s="29" t="s">
        <v>74</v>
      </c>
      <c r="S180" s="34" t="n">
        <v>0</v>
      </c>
      <c r="T180" s="34" t="n">
        <v>1495000</v>
      </c>
      <c r="U180" s="34" t="n">
        <v>284050</v>
      </c>
      <c r="V180" s="29"/>
      <c r="W180" s="35" t="n">
        <v>1779050</v>
      </c>
      <c r="X180" s="36"/>
      <c r="Y180" s="37"/>
      <c r="Z180" s="37"/>
      <c r="AA180" s="37"/>
      <c r="AB180" s="38" t="n">
        <f aca="false">+W180-AC180</f>
        <v>1779050</v>
      </c>
      <c r="AC180" s="34" t="n">
        <f aca="false">+Tabla[[#This Row],[P4]]+Tabla[[#This Row],[P3]]+Tabla[[#This Row],[P2]]+Tabla[[#This Row],[P1]]</f>
        <v>0</v>
      </c>
      <c r="AD180" s="34" t="n">
        <f aca="false">+W180-AC180</f>
        <v>1779050</v>
      </c>
      <c r="AE180" s="21" t="str">
        <f aca="false">IF(AB180&lt;1,"PAGADA","PENDIENTE")</f>
        <v>PENDIENTE</v>
      </c>
      <c r="AF180" s="21"/>
      <c r="AG180" s="29"/>
      <c r="AH180" s="40"/>
      <c r="AI180" s="40" t="n">
        <f aca="false">+IF(Tabla[[#This Row],[FECHA PAGO / ABONO]]&lt;1,0,(MONTH(Tabla[[#This Row],[FECHA PAGO / ABONO]])))</f>
        <v>0</v>
      </c>
      <c r="AJ180" s="40" t="n">
        <f aca="false">+IF(Tabla[[#This Row],[FECHA PAGO / ABONO]]&lt;1,0,(YEAR(Tabla[[#This Row],[FECHA PAGO / ABONO]])))</f>
        <v>0</v>
      </c>
      <c r="AK180" s="41"/>
    </row>
    <row r="181" customFormat="false" ht="14.25" hidden="false" customHeight="false" outlineLevel="0" collapsed="false">
      <c r="A181" s="28" t="s">
        <v>236</v>
      </c>
      <c r="B181" s="29" t="s">
        <v>237</v>
      </c>
      <c r="C181" s="29" t="s">
        <v>69</v>
      </c>
      <c r="D181" s="21" t="n">
        <v>110052</v>
      </c>
      <c r="E181" s="21" t="str">
        <f aca="false">+CONCATENATE(Tabla[[#This Row],[RUT]],Tabla[[#This Row],[PROVEEDOR]],Tabla[[#This Row],[FACTURA]])</f>
        <v>96669520-KRed De Television Chilevision SA110052</v>
      </c>
      <c r="F181" s="30" t="n">
        <v>46050</v>
      </c>
      <c r="G181" s="31" t="n">
        <f aca="false">+F181+30</f>
        <v>46080</v>
      </c>
      <c r="H181" s="29" t="n">
        <f aca="true">+IF(AE181="PAGADA",0,TODAY()-G181)</f>
        <v>124</v>
      </c>
      <c r="I181" s="29" t="str">
        <f aca="false">+IF(H181&gt;180,"Atrasada",IF(H181&gt;150,"150 dias",IF(H181&gt;120,"120 dias",IF(H181&gt;90,"90 dias",IF(H181&gt;60,"60 dias",IF(H181&gt;30,"30 dias","Al Día"))))))</f>
        <v>120 dias</v>
      </c>
      <c r="J181" s="32" t="s">
        <v>80</v>
      </c>
      <c r="K181" s="29" t="s">
        <v>81</v>
      </c>
      <c r="L181" s="33" t="s">
        <v>72</v>
      </c>
      <c r="M181" s="29" t="n">
        <f aca="false">+YEAR(F181)</f>
        <v>2026</v>
      </c>
      <c r="N181" s="29" t="n">
        <v>2025</v>
      </c>
      <c r="O181" s="29" t="n">
        <v>11</v>
      </c>
      <c r="P181" s="29" t="str">
        <f aca="false">+CONCATENATE(Tabla[[#This Row],[MES CAMPAÑA]],"/",Tabla[[#This Row],[AÑO CAMPAÑA]])</f>
        <v>11/2025</v>
      </c>
      <c r="Q181" s="29" t="s">
        <v>82</v>
      </c>
      <c r="R181" s="29" t="s">
        <v>74</v>
      </c>
      <c r="S181" s="34" t="n">
        <v>0</v>
      </c>
      <c r="T181" s="34" t="n">
        <v>3900000</v>
      </c>
      <c r="U181" s="34" t="n">
        <v>741000</v>
      </c>
      <c r="V181" s="29"/>
      <c r="W181" s="35" t="n">
        <v>4641000</v>
      </c>
      <c r="X181" s="36"/>
      <c r="Y181" s="37"/>
      <c r="Z181" s="37"/>
      <c r="AA181" s="37"/>
      <c r="AB181" s="38" t="n">
        <f aca="false">+W181-AC181</f>
        <v>4641000</v>
      </c>
      <c r="AC181" s="34" t="n">
        <f aca="false">+Tabla[[#This Row],[P4]]+Tabla[[#This Row],[P3]]+Tabla[[#This Row],[P2]]+Tabla[[#This Row],[P1]]</f>
        <v>0</v>
      </c>
      <c r="AD181" s="34" t="n">
        <f aca="false">+W181-AC181</f>
        <v>4641000</v>
      </c>
      <c r="AE181" s="21" t="str">
        <f aca="false">IF(AB181&lt;1,"PAGADA","PENDIENTE")</f>
        <v>PENDIENTE</v>
      </c>
      <c r="AF181" s="21"/>
      <c r="AG181" s="29"/>
      <c r="AH181" s="40"/>
      <c r="AI181" s="40" t="n">
        <f aca="false">+IF(Tabla[[#This Row],[FECHA PAGO / ABONO]]&lt;1,0,(MONTH(Tabla[[#This Row],[FECHA PAGO / ABONO]])))</f>
        <v>0</v>
      </c>
      <c r="AJ181" s="40" t="n">
        <f aca="false">+IF(Tabla[[#This Row],[FECHA PAGO / ABONO]]&lt;1,0,(YEAR(Tabla[[#This Row],[FECHA PAGO / ABONO]])))</f>
        <v>0</v>
      </c>
      <c r="AK181" s="41"/>
    </row>
    <row r="182" customFormat="false" ht="14.25" hidden="false" customHeight="false" outlineLevel="0" collapsed="false">
      <c r="A182" s="28" t="s">
        <v>236</v>
      </c>
      <c r="B182" s="29" t="s">
        <v>237</v>
      </c>
      <c r="C182" s="29" t="s">
        <v>69</v>
      </c>
      <c r="D182" s="21" t="n">
        <v>110053</v>
      </c>
      <c r="E182" s="21" t="str">
        <f aca="false">+CONCATENATE(Tabla[[#This Row],[RUT]],Tabla[[#This Row],[PROVEEDOR]],Tabla[[#This Row],[FACTURA]])</f>
        <v>96669520-KRed De Television Chilevision SA110053</v>
      </c>
      <c r="F182" s="30" t="n">
        <v>46050</v>
      </c>
      <c r="G182" s="31" t="n">
        <f aca="false">+F182+30</f>
        <v>46080</v>
      </c>
      <c r="H182" s="29" t="n">
        <f aca="true">+IF(AE182="PAGADA",0,TODAY()-G182)</f>
        <v>124</v>
      </c>
      <c r="I182" s="29" t="str">
        <f aca="false">+IF(H182&gt;180,"Atrasada",IF(H182&gt;150,"150 dias",IF(H182&gt;120,"120 dias",IF(H182&gt;90,"90 dias",IF(H182&gt;60,"60 dias",IF(H182&gt;30,"30 dias","Al Día"))))))</f>
        <v>120 dias</v>
      </c>
      <c r="J182" s="32" t="s">
        <v>80</v>
      </c>
      <c r="K182" s="29" t="s">
        <v>81</v>
      </c>
      <c r="L182" s="33" t="s">
        <v>72</v>
      </c>
      <c r="M182" s="29" t="n">
        <f aca="false">+YEAR(F182)</f>
        <v>2026</v>
      </c>
      <c r="N182" s="29" t="n">
        <v>2025</v>
      </c>
      <c r="O182" s="29" t="n">
        <v>12</v>
      </c>
      <c r="P182" s="29" t="str">
        <f aca="false">+CONCATENATE(Tabla[[#This Row],[MES CAMPAÑA]],"/",Tabla[[#This Row],[AÑO CAMPAÑA]])</f>
        <v>12/2025</v>
      </c>
      <c r="Q182" s="29" t="s">
        <v>82</v>
      </c>
      <c r="R182" s="29" t="s">
        <v>74</v>
      </c>
      <c r="S182" s="34" t="n">
        <v>0</v>
      </c>
      <c r="T182" s="34" t="n">
        <v>3900000</v>
      </c>
      <c r="U182" s="34" t="n">
        <v>741000</v>
      </c>
      <c r="V182" s="29"/>
      <c r="W182" s="35" t="n">
        <v>4641000</v>
      </c>
      <c r="X182" s="36"/>
      <c r="Y182" s="37"/>
      <c r="Z182" s="37"/>
      <c r="AA182" s="37"/>
      <c r="AB182" s="38" t="n">
        <f aca="false">+W182-AC182</f>
        <v>4641000</v>
      </c>
      <c r="AC182" s="34" t="n">
        <f aca="false">+Tabla[[#This Row],[P4]]+Tabla[[#This Row],[P3]]+Tabla[[#This Row],[P2]]+Tabla[[#This Row],[P1]]</f>
        <v>0</v>
      </c>
      <c r="AD182" s="34" t="n">
        <f aca="false">+W182-AC182</f>
        <v>4641000</v>
      </c>
      <c r="AE182" s="21" t="str">
        <f aca="false">IF(AB182&lt;1,"PAGADA","PENDIENTE")</f>
        <v>PENDIENTE</v>
      </c>
      <c r="AF182" s="21"/>
      <c r="AG182" s="29"/>
      <c r="AH182" s="40"/>
      <c r="AI182" s="40" t="n">
        <f aca="false">+IF(Tabla[[#This Row],[FECHA PAGO / ABONO]]&lt;1,0,(MONTH(Tabla[[#This Row],[FECHA PAGO / ABONO]])))</f>
        <v>0</v>
      </c>
      <c r="AJ182" s="40" t="n">
        <f aca="false">+IF(Tabla[[#This Row],[FECHA PAGO / ABONO]]&lt;1,0,(YEAR(Tabla[[#This Row],[FECHA PAGO / ABONO]])))</f>
        <v>0</v>
      </c>
      <c r="AK182" s="41"/>
    </row>
    <row r="183" customFormat="false" ht="14.25" hidden="false" customHeight="false" outlineLevel="0" collapsed="false">
      <c r="A183" s="28" t="s">
        <v>236</v>
      </c>
      <c r="B183" s="29" t="s">
        <v>237</v>
      </c>
      <c r="C183" s="29" t="s">
        <v>69</v>
      </c>
      <c r="D183" s="21" t="n">
        <v>110054</v>
      </c>
      <c r="E183" s="21" t="str">
        <f aca="false">+CONCATENATE(Tabla[[#This Row],[RUT]],Tabla[[#This Row],[PROVEEDOR]],Tabla[[#This Row],[FACTURA]])</f>
        <v>96669520-KRed De Television Chilevision SA110054</v>
      </c>
      <c r="F183" s="30" t="n">
        <v>46050</v>
      </c>
      <c r="G183" s="31" t="n">
        <f aca="false">+F183+30</f>
        <v>46080</v>
      </c>
      <c r="H183" s="29" t="n">
        <f aca="true">+IF(AE183="PAGADA",0,TODAY()-G183)</f>
        <v>124</v>
      </c>
      <c r="I183" s="29" t="str">
        <f aca="false">+IF(H183&gt;180,"Atrasada",IF(H183&gt;150,"150 dias",IF(H183&gt;120,"120 dias",IF(H183&gt;90,"90 dias",IF(H183&gt;60,"60 dias",IF(H183&gt;30,"30 dias","Al Día"))))))</f>
        <v>120 dias</v>
      </c>
      <c r="J183" s="32" t="s">
        <v>80</v>
      </c>
      <c r="K183" s="29" t="s">
        <v>81</v>
      </c>
      <c r="L183" s="33" t="s">
        <v>72</v>
      </c>
      <c r="M183" s="29" t="n">
        <f aca="false">+YEAR(F183)</f>
        <v>2026</v>
      </c>
      <c r="N183" s="29" t="n">
        <v>2025</v>
      </c>
      <c r="O183" s="29" t="n">
        <v>12</v>
      </c>
      <c r="P183" s="29" t="str">
        <f aca="false">+CONCATENATE(Tabla[[#This Row],[MES CAMPAÑA]],"/",Tabla[[#This Row],[AÑO CAMPAÑA]])</f>
        <v>12/2025</v>
      </c>
      <c r="Q183" s="29" t="s">
        <v>82</v>
      </c>
      <c r="R183" s="29" t="s">
        <v>74</v>
      </c>
      <c r="S183" s="34" t="n">
        <v>0</v>
      </c>
      <c r="T183" s="34" t="n">
        <v>79197</v>
      </c>
      <c r="U183" s="34" t="n">
        <v>15047</v>
      </c>
      <c r="V183" s="29"/>
      <c r="W183" s="35" t="n">
        <v>94244</v>
      </c>
      <c r="X183" s="36"/>
      <c r="Y183" s="37"/>
      <c r="Z183" s="37"/>
      <c r="AA183" s="37"/>
      <c r="AB183" s="38" t="n">
        <f aca="false">+W183-AC183</f>
        <v>94244</v>
      </c>
      <c r="AC183" s="34" t="n">
        <f aca="false">+Tabla[[#This Row],[P4]]+Tabla[[#This Row],[P3]]+Tabla[[#This Row],[P2]]+Tabla[[#This Row],[P1]]</f>
        <v>0</v>
      </c>
      <c r="AD183" s="34" t="n">
        <f aca="false">+W183-AC183</f>
        <v>94244</v>
      </c>
      <c r="AE183" s="21" t="str">
        <f aca="false">IF(AB183&lt;1,"PAGADA","PENDIENTE")</f>
        <v>PENDIENTE</v>
      </c>
      <c r="AF183" s="21"/>
      <c r="AG183" s="29"/>
      <c r="AH183" s="40"/>
      <c r="AI183" s="40" t="n">
        <f aca="false">+IF(Tabla[[#This Row],[FECHA PAGO / ABONO]]&lt;1,0,(MONTH(Tabla[[#This Row],[FECHA PAGO / ABONO]])))</f>
        <v>0</v>
      </c>
      <c r="AJ183" s="40" t="n">
        <f aca="false">+IF(Tabla[[#This Row],[FECHA PAGO / ABONO]]&lt;1,0,(YEAR(Tabla[[#This Row],[FECHA PAGO / ABONO]])))</f>
        <v>0</v>
      </c>
      <c r="AK183" s="41"/>
    </row>
    <row r="184" customFormat="false" ht="14.25" hidden="false" customHeight="false" outlineLevel="0" collapsed="false">
      <c r="A184" s="28" t="s">
        <v>236</v>
      </c>
      <c r="B184" s="29" t="s">
        <v>237</v>
      </c>
      <c r="C184" s="29" t="s">
        <v>69</v>
      </c>
      <c r="D184" s="21" t="n">
        <v>110055</v>
      </c>
      <c r="E184" s="21" t="str">
        <f aca="false">+CONCATENATE(Tabla[[#This Row],[RUT]],Tabla[[#This Row],[PROVEEDOR]],Tabla[[#This Row],[FACTURA]])</f>
        <v>96669520-KRed De Television Chilevision SA110055</v>
      </c>
      <c r="F184" s="30" t="n">
        <v>46050</v>
      </c>
      <c r="G184" s="31" t="n">
        <f aca="false">+F184+30</f>
        <v>46080</v>
      </c>
      <c r="H184" s="29" t="n">
        <f aca="true">+IF(AE184="PAGADA",0,TODAY()-G184)</f>
        <v>124</v>
      </c>
      <c r="I184" s="29" t="str">
        <f aca="false">+IF(H184&gt;180,"Atrasada",IF(H184&gt;150,"150 dias",IF(H184&gt;120,"120 dias",IF(H184&gt;90,"90 dias",IF(H184&gt;60,"60 dias",IF(H184&gt;30,"30 dias","Al Día"))))))</f>
        <v>120 dias</v>
      </c>
      <c r="J184" s="32" t="s">
        <v>80</v>
      </c>
      <c r="K184" s="29" t="s">
        <v>81</v>
      </c>
      <c r="L184" s="33" t="s">
        <v>72</v>
      </c>
      <c r="M184" s="29" t="n">
        <f aca="false">+YEAR(F184)</f>
        <v>2026</v>
      </c>
      <c r="N184" s="29" t="n">
        <v>2025</v>
      </c>
      <c r="O184" s="29" t="n">
        <v>12</v>
      </c>
      <c r="P184" s="29" t="str">
        <f aca="false">+CONCATENATE(Tabla[[#This Row],[MES CAMPAÑA]],"/",Tabla[[#This Row],[AÑO CAMPAÑA]])</f>
        <v>12/2025</v>
      </c>
      <c r="Q184" s="29" t="s">
        <v>82</v>
      </c>
      <c r="R184" s="29" t="s">
        <v>74</v>
      </c>
      <c r="S184" s="34" t="n">
        <v>0</v>
      </c>
      <c r="T184" s="34" t="n">
        <v>151250</v>
      </c>
      <c r="U184" s="34" t="n">
        <v>28738</v>
      </c>
      <c r="V184" s="29"/>
      <c r="W184" s="35" t="n">
        <v>179988</v>
      </c>
      <c r="X184" s="36"/>
      <c r="Y184" s="37"/>
      <c r="Z184" s="37"/>
      <c r="AA184" s="37"/>
      <c r="AB184" s="38" t="n">
        <f aca="false">+W184-AC184</f>
        <v>179988</v>
      </c>
      <c r="AC184" s="34" t="n">
        <f aca="false">+Tabla[[#This Row],[P4]]+Tabla[[#This Row],[P3]]+Tabla[[#This Row],[P2]]+Tabla[[#This Row],[P1]]</f>
        <v>0</v>
      </c>
      <c r="AD184" s="34" t="n">
        <f aca="false">+W184-AC184</f>
        <v>179988</v>
      </c>
      <c r="AE184" s="21" t="str">
        <f aca="false">IF(AB184&lt;1,"PAGADA","PENDIENTE")</f>
        <v>PENDIENTE</v>
      </c>
      <c r="AF184" s="21"/>
      <c r="AG184" s="29"/>
      <c r="AH184" s="40"/>
      <c r="AI184" s="40" t="n">
        <f aca="false">+IF(Tabla[[#This Row],[FECHA PAGO / ABONO]]&lt;1,0,(MONTH(Tabla[[#This Row],[FECHA PAGO / ABONO]])))</f>
        <v>0</v>
      </c>
      <c r="AJ184" s="40" t="n">
        <f aca="false">+IF(Tabla[[#This Row],[FECHA PAGO / ABONO]]&lt;1,0,(YEAR(Tabla[[#This Row],[FECHA PAGO / ABONO]])))</f>
        <v>0</v>
      </c>
      <c r="AK184" s="41"/>
    </row>
    <row r="185" customFormat="false" ht="14.25" hidden="false" customHeight="false" outlineLevel="0" collapsed="false">
      <c r="A185" s="28" t="s">
        <v>240</v>
      </c>
      <c r="B185" s="29" t="s">
        <v>241</v>
      </c>
      <c r="C185" s="29" t="s">
        <v>69</v>
      </c>
      <c r="D185" s="21" t="n">
        <v>54563845</v>
      </c>
      <c r="E185" s="21" t="str">
        <f aca="false">+CONCATENATE(Tabla[[#This Row],[RUT]],Tabla[[#This Row],[PROVEEDOR]],Tabla[[#This Row],[FACTURA]])</f>
        <v>97036000-KSantander - Chile54563845</v>
      </c>
      <c r="F185" s="30" t="n">
        <v>46050</v>
      </c>
      <c r="G185" s="31" t="n">
        <f aca="false">+F185+30</f>
        <v>46080</v>
      </c>
      <c r="H185" s="29" t="n">
        <f aca="true">+IF(AE185="PAGADA",0,TODAY()-G185)</f>
        <v>0</v>
      </c>
      <c r="I185" s="29" t="str">
        <f aca="false">+IF(H185&gt;180,"Atrasada",IF(H185&gt;150,"150 dias",IF(H185&gt;120,"120 dias",IF(H185&gt;90,"90 dias",IF(H185&gt;60,"60 dias",IF(H185&gt;30,"30 dias","Al Día"))))))</f>
        <v>Al Día</v>
      </c>
      <c r="J185" s="32" t="s">
        <v>31</v>
      </c>
      <c r="K185" s="29" t="s">
        <v>71</v>
      </c>
      <c r="L185" s="33" t="s">
        <v>72</v>
      </c>
      <c r="M185" s="29" t="n">
        <f aca="false">+YEAR(F185)</f>
        <v>2026</v>
      </c>
      <c r="N185" s="29" t="n">
        <v>2026</v>
      </c>
      <c r="O185" s="29" t="n">
        <v>1</v>
      </c>
      <c r="P185" s="29" t="str">
        <f aca="false">+CONCATENATE(Tabla[[#This Row],[MES CAMPAÑA]],"/",Tabla[[#This Row],[AÑO CAMPAÑA]])</f>
        <v>1/2026</v>
      </c>
      <c r="Q185" s="29" t="s">
        <v>73</v>
      </c>
      <c r="R185" s="29" t="s">
        <v>74</v>
      </c>
      <c r="S185" s="34" t="n">
        <v>0</v>
      </c>
      <c r="T185" s="34" t="n">
        <v>20203</v>
      </c>
      <c r="U185" s="34" t="n">
        <v>3838</v>
      </c>
      <c r="V185" s="29"/>
      <c r="W185" s="35" t="n">
        <v>24041</v>
      </c>
      <c r="X185" s="36" t="n">
        <f aca="false">+Tabla[[#This Row],[TOTAL]]</f>
        <v>24041</v>
      </c>
      <c r="Y185" s="37"/>
      <c r="Z185" s="37"/>
      <c r="AA185" s="37"/>
      <c r="AB185" s="38" t="n">
        <f aca="false">+W185-AC185</f>
        <v>0</v>
      </c>
      <c r="AC185" s="34" t="n">
        <f aca="false">+Tabla[[#This Row],[P4]]+Tabla[[#This Row],[P3]]+Tabla[[#This Row],[P2]]+Tabla[[#This Row],[P1]]</f>
        <v>24041</v>
      </c>
      <c r="AD185" s="34" t="n">
        <f aca="false">+W185-AC185</f>
        <v>0</v>
      </c>
      <c r="AE185" s="21" t="str">
        <f aca="false">IF(AB185&lt;1,"PAGADA","PENDIENTE")</f>
        <v>PAGADA</v>
      </c>
      <c r="AF185" s="21"/>
      <c r="AG185" s="29"/>
      <c r="AH185" s="40"/>
      <c r="AI185" s="40" t="n">
        <f aca="false">+IF(Tabla[[#This Row],[FECHA PAGO / ABONO]]&lt;1,0,(MONTH(Tabla[[#This Row],[FECHA PAGO / ABONO]])))</f>
        <v>0</v>
      </c>
      <c r="AJ185" s="40" t="n">
        <f aca="false">+IF(Tabla[[#This Row],[FECHA PAGO / ABONO]]&lt;1,0,(YEAR(Tabla[[#This Row],[FECHA PAGO / ABONO]])))</f>
        <v>0</v>
      </c>
      <c r="AK185" s="41"/>
    </row>
    <row r="186" customFormat="false" ht="14.25" hidden="false" customHeight="false" outlineLevel="0" collapsed="false">
      <c r="A186" s="28" t="s">
        <v>240</v>
      </c>
      <c r="B186" s="29" t="s">
        <v>241</v>
      </c>
      <c r="C186" s="29" t="s">
        <v>229</v>
      </c>
      <c r="D186" s="21" t="n">
        <v>14635580</v>
      </c>
      <c r="E186" s="21" t="str">
        <f aca="false">+CONCATENATE(Tabla[[#This Row],[RUT]],Tabla[[#This Row],[PROVEEDOR]],Tabla[[#This Row],[FACTURA]])</f>
        <v>97036000-KSantander - Chile14635580</v>
      </c>
      <c r="F186" s="30" t="n">
        <v>46050</v>
      </c>
      <c r="G186" s="31" t="n">
        <f aca="false">+F186+30</f>
        <v>46080</v>
      </c>
      <c r="H186" s="29" t="n">
        <f aca="true">+IF(AE186="PAGADA",0,TODAY()-G186)</f>
        <v>0</v>
      </c>
      <c r="I186" s="29" t="str">
        <f aca="false">+IF(H186&gt;180,"Atrasada",IF(H186&gt;150,"150 dias",IF(H186&gt;120,"120 dias",IF(H186&gt;90,"90 dias",IF(H186&gt;60,"60 dias",IF(H186&gt;30,"30 dias","Al Día"))))))</f>
        <v>Al Día</v>
      </c>
      <c r="J186" s="32" t="s">
        <v>31</v>
      </c>
      <c r="K186" s="29" t="s">
        <v>71</v>
      </c>
      <c r="L186" s="33" t="s">
        <v>72</v>
      </c>
      <c r="M186" s="29" t="n">
        <f aca="false">+YEAR(F186)</f>
        <v>2026</v>
      </c>
      <c r="N186" s="29" t="n">
        <v>2026</v>
      </c>
      <c r="O186" s="29" t="n">
        <v>1</v>
      </c>
      <c r="P186" s="29" t="str">
        <f aca="false">+CONCATENATE(Tabla[[#This Row],[MES CAMPAÑA]],"/",Tabla[[#This Row],[AÑO CAMPAÑA]])</f>
        <v>1/2026</v>
      </c>
      <c r="Q186" s="29" t="s">
        <v>73</v>
      </c>
      <c r="R186" s="29" t="s">
        <v>74</v>
      </c>
      <c r="S186" s="34" t="n">
        <v>11313</v>
      </c>
      <c r="T186" s="34" t="n">
        <v>0</v>
      </c>
      <c r="U186" s="34" t="n">
        <v>0</v>
      </c>
      <c r="V186" s="29"/>
      <c r="W186" s="35" t="n">
        <v>11313</v>
      </c>
      <c r="X186" s="36" t="n">
        <f aca="false">+Tabla[[#This Row],[TOTAL]]</f>
        <v>11313</v>
      </c>
      <c r="Y186" s="37"/>
      <c r="Z186" s="37"/>
      <c r="AA186" s="37"/>
      <c r="AB186" s="38" t="n">
        <f aca="false">+W186-AC186</f>
        <v>0</v>
      </c>
      <c r="AC186" s="34" t="n">
        <f aca="false">+Tabla[[#This Row],[P4]]+Tabla[[#This Row],[P3]]+Tabla[[#This Row],[P2]]+Tabla[[#This Row],[P1]]</f>
        <v>11313</v>
      </c>
      <c r="AD186" s="34" t="n">
        <f aca="false">+W186-AC186</f>
        <v>0</v>
      </c>
      <c r="AE186" s="21" t="str">
        <f aca="false">IF(AB186&lt;1,"PAGADA","PENDIENTE")</f>
        <v>PAGADA</v>
      </c>
      <c r="AF186" s="21"/>
      <c r="AG186" s="29"/>
      <c r="AH186" s="40"/>
      <c r="AI186" s="40" t="n">
        <f aca="false">+IF(Tabla[[#This Row],[FECHA PAGO / ABONO]]&lt;1,0,(MONTH(Tabla[[#This Row],[FECHA PAGO / ABONO]])))</f>
        <v>0</v>
      </c>
      <c r="AJ186" s="40" t="n">
        <f aca="false">+IF(Tabla[[#This Row],[FECHA PAGO / ABONO]]&lt;1,0,(YEAR(Tabla[[#This Row],[FECHA PAGO / ABONO]])))</f>
        <v>0</v>
      </c>
      <c r="AK186" s="41"/>
    </row>
    <row r="187" customFormat="false" ht="14.25" hidden="false" customHeight="false" outlineLevel="0" collapsed="false">
      <c r="A187" s="28" t="s">
        <v>242</v>
      </c>
      <c r="B187" s="29" t="s">
        <v>243</v>
      </c>
      <c r="C187" s="29" t="s">
        <v>69</v>
      </c>
      <c r="D187" s="21" t="n">
        <v>15716520</v>
      </c>
      <c r="E187" s="21" t="str">
        <f aca="false">+CONCATENATE(Tabla[[#This Row],[RUT]],Tabla[[#This Row],[PROVEEDOR]],Tabla[[#This Row],[FACTURA]])</f>
        <v>90193000-7Empresa El Mercurio S.A.P.15716520</v>
      </c>
      <c r="F187" s="30" t="n">
        <v>46051</v>
      </c>
      <c r="G187" s="31" t="n">
        <f aca="false">+F187+30</f>
        <v>46081</v>
      </c>
      <c r="H187" s="29" t="n">
        <f aca="true">+IF(AE187="PAGADA",0,TODAY()-G187)</f>
        <v>0</v>
      </c>
      <c r="I187" s="29" t="str">
        <f aca="false">+IF(H187&gt;180,"Atrasada",IF(H187&gt;150,"150 dias",IF(H187&gt;120,"120 dias",IF(H187&gt;90,"90 dias",IF(H187&gt;60,"60 dias",IF(H187&gt;30,"30 dias","Al Día"))))))</f>
        <v>Al Día</v>
      </c>
      <c r="J187" s="32" t="s">
        <v>80</v>
      </c>
      <c r="K187" s="29" t="s">
        <v>81</v>
      </c>
      <c r="L187" s="33" t="s">
        <v>72</v>
      </c>
      <c r="M187" s="29" t="n">
        <f aca="false">+YEAR(F187)</f>
        <v>2026</v>
      </c>
      <c r="N187" s="29" t="n">
        <v>2025</v>
      </c>
      <c r="O187" s="29" t="n">
        <v>12</v>
      </c>
      <c r="P187" s="29" t="str">
        <f aca="false">+CONCATENATE(Tabla[[#This Row],[MES CAMPAÑA]],"/",Tabla[[#This Row],[AÑO CAMPAÑA]])</f>
        <v>12/2025</v>
      </c>
      <c r="Q187" s="29" t="s">
        <v>244</v>
      </c>
      <c r="R187" s="29" t="s">
        <v>74</v>
      </c>
      <c r="S187" s="34" t="n">
        <v>0</v>
      </c>
      <c r="T187" s="34" t="n">
        <v>1900000</v>
      </c>
      <c r="U187" s="34" t="n">
        <v>361000</v>
      </c>
      <c r="V187" s="29"/>
      <c r="W187" s="35" t="n">
        <v>2261000</v>
      </c>
      <c r="X187" s="36"/>
      <c r="Y187" s="37"/>
      <c r="Z187" s="37"/>
      <c r="AA187" s="37"/>
      <c r="AB187" s="38" t="n">
        <f aca="false">+W187-AC187</f>
        <v>2261000</v>
      </c>
      <c r="AC187" s="34" t="n">
        <f aca="false">+Tabla[[#This Row],[P4]]+Tabla[[#This Row],[P3]]+Tabla[[#This Row],[P2]]+Tabla[[#This Row],[P1]]</f>
        <v>0</v>
      </c>
      <c r="AD187" s="34" t="n">
        <f aca="false">+W187-AC187</f>
        <v>2261000</v>
      </c>
      <c r="AE187" s="21" t="s">
        <v>245</v>
      </c>
      <c r="AF187" s="21" t="s">
        <v>246</v>
      </c>
      <c r="AG187" s="29" t="s">
        <v>77</v>
      </c>
      <c r="AH187" s="39" t="n">
        <v>46121</v>
      </c>
      <c r="AI187" s="40" t="n">
        <f aca="false">+IF(Tabla[[#This Row],[FECHA PAGO / ABONO]]&lt;1,0,(MONTH(Tabla[[#This Row],[FECHA PAGO / ABONO]])))</f>
        <v>4</v>
      </c>
      <c r="AJ187" s="40" t="n">
        <f aca="false">+IF(Tabla[[#This Row],[FECHA PAGO / ABONO]]&lt;1,0,(YEAR(Tabla[[#This Row],[FECHA PAGO / ABONO]])))</f>
        <v>2026</v>
      </c>
      <c r="AK187" s="41"/>
    </row>
    <row r="188" customFormat="false" ht="14.25" hidden="false" customHeight="false" outlineLevel="0" collapsed="false">
      <c r="A188" s="28" t="s">
        <v>242</v>
      </c>
      <c r="B188" s="29" t="s">
        <v>243</v>
      </c>
      <c r="C188" s="29" t="s">
        <v>69</v>
      </c>
      <c r="D188" s="21" t="n">
        <v>15716519</v>
      </c>
      <c r="E188" s="21" t="str">
        <f aca="false">+CONCATENATE(Tabla[[#This Row],[RUT]],Tabla[[#This Row],[PROVEEDOR]],Tabla[[#This Row],[FACTURA]])</f>
        <v>90193000-7Empresa El Mercurio S.A.P.15716519</v>
      </c>
      <c r="F188" s="30" t="n">
        <v>46051</v>
      </c>
      <c r="G188" s="31" t="n">
        <f aca="false">+F188+30</f>
        <v>46081</v>
      </c>
      <c r="H188" s="29" t="n">
        <f aca="true">+IF(AE188="PAGADA",0,TODAY()-G188)</f>
        <v>123</v>
      </c>
      <c r="I188" s="29" t="str">
        <f aca="false">+IF(H188&gt;180,"Atrasada",IF(H188&gt;150,"150 dias",IF(H188&gt;120,"120 dias",IF(H188&gt;90,"90 dias",IF(H188&gt;60,"60 dias",IF(H188&gt;30,"30 dias","Al Día"))))))</f>
        <v>120 dias</v>
      </c>
      <c r="J188" s="32" t="s">
        <v>80</v>
      </c>
      <c r="K188" s="29" t="s">
        <v>81</v>
      </c>
      <c r="L188" s="33" t="s">
        <v>72</v>
      </c>
      <c r="M188" s="29" t="n">
        <f aca="false">+YEAR(F188)</f>
        <v>2026</v>
      </c>
      <c r="N188" s="29" t="n">
        <v>2025</v>
      </c>
      <c r="O188" s="29" t="n">
        <v>12</v>
      </c>
      <c r="P188" s="29" t="str">
        <f aca="false">+CONCATENATE(Tabla[[#This Row],[MES CAMPAÑA]],"/",Tabla[[#This Row],[AÑO CAMPAÑA]])</f>
        <v>12/2025</v>
      </c>
      <c r="Q188" s="29" t="s">
        <v>247</v>
      </c>
      <c r="R188" s="29" t="s">
        <v>74</v>
      </c>
      <c r="S188" s="34" t="n">
        <v>0</v>
      </c>
      <c r="T188" s="34" t="n">
        <v>1424850</v>
      </c>
      <c r="U188" s="34" t="n">
        <v>270722</v>
      </c>
      <c r="V188" s="29"/>
      <c r="W188" s="35" t="n">
        <v>1695572</v>
      </c>
      <c r="X188" s="36"/>
      <c r="Y188" s="37"/>
      <c r="Z188" s="37"/>
      <c r="AA188" s="37"/>
      <c r="AB188" s="38" t="n">
        <f aca="false">+W188-AC188</f>
        <v>1695572</v>
      </c>
      <c r="AC188" s="34" t="n">
        <f aca="false">+Tabla[[#This Row],[P4]]+Tabla[[#This Row],[P3]]+Tabla[[#This Row],[P2]]+Tabla[[#This Row],[P1]]</f>
        <v>0</v>
      </c>
      <c r="AD188" s="34" t="n">
        <f aca="false">+W188-AC188</f>
        <v>1695572</v>
      </c>
      <c r="AE188" s="21" t="str">
        <f aca="false">IF(AB188&lt;1,"PAGADA","PENDIENTE")</f>
        <v>PENDIENTE</v>
      </c>
      <c r="AF188" s="21"/>
      <c r="AG188" s="29"/>
      <c r="AH188" s="40"/>
      <c r="AI188" s="40" t="n">
        <f aca="false">+IF(Tabla[[#This Row],[FECHA PAGO / ABONO]]&lt;1,0,(MONTH(Tabla[[#This Row],[FECHA PAGO / ABONO]])))</f>
        <v>0</v>
      </c>
      <c r="AJ188" s="40" t="n">
        <f aca="false">+IF(Tabla[[#This Row],[FECHA PAGO / ABONO]]&lt;1,0,(YEAR(Tabla[[#This Row],[FECHA PAGO / ABONO]])))</f>
        <v>0</v>
      </c>
      <c r="AK188" s="41"/>
    </row>
    <row r="189" customFormat="false" ht="14.25" hidden="false" customHeight="false" outlineLevel="0" collapsed="false">
      <c r="A189" s="28" t="s">
        <v>177</v>
      </c>
      <c r="B189" s="29" t="s">
        <v>178</v>
      </c>
      <c r="C189" s="29" t="s">
        <v>69</v>
      </c>
      <c r="D189" s="21" t="n">
        <v>37603</v>
      </c>
      <c r="E189" s="21" t="str">
        <f aca="false">+CONCATENATE(Tabla[[#This Row],[RUT]],Tabla[[#This Row],[PROVEEDOR]],Tabla[[#This Row],[FACTURA]])</f>
        <v>84383200-8GLOBAL MEDIA SPA37603</v>
      </c>
      <c r="F189" s="30" t="n">
        <v>46051</v>
      </c>
      <c r="G189" s="31" t="n">
        <f aca="false">+F189+30</f>
        <v>46081</v>
      </c>
      <c r="H189" s="29" t="n">
        <f aca="true">+IF(AE189="PAGADA",0,TODAY()-G189)</f>
        <v>123</v>
      </c>
      <c r="I189" s="29" t="str">
        <f aca="false">+IF(H189&gt;180,"Atrasada",IF(H189&gt;150,"150 dias",IF(H189&gt;120,"120 dias",IF(H189&gt;90,"90 dias",IF(H189&gt;60,"60 dias",IF(H189&gt;30,"30 dias","Al Día"))))))</f>
        <v>120 dias</v>
      </c>
      <c r="J189" s="32" t="s">
        <v>80</v>
      </c>
      <c r="K189" s="29" t="s">
        <v>81</v>
      </c>
      <c r="L189" s="33" t="s">
        <v>72</v>
      </c>
      <c r="M189" s="29" t="n">
        <f aca="false">+YEAR(F189)</f>
        <v>2026</v>
      </c>
      <c r="N189" s="29" t="n">
        <v>2025</v>
      </c>
      <c r="O189" s="29" t="n">
        <v>12</v>
      </c>
      <c r="P189" s="29" t="str">
        <f aca="false">+CONCATENATE(Tabla[[#This Row],[MES CAMPAÑA]],"/",Tabla[[#This Row],[AÑO CAMPAÑA]])</f>
        <v>12/2025</v>
      </c>
      <c r="Q189" s="29" t="s">
        <v>97</v>
      </c>
      <c r="R189" s="29" t="s">
        <v>74</v>
      </c>
      <c r="S189" s="34" t="n">
        <v>0</v>
      </c>
      <c r="T189" s="34" t="n">
        <v>2307692</v>
      </c>
      <c r="U189" s="34" t="n">
        <v>438461</v>
      </c>
      <c r="V189" s="29"/>
      <c r="W189" s="35" t="n">
        <v>2746153</v>
      </c>
      <c r="X189" s="36"/>
      <c r="Y189" s="37"/>
      <c r="Z189" s="37"/>
      <c r="AA189" s="37"/>
      <c r="AB189" s="38" t="n">
        <f aca="false">+W189-AC189</f>
        <v>2746153</v>
      </c>
      <c r="AC189" s="34" t="n">
        <f aca="false">+Tabla[[#This Row],[P4]]+Tabla[[#This Row],[P3]]+Tabla[[#This Row],[P2]]+Tabla[[#This Row],[P1]]</f>
        <v>0</v>
      </c>
      <c r="AD189" s="34" t="n">
        <f aca="false">+W189-AC189</f>
        <v>2746153</v>
      </c>
      <c r="AE189" s="21" t="str">
        <f aca="false">IF(AB189&lt;1,"PAGADA","PENDIENTE")</f>
        <v>PENDIENTE</v>
      </c>
      <c r="AF189" s="21"/>
      <c r="AG189" s="29"/>
      <c r="AH189" s="40"/>
      <c r="AI189" s="40" t="n">
        <f aca="false">+IF(Tabla[[#This Row],[FECHA PAGO / ABONO]]&lt;1,0,(MONTH(Tabla[[#This Row],[FECHA PAGO / ABONO]])))</f>
        <v>0</v>
      </c>
      <c r="AJ189" s="40" t="n">
        <f aca="false">+IF(Tabla[[#This Row],[FECHA PAGO / ABONO]]&lt;1,0,(YEAR(Tabla[[#This Row],[FECHA PAGO / ABONO]])))</f>
        <v>0</v>
      </c>
      <c r="AK189" s="41"/>
    </row>
    <row r="190" customFormat="false" ht="14.25" hidden="false" customHeight="false" outlineLevel="0" collapsed="false">
      <c r="A190" s="28" t="s">
        <v>177</v>
      </c>
      <c r="B190" s="29" t="s">
        <v>178</v>
      </c>
      <c r="C190" s="29" t="s">
        <v>69</v>
      </c>
      <c r="D190" s="21" t="n">
        <v>37604</v>
      </c>
      <c r="E190" s="21" t="str">
        <f aca="false">+CONCATENATE(Tabla[[#This Row],[RUT]],Tabla[[#This Row],[PROVEEDOR]],Tabla[[#This Row],[FACTURA]])</f>
        <v>84383200-8GLOBAL MEDIA SPA37604</v>
      </c>
      <c r="F190" s="30" t="n">
        <v>46051</v>
      </c>
      <c r="G190" s="31" t="n">
        <f aca="false">+F190+30</f>
        <v>46081</v>
      </c>
      <c r="H190" s="29" t="n">
        <f aca="true">+IF(AE190="PAGADA",0,TODAY()-G190)</f>
        <v>123</v>
      </c>
      <c r="I190" s="29" t="str">
        <f aca="false">+IF(H190&gt;180,"Atrasada",IF(H190&gt;150,"150 dias",IF(H190&gt;120,"120 dias",IF(H190&gt;90,"90 dias",IF(H190&gt;60,"60 dias",IF(H190&gt;30,"30 dias","Al Día"))))))</f>
        <v>120 dias</v>
      </c>
      <c r="J190" s="32" t="s">
        <v>80</v>
      </c>
      <c r="K190" s="29" t="s">
        <v>81</v>
      </c>
      <c r="L190" s="33" t="s">
        <v>72</v>
      </c>
      <c r="M190" s="29" t="n">
        <f aca="false">+YEAR(F190)</f>
        <v>2026</v>
      </c>
      <c r="N190" s="29" t="n">
        <v>2025</v>
      </c>
      <c r="O190" s="29" t="n">
        <v>11</v>
      </c>
      <c r="P190" s="29" t="str">
        <f aca="false">+CONCATENATE(Tabla[[#This Row],[MES CAMPAÑA]],"/",Tabla[[#This Row],[AÑO CAMPAÑA]])</f>
        <v>11/2025</v>
      </c>
      <c r="Q190" s="29" t="s">
        <v>92</v>
      </c>
      <c r="R190" s="29" t="s">
        <v>74</v>
      </c>
      <c r="S190" s="34" t="n">
        <v>0</v>
      </c>
      <c r="T190" s="34" t="n">
        <v>600000</v>
      </c>
      <c r="U190" s="34" t="n">
        <v>114000</v>
      </c>
      <c r="V190" s="29"/>
      <c r="W190" s="35" t="n">
        <v>714000</v>
      </c>
      <c r="X190" s="36"/>
      <c r="Y190" s="37"/>
      <c r="Z190" s="37"/>
      <c r="AA190" s="37"/>
      <c r="AB190" s="38" t="n">
        <f aca="false">+W190-AC190</f>
        <v>714000</v>
      </c>
      <c r="AC190" s="34" t="n">
        <f aca="false">+Tabla[[#This Row],[P4]]+Tabla[[#This Row],[P3]]+Tabla[[#This Row],[P2]]+Tabla[[#This Row],[P1]]</f>
        <v>0</v>
      </c>
      <c r="AD190" s="34" t="n">
        <f aca="false">+W190-AC190</f>
        <v>714000</v>
      </c>
      <c r="AE190" s="21" t="str">
        <f aca="false">IF(AB190&lt;1,"PAGADA","PENDIENTE")</f>
        <v>PENDIENTE</v>
      </c>
      <c r="AF190" s="21"/>
      <c r="AG190" s="29"/>
      <c r="AH190" s="40"/>
      <c r="AI190" s="40" t="n">
        <f aca="false">+IF(Tabla[[#This Row],[FECHA PAGO / ABONO]]&lt;1,0,(MONTH(Tabla[[#This Row],[FECHA PAGO / ABONO]])))</f>
        <v>0</v>
      </c>
      <c r="AJ190" s="40" t="n">
        <f aca="false">+IF(Tabla[[#This Row],[FECHA PAGO / ABONO]]&lt;1,0,(YEAR(Tabla[[#This Row],[FECHA PAGO / ABONO]])))</f>
        <v>0</v>
      </c>
      <c r="AK190" s="41"/>
    </row>
    <row r="191" customFormat="false" ht="14.25" hidden="false" customHeight="false" outlineLevel="0" collapsed="false">
      <c r="A191" s="28" t="s">
        <v>177</v>
      </c>
      <c r="B191" s="29" t="s">
        <v>178</v>
      </c>
      <c r="C191" s="29" t="s">
        <v>69</v>
      </c>
      <c r="D191" s="21" t="n">
        <v>37606</v>
      </c>
      <c r="E191" s="21" t="str">
        <f aca="false">+CONCATENATE(Tabla[[#This Row],[RUT]],Tabla[[#This Row],[PROVEEDOR]],Tabla[[#This Row],[FACTURA]])</f>
        <v>84383200-8GLOBAL MEDIA SPA37606</v>
      </c>
      <c r="F191" s="30" t="n">
        <v>46051</v>
      </c>
      <c r="G191" s="31" t="n">
        <f aca="false">+F191+30</f>
        <v>46081</v>
      </c>
      <c r="H191" s="29" t="n">
        <f aca="true">+IF(AE191="PAGADA",0,TODAY()-G191)</f>
        <v>123</v>
      </c>
      <c r="I191" s="29" t="str">
        <f aca="false">+IF(H191&gt;180,"Atrasada",IF(H191&gt;150,"150 dias",IF(H191&gt;120,"120 dias",IF(H191&gt;90,"90 dias",IF(H191&gt;60,"60 dias",IF(H191&gt;30,"30 dias","Al Día"))))))</f>
        <v>120 dias</v>
      </c>
      <c r="J191" s="32" t="s">
        <v>80</v>
      </c>
      <c r="K191" s="29" t="s">
        <v>81</v>
      </c>
      <c r="L191" s="33" t="s">
        <v>72</v>
      </c>
      <c r="M191" s="29" t="n">
        <f aca="false">+YEAR(F191)</f>
        <v>2026</v>
      </c>
      <c r="N191" s="29" t="n">
        <v>2025</v>
      </c>
      <c r="O191" s="29" t="n">
        <v>12</v>
      </c>
      <c r="P191" s="29" t="str">
        <f aca="false">+CONCATENATE(Tabla[[#This Row],[MES CAMPAÑA]],"/",Tabla[[#This Row],[AÑO CAMPAÑA]])</f>
        <v>12/2025</v>
      </c>
      <c r="Q191" s="29" t="s">
        <v>130</v>
      </c>
      <c r="R191" s="29" t="s">
        <v>74</v>
      </c>
      <c r="S191" s="34" t="n">
        <v>0</v>
      </c>
      <c r="T191" s="34" t="n">
        <v>800000</v>
      </c>
      <c r="U191" s="34" t="n">
        <v>152000</v>
      </c>
      <c r="V191" s="29"/>
      <c r="W191" s="35" t="n">
        <v>952000</v>
      </c>
      <c r="X191" s="36"/>
      <c r="Y191" s="37"/>
      <c r="Z191" s="37"/>
      <c r="AA191" s="37"/>
      <c r="AB191" s="38" t="n">
        <f aca="false">+W191-AC191</f>
        <v>952000</v>
      </c>
      <c r="AC191" s="34" t="n">
        <f aca="false">+Tabla[[#This Row],[P4]]+Tabla[[#This Row],[P3]]+Tabla[[#This Row],[P2]]+Tabla[[#This Row],[P1]]</f>
        <v>0</v>
      </c>
      <c r="AD191" s="34" t="n">
        <f aca="false">+W191-AC191</f>
        <v>952000</v>
      </c>
      <c r="AE191" s="21" t="str">
        <f aca="false">IF(AB191&lt;1,"PAGADA","PENDIENTE")</f>
        <v>PENDIENTE</v>
      </c>
      <c r="AF191" s="21"/>
      <c r="AG191" s="29"/>
      <c r="AH191" s="40"/>
      <c r="AI191" s="40" t="n">
        <f aca="false">+IF(Tabla[[#This Row],[FECHA PAGO / ABONO]]&lt;1,0,(MONTH(Tabla[[#This Row],[FECHA PAGO / ABONO]])))</f>
        <v>0</v>
      </c>
      <c r="AJ191" s="40" t="n">
        <f aca="false">+IF(Tabla[[#This Row],[FECHA PAGO / ABONO]]&lt;1,0,(YEAR(Tabla[[#This Row],[FECHA PAGO / ABONO]])))</f>
        <v>0</v>
      </c>
      <c r="AK191" s="41"/>
    </row>
    <row r="192" customFormat="false" ht="14.25" hidden="false" customHeight="false" outlineLevel="0" collapsed="false">
      <c r="A192" s="28" t="s">
        <v>177</v>
      </c>
      <c r="B192" s="29" t="s">
        <v>178</v>
      </c>
      <c r="C192" s="29" t="s">
        <v>69</v>
      </c>
      <c r="D192" s="21" t="n">
        <v>37607</v>
      </c>
      <c r="E192" s="21" t="str">
        <f aca="false">+CONCATENATE(Tabla[[#This Row],[RUT]],Tabla[[#This Row],[PROVEEDOR]],Tabla[[#This Row],[FACTURA]])</f>
        <v>84383200-8GLOBAL MEDIA SPA37607</v>
      </c>
      <c r="F192" s="30" t="n">
        <v>46051</v>
      </c>
      <c r="G192" s="31" t="n">
        <f aca="false">+F192+30</f>
        <v>46081</v>
      </c>
      <c r="H192" s="29" t="n">
        <f aca="true">+IF(AE192="PAGADA",0,TODAY()-G192)</f>
        <v>123</v>
      </c>
      <c r="I192" s="29" t="str">
        <f aca="false">+IF(H192&gt;180,"Atrasada",IF(H192&gt;150,"150 dias",IF(H192&gt;120,"120 dias",IF(H192&gt;90,"90 dias",IF(H192&gt;60,"60 dias",IF(H192&gt;30,"30 dias","Al Día"))))))</f>
        <v>120 dias</v>
      </c>
      <c r="J192" s="32" t="s">
        <v>80</v>
      </c>
      <c r="K192" s="29" t="s">
        <v>81</v>
      </c>
      <c r="L192" s="33" t="s">
        <v>72</v>
      </c>
      <c r="M192" s="29" t="n">
        <f aca="false">+YEAR(F192)</f>
        <v>2026</v>
      </c>
      <c r="N192" s="29" t="n">
        <v>2025</v>
      </c>
      <c r="O192" s="29" t="n">
        <v>12</v>
      </c>
      <c r="P192" s="29" t="str">
        <f aca="false">+CONCATENATE(Tabla[[#This Row],[MES CAMPAÑA]],"/",Tabla[[#This Row],[AÑO CAMPAÑA]])</f>
        <v>12/2025</v>
      </c>
      <c r="Q192" s="29" t="s">
        <v>130</v>
      </c>
      <c r="R192" s="29" t="s">
        <v>74</v>
      </c>
      <c r="S192" s="34" t="n">
        <v>0</v>
      </c>
      <c r="T192" s="34" t="n">
        <v>324500</v>
      </c>
      <c r="U192" s="34" t="n">
        <v>61655</v>
      </c>
      <c r="V192" s="29"/>
      <c r="W192" s="35" t="n">
        <v>386155</v>
      </c>
      <c r="X192" s="36"/>
      <c r="Y192" s="37"/>
      <c r="Z192" s="37"/>
      <c r="AA192" s="37"/>
      <c r="AB192" s="38" t="n">
        <f aca="false">+W192-AC192</f>
        <v>386155</v>
      </c>
      <c r="AC192" s="34" t="n">
        <f aca="false">+Tabla[[#This Row],[P4]]+Tabla[[#This Row],[P3]]+Tabla[[#This Row],[P2]]+Tabla[[#This Row],[P1]]</f>
        <v>0</v>
      </c>
      <c r="AD192" s="34" t="n">
        <f aca="false">+W192-AC192</f>
        <v>386155</v>
      </c>
      <c r="AE192" s="21" t="str">
        <f aca="false">IF(AB192&lt;1,"PAGADA","PENDIENTE")</f>
        <v>PENDIENTE</v>
      </c>
      <c r="AF192" s="21"/>
      <c r="AG192" s="29"/>
      <c r="AH192" s="40"/>
      <c r="AI192" s="40" t="n">
        <f aca="false">+IF(Tabla[[#This Row],[FECHA PAGO / ABONO]]&lt;1,0,(MONTH(Tabla[[#This Row],[FECHA PAGO / ABONO]])))</f>
        <v>0</v>
      </c>
      <c r="AJ192" s="40" t="n">
        <f aca="false">+IF(Tabla[[#This Row],[FECHA PAGO / ABONO]]&lt;1,0,(YEAR(Tabla[[#This Row],[FECHA PAGO / ABONO]])))</f>
        <v>0</v>
      </c>
      <c r="AK192" s="41"/>
    </row>
    <row r="193" customFormat="false" ht="14.25" hidden="false" customHeight="false" outlineLevel="0" collapsed="false">
      <c r="A193" s="28" t="s">
        <v>177</v>
      </c>
      <c r="B193" s="29" t="s">
        <v>178</v>
      </c>
      <c r="C193" s="29" t="s">
        <v>69</v>
      </c>
      <c r="D193" s="21" t="n">
        <v>37608</v>
      </c>
      <c r="E193" s="21" t="str">
        <f aca="false">+CONCATENATE(Tabla[[#This Row],[RUT]],Tabla[[#This Row],[PROVEEDOR]],Tabla[[#This Row],[FACTURA]])</f>
        <v>84383200-8GLOBAL MEDIA SPA37608</v>
      </c>
      <c r="F193" s="30" t="n">
        <v>46051</v>
      </c>
      <c r="G193" s="31" t="n">
        <f aca="false">+F193+30</f>
        <v>46081</v>
      </c>
      <c r="H193" s="29" t="n">
        <f aca="true">+IF(AE193="PAGADA",0,TODAY()-G193)</f>
        <v>123</v>
      </c>
      <c r="I193" s="29" t="str">
        <f aca="false">+IF(H193&gt;180,"Atrasada",IF(H193&gt;150,"150 dias",IF(H193&gt;120,"120 dias",IF(H193&gt;90,"90 dias",IF(H193&gt;60,"60 dias",IF(H193&gt;30,"30 dias","Al Día"))))))</f>
        <v>120 dias</v>
      </c>
      <c r="J193" s="32" t="s">
        <v>80</v>
      </c>
      <c r="K193" s="29" t="s">
        <v>81</v>
      </c>
      <c r="L193" s="33" t="s">
        <v>72</v>
      </c>
      <c r="M193" s="29" t="n">
        <f aca="false">+YEAR(F193)</f>
        <v>2026</v>
      </c>
      <c r="N193" s="29" t="n">
        <v>2025</v>
      </c>
      <c r="O193" s="29" t="n">
        <v>12</v>
      </c>
      <c r="P193" s="29" t="str">
        <f aca="false">+CONCATENATE(Tabla[[#This Row],[MES CAMPAÑA]],"/",Tabla[[#This Row],[AÑO CAMPAÑA]])</f>
        <v>12/2025</v>
      </c>
      <c r="Q193" s="29" t="s">
        <v>130</v>
      </c>
      <c r="R193" s="29" t="s">
        <v>74</v>
      </c>
      <c r="S193" s="34" t="n">
        <v>0</v>
      </c>
      <c r="T193" s="34" t="n">
        <v>1074500</v>
      </c>
      <c r="U193" s="34" t="n">
        <v>204155</v>
      </c>
      <c r="V193" s="29"/>
      <c r="W193" s="35" t="n">
        <v>1278655</v>
      </c>
      <c r="X193" s="36"/>
      <c r="Y193" s="37"/>
      <c r="Z193" s="37"/>
      <c r="AA193" s="37"/>
      <c r="AB193" s="38" t="n">
        <f aca="false">+W193-AC193</f>
        <v>1278655</v>
      </c>
      <c r="AC193" s="34" t="n">
        <f aca="false">+Tabla[[#This Row],[P4]]+Tabla[[#This Row],[P3]]+Tabla[[#This Row],[P2]]+Tabla[[#This Row],[P1]]</f>
        <v>0</v>
      </c>
      <c r="AD193" s="34" t="n">
        <f aca="false">+W193-AC193</f>
        <v>1278655</v>
      </c>
      <c r="AE193" s="21" t="str">
        <f aca="false">IF(AB193&lt;1,"PAGADA","PENDIENTE")</f>
        <v>PENDIENTE</v>
      </c>
      <c r="AF193" s="21"/>
      <c r="AG193" s="29"/>
      <c r="AH193" s="40"/>
      <c r="AI193" s="40" t="n">
        <f aca="false">+IF(Tabla[[#This Row],[FECHA PAGO / ABONO]]&lt;1,0,(MONTH(Tabla[[#This Row],[FECHA PAGO / ABONO]])))</f>
        <v>0</v>
      </c>
      <c r="AJ193" s="40" t="n">
        <f aca="false">+IF(Tabla[[#This Row],[FECHA PAGO / ABONO]]&lt;1,0,(YEAR(Tabla[[#This Row],[FECHA PAGO / ABONO]])))</f>
        <v>0</v>
      </c>
      <c r="AK193" s="41"/>
    </row>
    <row r="194" customFormat="false" ht="14.25" hidden="false" customHeight="false" outlineLevel="0" collapsed="false">
      <c r="A194" s="28" t="s">
        <v>177</v>
      </c>
      <c r="B194" s="29" t="s">
        <v>178</v>
      </c>
      <c r="C194" s="29" t="s">
        <v>69</v>
      </c>
      <c r="D194" s="21" t="n">
        <v>37609</v>
      </c>
      <c r="E194" s="21" t="str">
        <f aca="false">+CONCATENATE(Tabla[[#This Row],[RUT]],Tabla[[#This Row],[PROVEEDOR]],Tabla[[#This Row],[FACTURA]])</f>
        <v>84383200-8GLOBAL MEDIA SPA37609</v>
      </c>
      <c r="F194" s="30" t="n">
        <v>46051</v>
      </c>
      <c r="G194" s="31" t="n">
        <f aca="false">+F194+30</f>
        <v>46081</v>
      </c>
      <c r="H194" s="29" t="n">
        <f aca="true">+IF(AE194="PAGADA",0,TODAY()-G194)</f>
        <v>123</v>
      </c>
      <c r="I194" s="29" t="str">
        <f aca="false">+IF(H194&gt;180,"Atrasada",IF(H194&gt;150,"150 dias",IF(H194&gt;120,"120 dias",IF(H194&gt;90,"90 dias",IF(H194&gt;60,"60 dias",IF(H194&gt;30,"30 dias","Al Día"))))))</f>
        <v>120 dias</v>
      </c>
      <c r="J194" s="32" t="s">
        <v>80</v>
      </c>
      <c r="K194" s="29" t="s">
        <v>81</v>
      </c>
      <c r="L194" s="33" t="s">
        <v>72</v>
      </c>
      <c r="M194" s="29" t="n">
        <f aca="false">+YEAR(F194)</f>
        <v>2026</v>
      </c>
      <c r="N194" s="29" t="n">
        <v>2025</v>
      </c>
      <c r="O194" s="29" t="n">
        <v>12</v>
      </c>
      <c r="P194" s="29" t="str">
        <f aca="false">+CONCATENATE(Tabla[[#This Row],[MES CAMPAÑA]],"/",Tabla[[#This Row],[AÑO CAMPAÑA]])</f>
        <v>12/2025</v>
      </c>
      <c r="Q194" s="29" t="s">
        <v>92</v>
      </c>
      <c r="R194" s="29" t="s">
        <v>74</v>
      </c>
      <c r="S194" s="34" t="n">
        <v>0</v>
      </c>
      <c r="T194" s="34" t="n">
        <v>600000</v>
      </c>
      <c r="U194" s="34" t="n">
        <v>114000</v>
      </c>
      <c r="V194" s="29"/>
      <c r="W194" s="35" t="n">
        <v>714000</v>
      </c>
      <c r="X194" s="36"/>
      <c r="Y194" s="37"/>
      <c r="Z194" s="37"/>
      <c r="AA194" s="37"/>
      <c r="AB194" s="38" t="n">
        <f aca="false">+W194-AC194</f>
        <v>714000</v>
      </c>
      <c r="AC194" s="34" t="n">
        <f aca="false">+Tabla[[#This Row],[P4]]+Tabla[[#This Row],[P3]]+Tabla[[#This Row],[P2]]+Tabla[[#This Row],[P1]]</f>
        <v>0</v>
      </c>
      <c r="AD194" s="34" t="n">
        <f aca="false">+W194-AC194</f>
        <v>714000</v>
      </c>
      <c r="AE194" s="21" t="str">
        <f aca="false">IF(AB194&lt;1,"PAGADA","PENDIENTE")</f>
        <v>PENDIENTE</v>
      </c>
      <c r="AF194" s="21"/>
      <c r="AG194" s="29"/>
      <c r="AH194" s="40"/>
      <c r="AI194" s="40" t="n">
        <f aca="false">+IF(Tabla[[#This Row],[FECHA PAGO / ABONO]]&lt;1,0,(MONTH(Tabla[[#This Row],[FECHA PAGO / ABONO]])))</f>
        <v>0</v>
      </c>
      <c r="AJ194" s="40" t="n">
        <f aca="false">+IF(Tabla[[#This Row],[FECHA PAGO / ABONO]]&lt;1,0,(YEAR(Tabla[[#This Row],[FECHA PAGO / ABONO]])))</f>
        <v>0</v>
      </c>
      <c r="AK194" s="41"/>
    </row>
    <row r="195" customFormat="false" ht="14.25" hidden="false" customHeight="false" outlineLevel="0" collapsed="false">
      <c r="A195" s="28" t="s">
        <v>83</v>
      </c>
      <c r="B195" s="29" t="s">
        <v>84</v>
      </c>
      <c r="C195" s="29" t="s">
        <v>69</v>
      </c>
      <c r="D195" s="21" t="n">
        <v>2439</v>
      </c>
      <c r="E195" s="21" t="str">
        <f aca="false">+CONCATENATE(Tabla[[#This Row],[RUT]],Tabla[[#This Row],[PROVEEDOR]],Tabla[[#This Row],[FACTURA]])</f>
        <v>65018149-2ASOCIACION GREMIAL DE CANALES REGIONALES DE TELEVISION DE SENAL ABIERT2439</v>
      </c>
      <c r="F195" s="30" t="n">
        <v>46053</v>
      </c>
      <c r="G195" s="31" t="n">
        <f aca="false">+F195+30</f>
        <v>46083</v>
      </c>
      <c r="H195" s="29" t="n">
        <f aca="true">+IF(AE195="PAGADA",0,TODAY()-G195)</f>
        <v>121</v>
      </c>
      <c r="I195" s="29" t="str">
        <f aca="false">+IF(H195&gt;180,"Atrasada",IF(H195&gt;150,"150 dias",IF(H195&gt;120,"120 dias",IF(H195&gt;90,"90 dias",IF(H195&gt;60,"60 dias",IF(H195&gt;30,"30 dias","Al Día"))))))</f>
        <v>120 dias</v>
      </c>
      <c r="J195" s="32" t="s">
        <v>80</v>
      </c>
      <c r="K195" s="29" t="s">
        <v>81</v>
      </c>
      <c r="L195" s="33" t="s">
        <v>248</v>
      </c>
      <c r="M195" s="29" t="n">
        <f aca="false">+YEAR(F195)</f>
        <v>2026</v>
      </c>
      <c r="N195" s="29" t="n">
        <v>2025</v>
      </c>
      <c r="O195" s="29" t="n">
        <v>12</v>
      </c>
      <c r="P195" s="29" t="str">
        <f aca="false">+CONCATENATE(Tabla[[#This Row],[MES CAMPAÑA]],"/",Tabla[[#This Row],[AÑO CAMPAÑA]])</f>
        <v>12/2025</v>
      </c>
      <c r="Q195" s="29" t="s">
        <v>82</v>
      </c>
      <c r="R195" s="29" t="s">
        <v>74</v>
      </c>
      <c r="S195" s="34" t="n">
        <v>0</v>
      </c>
      <c r="T195" s="34" t="n">
        <v>3000000</v>
      </c>
      <c r="U195" s="34" t="n">
        <v>570000</v>
      </c>
      <c r="V195" s="29"/>
      <c r="W195" s="35" t="n">
        <v>3570000</v>
      </c>
      <c r="X195" s="36"/>
      <c r="Y195" s="37"/>
      <c r="Z195" s="37"/>
      <c r="AA195" s="37"/>
      <c r="AB195" s="38" t="n">
        <f aca="false">+W195-AC195</f>
        <v>3570000</v>
      </c>
      <c r="AC195" s="34" t="n">
        <f aca="false">+Tabla[[#This Row],[P4]]+Tabla[[#This Row],[P3]]+Tabla[[#This Row],[P2]]+Tabla[[#This Row],[P1]]</f>
        <v>0</v>
      </c>
      <c r="AD195" s="34" t="n">
        <f aca="false">+W195-AC195</f>
        <v>3570000</v>
      </c>
      <c r="AE195" s="21" t="str">
        <f aca="false">IF(AB195&lt;1,"PAGADA","PENDIENTE")</f>
        <v>PENDIENTE</v>
      </c>
      <c r="AF195" s="21"/>
      <c r="AG195" s="29"/>
      <c r="AH195" s="40"/>
      <c r="AI195" s="40" t="n">
        <f aca="false">+IF(Tabla[[#This Row],[FECHA PAGO / ABONO]]&lt;1,0,(MONTH(Tabla[[#This Row],[FECHA PAGO / ABONO]])))</f>
        <v>0</v>
      </c>
      <c r="AJ195" s="40" t="n">
        <f aca="false">+IF(Tabla[[#This Row],[FECHA PAGO / ABONO]]&lt;1,0,(YEAR(Tabla[[#This Row],[FECHA PAGO / ABONO]])))</f>
        <v>0</v>
      </c>
      <c r="AK195" s="41"/>
    </row>
    <row r="196" customFormat="false" ht="14.25" hidden="false" customHeight="false" outlineLevel="0" collapsed="false">
      <c r="A196" s="28" t="s">
        <v>210</v>
      </c>
      <c r="B196" s="29" t="s">
        <v>211</v>
      </c>
      <c r="C196" s="29" t="s">
        <v>69</v>
      </c>
      <c r="D196" s="21" t="n">
        <v>39928</v>
      </c>
      <c r="E196" s="21" t="str">
        <f aca="false">+CONCATENATE(Tabla[[#This Row],[RUT]],Tabla[[#This Row],[PROVEEDOR]],Tabla[[#This Row],[FACTURA]])</f>
        <v>78794060-9MEGAMEDIA RADIO S.A.39928</v>
      </c>
      <c r="F196" s="30" t="n">
        <v>46053</v>
      </c>
      <c r="G196" s="31" t="n">
        <f aca="false">+F196+30</f>
        <v>46083</v>
      </c>
      <c r="H196" s="29" t="n">
        <f aca="true">+IF(AE196="PAGADA",0,TODAY()-G196)</f>
        <v>0</v>
      </c>
      <c r="I196" s="29" t="str">
        <f aca="false">+IF(H196&gt;180,"Atrasada",IF(H196&gt;150,"150 dias",IF(H196&gt;120,"120 dias",IF(H196&gt;90,"90 dias",IF(H196&gt;60,"60 dias",IF(H196&gt;30,"30 dias","Al Día"))))))</f>
        <v>Al Día</v>
      </c>
      <c r="J196" s="32" t="s">
        <v>80</v>
      </c>
      <c r="K196" s="29" t="s">
        <v>81</v>
      </c>
      <c r="L196" s="33" t="s">
        <v>248</v>
      </c>
      <c r="M196" s="29" t="n">
        <f aca="false">+YEAR(F196)</f>
        <v>2026</v>
      </c>
      <c r="N196" s="29" t="n">
        <v>2025</v>
      </c>
      <c r="O196" s="29" t="n">
        <v>12</v>
      </c>
      <c r="P196" s="29" t="str">
        <f aca="false">+CONCATENATE(Tabla[[#This Row],[MES CAMPAÑA]],"/",Tabla[[#This Row],[AÑO CAMPAÑA]])</f>
        <v>12/2025</v>
      </c>
      <c r="Q196" s="29" t="s">
        <v>82</v>
      </c>
      <c r="R196" s="29" t="s">
        <v>74</v>
      </c>
      <c r="S196" s="34" t="n">
        <v>0</v>
      </c>
      <c r="T196" s="34" t="n">
        <v>1312000</v>
      </c>
      <c r="U196" s="34" t="n">
        <v>249280</v>
      </c>
      <c r="V196" s="29"/>
      <c r="W196" s="35" t="n">
        <v>1561280</v>
      </c>
      <c r="X196" s="36" t="n">
        <f aca="false">+Tabla[[#This Row],[TOTAL]]</f>
        <v>1561280</v>
      </c>
      <c r="Y196" s="37"/>
      <c r="Z196" s="37"/>
      <c r="AA196" s="37"/>
      <c r="AB196" s="38" t="n">
        <f aca="false">+W196-AC196</f>
        <v>0</v>
      </c>
      <c r="AC196" s="34" t="n">
        <f aca="false">+Tabla[[#This Row],[P4]]+Tabla[[#This Row],[P3]]+Tabla[[#This Row],[P2]]+Tabla[[#This Row],[P1]]</f>
        <v>1561280</v>
      </c>
      <c r="AD196" s="34" t="n">
        <f aca="false">+W196-AC196</f>
        <v>0</v>
      </c>
      <c r="AE196" s="21" t="str">
        <f aca="false">IF(AB196&lt;1,"PAGADA","PENDIENTE")</f>
        <v>PAGADA</v>
      </c>
      <c r="AF196" s="21"/>
      <c r="AG196" s="29" t="s">
        <v>77</v>
      </c>
      <c r="AH196" s="39" t="n">
        <v>46190</v>
      </c>
      <c r="AI196" s="40" t="n">
        <f aca="false">+IF(Tabla[[#This Row],[FECHA PAGO / ABONO]]&lt;1,0,(MONTH(Tabla[[#This Row],[FECHA PAGO / ABONO]])))</f>
        <v>6</v>
      </c>
      <c r="AJ196" s="40" t="n">
        <f aca="false">+IF(Tabla[[#This Row],[FECHA PAGO / ABONO]]&lt;1,0,(YEAR(Tabla[[#This Row],[FECHA PAGO / ABONO]])))</f>
        <v>2026</v>
      </c>
      <c r="AK196" s="41"/>
    </row>
    <row r="197" customFormat="false" ht="14.25" hidden="false" customHeight="false" outlineLevel="0" collapsed="false">
      <c r="A197" s="28" t="s">
        <v>67</v>
      </c>
      <c r="B197" s="29" t="s">
        <v>68</v>
      </c>
      <c r="C197" s="29" t="s">
        <v>69</v>
      </c>
      <c r="D197" s="21" t="n">
        <v>54350</v>
      </c>
      <c r="E197" s="21" t="str">
        <f aca="false">+CONCATENATE(Tabla[[#This Row],[RUT]],Tabla[[#This Row],[PROVEEDOR]],Tabla[[#This Row],[FACTURA]])</f>
        <v>76453707-6DUEMINT SPA54350</v>
      </c>
      <c r="F197" s="30" t="n">
        <v>46054</v>
      </c>
      <c r="G197" s="31" t="n">
        <f aca="false">+F197+30</f>
        <v>46084</v>
      </c>
      <c r="H197" s="29" t="n">
        <f aca="true">+IF(AE197="PAGADA",0,TODAY()-G197)</f>
        <v>120</v>
      </c>
      <c r="I197" s="29" t="str">
        <f aca="false">+IF(H197&gt;180,"Atrasada",IF(H197&gt;150,"150 dias",IF(H197&gt;120,"120 dias",IF(H197&gt;90,"90 dias",IF(H197&gt;60,"60 dias",IF(H197&gt;30,"30 dias","Al Día"))))))</f>
        <v>90 dias</v>
      </c>
      <c r="J197" s="32" t="s">
        <v>31</v>
      </c>
      <c r="K197" s="29" t="s">
        <v>81</v>
      </c>
      <c r="L197" s="33" t="s">
        <v>248</v>
      </c>
      <c r="M197" s="29" t="n">
        <f aca="false">+YEAR(F197)</f>
        <v>2026</v>
      </c>
      <c r="N197" s="29" t="n">
        <v>2026</v>
      </c>
      <c r="O197" s="29" t="n">
        <v>1</v>
      </c>
      <c r="P197" s="29" t="str">
        <f aca="false">+CONCATENATE(Tabla[[#This Row],[MES CAMPAÑA]],"/",Tabla[[#This Row],[AÑO CAMPAÑA]])</f>
        <v>1/2026</v>
      </c>
      <c r="Q197" s="29" t="s">
        <v>73</v>
      </c>
      <c r="R197" s="29" t="s">
        <v>74</v>
      </c>
      <c r="S197" s="34" t="n">
        <v>0</v>
      </c>
      <c r="T197" s="34" t="n">
        <v>119111</v>
      </c>
      <c r="U197" s="34" t="n">
        <v>22631</v>
      </c>
      <c r="V197" s="29"/>
      <c r="W197" s="35" t="n">
        <v>141742</v>
      </c>
      <c r="X197" s="36"/>
      <c r="Y197" s="37"/>
      <c r="Z197" s="37"/>
      <c r="AA197" s="37"/>
      <c r="AB197" s="38" t="n">
        <f aca="false">+W197-AC197</f>
        <v>141742</v>
      </c>
      <c r="AC197" s="34" t="n">
        <f aca="false">+Tabla[[#This Row],[P4]]+Tabla[[#This Row],[P3]]+Tabla[[#This Row],[P2]]+Tabla[[#This Row],[P1]]</f>
        <v>0</v>
      </c>
      <c r="AD197" s="34" t="n">
        <f aca="false">+W197-AC197</f>
        <v>141742</v>
      </c>
      <c r="AE197" s="21" t="str">
        <f aca="false">IF(AB197&lt;1,"PAGADA","PENDIENTE")</f>
        <v>PENDIENTE</v>
      </c>
      <c r="AF197" s="21"/>
      <c r="AG197" s="29"/>
      <c r="AH197" s="40"/>
      <c r="AI197" s="40" t="n">
        <f aca="false">+IF(Tabla[[#This Row],[FECHA PAGO / ABONO]]&lt;1,0,(MONTH(Tabla[[#This Row],[FECHA PAGO / ABONO]])))</f>
        <v>0</v>
      </c>
      <c r="AJ197" s="40" t="n">
        <f aca="false">+IF(Tabla[[#This Row],[FECHA PAGO / ABONO]]&lt;1,0,(YEAR(Tabla[[#This Row],[FECHA PAGO / ABONO]])))</f>
        <v>0</v>
      </c>
      <c r="AK197" s="41"/>
    </row>
    <row r="198" customFormat="false" ht="14.25" hidden="false" customHeight="false" outlineLevel="0" collapsed="false">
      <c r="A198" s="28" t="s">
        <v>75</v>
      </c>
      <c r="B198" s="29" t="s">
        <v>76</v>
      </c>
      <c r="C198" s="29" t="s">
        <v>69</v>
      </c>
      <c r="D198" s="21" t="n">
        <v>440</v>
      </c>
      <c r="E198" s="21" t="str">
        <f aca="false">+CONCATENATE(Tabla[[#This Row],[RUT]],Tabla[[#This Row],[PROVEEDOR]],Tabla[[#This Row],[FACTURA]])</f>
        <v>76744663-2INVERSIONES ON-MEDIA CHILE SPA440</v>
      </c>
      <c r="F198" s="30" t="n">
        <v>46054</v>
      </c>
      <c r="G198" s="31" t="n">
        <f aca="false">+F198+30</f>
        <v>46084</v>
      </c>
      <c r="H198" s="29" t="n">
        <f aca="true">+IF(AE198="PAGADA",0,TODAY()-G198)</f>
        <v>0</v>
      </c>
      <c r="I198" s="29" t="str">
        <f aca="false">+IF(H198&gt;180,"Atrasada",IF(H198&gt;150,"150 dias",IF(H198&gt;120,"120 dias",IF(H198&gt;90,"90 dias",IF(H198&gt;60,"60 dias",IF(H198&gt;30,"30 dias","Al Día"))))))</f>
        <v>Al Día</v>
      </c>
      <c r="J198" s="32" t="s">
        <v>31</v>
      </c>
      <c r="K198" s="29" t="s">
        <v>81</v>
      </c>
      <c r="L198" s="33" t="s">
        <v>248</v>
      </c>
      <c r="M198" s="29" t="n">
        <f aca="false">+YEAR(F198)</f>
        <v>2026</v>
      </c>
      <c r="N198" s="29" t="n">
        <v>2026</v>
      </c>
      <c r="O198" s="29" t="n">
        <v>1</v>
      </c>
      <c r="P198" s="29" t="str">
        <f aca="false">+CONCATENATE(Tabla[[#This Row],[MES CAMPAÑA]],"/",Tabla[[#This Row],[AÑO CAMPAÑA]])</f>
        <v>1/2026</v>
      </c>
      <c r="Q198" s="29" t="s">
        <v>73</v>
      </c>
      <c r="R198" s="29" t="s">
        <v>74</v>
      </c>
      <c r="S198" s="34" t="n">
        <v>0</v>
      </c>
      <c r="T198" s="34" t="n">
        <v>369364</v>
      </c>
      <c r="U198" s="34" t="n">
        <v>70179</v>
      </c>
      <c r="V198" s="29"/>
      <c r="W198" s="35" t="n">
        <v>439543</v>
      </c>
      <c r="X198" s="36" t="n">
        <f aca="false">+Tabla[[#This Row],[TOTAL]]</f>
        <v>439543</v>
      </c>
      <c r="Y198" s="37"/>
      <c r="Z198" s="37"/>
      <c r="AA198" s="37"/>
      <c r="AB198" s="38" t="n">
        <f aca="false">+W198-AC198</f>
        <v>0</v>
      </c>
      <c r="AC198" s="34" t="n">
        <f aca="false">+Tabla[[#This Row],[P4]]+Tabla[[#This Row],[P3]]+Tabla[[#This Row],[P2]]+Tabla[[#This Row],[P1]]</f>
        <v>439543</v>
      </c>
      <c r="AD198" s="34" t="n">
        <f aca="false">+W198-AC198</f>
        <v>0</v>
      </c>
      <c r="AE198" s="21" t="str">
        <f aca="false">IF(AB198&lt;1,"PAGADA","PENDIENTE")</f>
        <v>PAGADA</v>
      </c>
      <c r="AF198" s="21"/>
      <c r="AG198" s="29" t="s">
        <v>77</v>
      </c>
      <c r="AH198" s="39" t="n">
        <v>46087</v>
      </c>
      <c r="AI198" s="40" t="n">
        <f aca="false">+IF(Tabla[[#This Row],[FECHA PAGO / ABONO]]&lt;1,0,(MONTH(Tabla[[#This Row],[FECHA PAGO / ABONO]])))</f>
        <v>3</v>
      </c>
      <c r="AJ198" s="40" t="n">
        <f aca="false">+IF(Tabla[[#This Row],[FECHA PAGO / ABONO]]&lt;1,0,(YEAR(Tabla[[#This Row],[FECHA PAGO / ABONO]])))</f>
        <v>2026</v>
      </c>
      <c r="AK198" s="41"/>
    </row>
    <row r="199" customFormat="false" ht="14.25" hidden="false" customHeight="false" outlineLevel="0" collapsed="false">
      <c r="A199" s="28" t="s">
        <v>249</v>
      </c>
      <c r="B199" s="29" t="s">
        <v>250</v>
      </c>
      <c r="C199" s="29" t="s">
        <v>69</v>
      </c>
      <c r="D199" s="21" t="n">
        <v>361186</v>
      </c>
      <c r="E199" s="21" t="str">
        <f aca="false">+CONCATENATE(Tabla[[#This Row],[RUT]],Tabla[[#This Row],[PROVEEDOR]],Tabla[[#This Row],[FACTURA]])</f>
        <v>84295700-1Empresa Periodistica El Norte S.A.361186</v>
      </c>
      <c r="F199" s="30" t="n">
        <v>46055</v>
      </c>
      <c r="G199" s="31" t="n">
        <f aca="false">+F199+30</f>
        <v>46085</v>
      </c>
      <c r="H199" s="29" t="n">
        <f aca="true">+IF(AE199="PAGADA",0,TODAY()-G199)</f>
        <v>0</v>
      </c>
      <c r="I199" s="29" t="str">
        <f aca="false">+IF(H199&gt;180,"Atrasada",IF(H199&gt;150,"150 dias",IF(H199&gt;120,"120 dias",IF(H199&gt;90,"90 dias",IF(H199&gt;60,"60 dias",IF(H199&gt;30,"30 dias","Al Día"))))))</f>
        <v>Al Día</v>
      </c>
      <c r="J199" s="32" t="s">
        <v>80</v>
      </c>
      <c r="K199" s="29" t="s">
        <v>81</v>
      </c>
      <c r="L199" s="33" t="s">
        <v>248</v>
      </c>
      <c r="M199" s="29" t="n">
        <f aca="false">+YEAR(F199)</f>
        <v>2026</v>
      </c>
      <c r="N199" s="29" t="n">
        <v>2025</v>
      </c>
      <c r="O199" s="29" t="n">
        <v>12</v>
      </c>
      <c r="P199" s="29" t="str">
        <f aca="false">+CONCATENATE(Tabla[[#This Row],[MES CAMPAÑA]],"/",Tabla[[#This Row],[AÑO CAMPAÑA]])</f>
        <v>12/2025</v>
      </c>
      <c r="Q199" s="29" t="s">
        <v>108</v>
      </c>
      <c r="R199" s="29" t="s">
        <v>74</v>
      </c>
      <c r="S199" s="34" t="n">
        <v>0</v>
      </c>
      <c r="T199" s="34" t="n">
        <v>1396000</v>
      </c>
      <c r="U199" s="34" t="n">
        <v>265240</v>
      </c>
      <c r="V199" s="29"/>
      <c r="W199" s="35" t="n">
        <v>1661240</v>
      </c>
      <c r="X199" s="36" t="n">
        <f aca="false">+Tabla[[#This Row],[TOTAL]]</f>
        <v>1661240</v>
      </c>
      <c r="Y199" s="37"/>
      <c r="Z199" s="37"/>
      <c r="AA199" s="37"/>
      <c r="AB199" s="38" t="n">
        <f aca="false">+W199-AC199</f>
        <v>0</v>
      </c>
      <c r="AC199" s="34" t="n">
        <f aca="false">+Tabla[[#This Row],[P4]]+Tabla[[#This Row],[P3]]+Tabla[[#This Row],[P2]]+Tabla[[#This Row],[P1]]</f>
        <v>1661240</v>
      </c>
      <c r="AD199" s="34" t="n">
        <f aca="false">+W199-AC199</f>
        <v>0</v>
      </c>
      <c r="AE199" s="21" t="str">
        <f aca="false">IF(AB199&lt;1,"PAGADA","PENDIENTE")</f>
        <v>PAGADA</v>
      </c>
      <c r="AF199" s="21" t="s">
        <v>251</v>
      </c>
      <c r="AG199" s="29" t="s">
        <v>77</v>
      </c>
      <c r="AH199" s="39" t="n">
        <v>46146</v>
      </c>
      <c r="AI199" s="40" t="n">
        <f aca="false">+IF(Tabla[[#This Row],[FECHA PAGO / ABONO]]&lt;1,0,(MONTH(Tabla[[#This Row],[FECHA PAGO / ABONO]])))</f>
        <v>5</v>
      </c>
      <c r="AJ199" s="40" t="n">
        <f aca="false">+IF(Tabla[[#This Row],[FECHA PAGO / ABONO]]&lt;1,0,(YEAR(Tabla[[#This Row],[FECHA PAGO / ABONO]])))</f>
        <v>2026</v>
      </c>
      <c r="AK199" s="41"/>
    </row>
    <row r="200" customFormat="false" ht="14.25" hidden="false" customHeight="false" outlineLevel="0" collapsed="false">
      <c r="A200" s="28" t="s">
        <v>249</v>
      </c>
      <c r="B200" s="29" t="s">
        <v>250</v>
      </c>
      <c r="C200" s="29" t="s">
        <v>69</v>
      </c>
      <c r="D200" s="21" t="n">
        <v>361187</v>
      </c>
      <c r="E200" s="21" t="str">
        <f aca="false">+CONCATENATE(Tabla[[#This Row],[RUT]],Tabla[[#This Row],[PROVEEDOR]],Tabla[[#This Row],[FACTURA]])</f>
        <v>84295700-1Empresa Periodistica El Norte S.A.361187</v>
      </c>
      <c r="F200" s="30" t="n">
        <v>46055</v>
      </c>
      <c r="G200" s="31" t="n">
        <f aca="false">+F200+30</f>
        <v>46085</v>
      </c>
      <c r="H200" s="29" t="n">
        <f aca="true">+IF(AE200="PAGADA",0,TODAY()-G200)</f>
        <v>0</v>
      </c>
      <c r="I200" s="29" t="str">
        <f aca="false">+IF(H200&gt;180,"Atrasada",IF(H200&gt;150,"150 dias",IF(H200&gt;120,"120 dias",IF(H200&gt;90,"90 dias",IF(H200&gt;60,"60 dias",IF(H200&gt;30,"30 dias","Al Día"))))))</f>
        <v>Al Día</v>
      </c>
      <c r="J200" s="32" t="s">
        <v>80</v>
      </c>
      <c r="K200" s="29" t="s">
        <v>81</v>
      </c>
      <c r="L200" s="33" t="s">
        <v>248</v>
      </c>
      <c r="M200" s="29" t="n">
        <f aca="false">+YEAR(F200)</f>
        <v>2026</v>
      </c>
      <c r="N200" s="29" t="n">
        <v>2025</v>
      </c>
      <c r="O200" s="29" t="n">
        <v>12</v>
      </c>
      <c r="P200" s="29" t="str">
        <f aca="false">+CONCATENATE(Tabla[[#This Row],[MES CAMPAÑA]],"/",Tabla[[#This Row],[AÑO CAMPAÑA]])</f>
        <v>12/2025</v>
      </c>
      <c r="Q200" s="29" t="s">
        <v>108</v>
      </c>
      <c r="R200" s="29" t="s">
        <v>74</v>
      </c>
      <c r="S200" s="34" t="n">
        <v>0</v>
      </c>
      <c r="T200" s="34" t="n">
        <v>900000</v>
      </c>
      <c r="U200" s="34" t="n">
        <v>171000</v>
      </c>
      <c r="V200" s="29"/>
      <c r="W200" s="35" t="n">
        <v>1071000</v>
      </c>
      <c r="X200" s="36" t="n">
        <f aca="false">+Tabla[[#This Row],[TOTAL]]</f>
        <v>1071000</v>
      </c>
      <c r="Y200" s="37"/>
      <c r="Z200" s="37"/>
      <c r="AA200" s="37"/>
      <c r="AB200" s="38" t="n">
        <f aca="false">+W200-AC200</f>
        <v>0</v>
      </c>
      <c r="AC200" s="34" t="n">
        <f aca="false">+Tabla[[#This Row],[P4]]+Tabla[[#This Row],[P3]]+Tabla[[#This Row],[P2]]+Tabla[[#This Row],[P1]]</f>
        <v>1071000</v>
      </c>
      <c r="AD200" s="34" t="n">
        <f aca="false">+W200-AC200</f>
        <v>0</v>
      </c>
      <c r="AE200" s="21" t="str">
        <f aca="false">IF(AB200&lt;1,"PAGADA","PENDIENTE")</f>
        <v>PAGADA</v>
      </c>
      <c r="AF200" s="21" t="s">
        <v>251</v>
      </c>
      <c r="AG200" s="29" t="s">
        <v>77</v>
      </c>
      <c r="AH200" s="39" t="n">
        <v>46146</v>
      </c>
      <c r="AI200" s="40" t="n">
        <f aca="false">+IF(Tabla[[#This Row],[FECHA PAGO / ABONO]]&lt;1,0,(MONTH(Tabla[[#This Row],[FECHA PAGO / ABONO]])))</f>
        <v>5</v>
      </c>
      <c r="AJ200" s="40" t="n">
        <f aca="false">+IF(Tabla[[#This Row],[FECHA PAGO / ABONO]]&lt;1,0,(YEAR(Tabla[[#This Row],[FECHA PAGO / ABONO]])))</f>
        <v>2026</v>
      </c>
      <c r="AK200" s="41"/>
    </row>
    <row r="201" customFormat="false" ht="14.25" hidden="false" customHeight="false" outlineLevel="0" collapsed="false">
      <c r="A201" s="28" t="s">
        <v>249</v>
      </c>
      <c r="B201" s="29" t="s">
        <v>250</v>
      </c>
      <c r="C201" s="29" t="s">
        <v>69</v>
      </c>
      <c r="D201" s="21" t="n">
        <v>361188</v>
      </c>
      <c r="E201" s="21" t="str">
        <f aca="false">+CONCATENATE(Tabla[[#This Row],[RUT]],Tabla[[#This Row],[PROVEEDOR]],Tabla[[#This Row],[FACTURA]])</f>
        <v>84295700-1Empresa Periodistica El Norte S.A.361188</v>
      </c>
      <c r="F201" s="30" t="n">
        <v>46055</v>
      </c>
      <c r="G201" s="31" t="n">
        <f aca="false">+F201+30</f>
        <v>46085</v>
      </c>
      <c r="H201" s="29" t="n">
        <f aca="true">+IF(AE201="PAGADA",0,TODAY()-G201)</f>
        <v>0</v>
      </c>
      <c r="I201" s="29" t="str">
        <f aca="false">+IF(H201&gt;180,"Atrasada",IF(H201&gt;150,"150 dias",IF(H201&gt;120,"120 dias",IF(H201&gt;90,"90 dias",IF(H201&gt;60,"60 dias",IF(H201&gt;30,"30 dias","Al Día"))))))</f>
        <v>Al Día</v>
      </c>
      <c r="J201" s="32" t="s">
        <v>80</v>
      </c>
      <c r="K201" s="29" t="s">
        <v>81</v>
      </c>
      <c r="L201" s="33" t="s">
        <v>248</v>
      </c>
      <c r="M201" s="29" t="n">
        <f aca="false">+YEAR(F201)</f>
        <v>2026</v>
      </c>
      <c r="N201" s="29" t="n">
        <v>2025</v>
      </c>
      <c r="O201" s="29" t="n">
        <v>12</v>
      </c>
      <c r="P201" s="29" t="str">
        <f aca="false">+CONCATENATE(Tabla[[#This Row],[MES CAMPAÑA]],"/",Tabla[[#This Row],[AÑO CAMPAÑA]])</f>
        <v>12/2025</v>
      </c>
      <c r="Q201" s="29" t="s">
        <v>108</v>
      </c>
      <c r="R201" s="29" t="s">
        <v>74</v>
      </c>
      <c r="S201" s="34" t="n">
        <v>0</v>
      </c>
      <c r="T201" s="34" t="n">
        <v>1000000</v>
      </c>
      <c r="U201" s="34" t="n">
        <v>190000</v>
      </c>
      <c r="V201" s="29"/>
      <c r="W201" s="35" t="n">
        <v>1190000</v>
      </c>
      <c r="X201" s="36" t="n">
        <f aca="false">+Tabla[[#This Row],[TOTAL]]</f>
        <v>1190000</v>
      </c>
      <c r="Y201" s="37"/>
      <c r="Z201" s="37"/>
      <c r="AA201" s="37"/>
      <c r="AB201" s="38" t="n">
        <f aca="false">+W201-AC201</f>
        <v>0</v>
      </c>
      <c r="AC201" s="34" t="n">
        <f aca="false">+Tabla[[#This Row],[P4]]+Tabla[[#This Row],[P3]]+Tabla[[#This Row],[P2]]+Tabla[[#This Row],[P1]]</f>
        <v>1190000</v>
      </c>
      <c r="AD201" s="34" t="n">
        <f aca="false">+W201-AC201</f>
        <v>0</v>
      </c>
      <c r="AE201" s="21" t="str">
        <f aca="false">IF(AB201&lt;1,"PAGADA","PENDIENTE")</f>
        <v>PAGADA</v>
      </c>
      <c r="AF201" s="21" t="s">
        <v>251</v>
      </c>
      <c r="AG201" s="29" t="s">
        <v>77</v>
      </c>
      <c r="AH201" s="39" t="n">
        <v>46146</v>
      </c>
      <c r="AI201" s="40" t="n">
        <f aca="false">+IF(Tabla[[#This Row],[FECHA PAGO / ABONO]]&lt;1,0,(MONTH(Tabla[[#This Row],[FECHA PAGO / ABONO]])))</f>
        <v>5</v>
      </c>
      <c r="AJ201" s="40" t="n">
        <f aca="false">+IF(Tabla[[#This Row],[FECHA PAGO / ABONO]]&lt;1,0,(YEAR(Tabla[[#This Row],[FECHA PAGO / ABONO]])))</f>
        <v>2026</v>
      </c>
      <c r="AK201" s="41"/>
    </row>
    <row r="202" customFormat="false" ht="14.25" hidden="false" customHeight="false" outlineLevel="0" collapsed="false">
      <c r="A202" s="28" t="s">
        <v>252</v>
      </c>
      <c r="B202" s="29" t="s">
        <v>253</v>
      </c>
      <c r="C202" s="29" t="s">
        <v>69</v>
      </c>
      <c r="D202" s="21" t="n">
        <v>3156</v>
      </c>
      <c r="E202" s="21" t="str">
        <f aca="false">+CONCATENATE(Tabla[[#This Row],[RUT]],Tabla[[#This Row],[PROVEEDOR]],Tabla[[#This Row],[FACTURA]])</f>
        <v>76137670-5SOC DE COMUNICACIONES DEL SUR LTDA3156</v>
      </c>
      <c r="F202" s="30" t="n">
        <v>46056</v>
      </c>
      <c r="G202" s="31" t="n">
        <f aca="false">+F202+30</f>
        <v>46086</v>
      </c>
      <c r="H202" s="29" t="n">
        <f aca="true">+IF(AE202="PAGADA",0,TODAY()-G202)</f>
        <v>0</v>
      </c>
      <c r="I202" s="29" t="str">
        <f aca="false">+IF(H202&gt;180,"Atrasada",IF(H202&gt;150,"150 dias",IF(H202&gt;120,"120 dias",IF(H202&gt;90,"90 dias",IF(H202&gt;60,"60 dias",IF(H202&gt;30,"30 dias","Al Día"))))))</f>
        <v>Al Día</v>
      </c>
      <c r="J202" s="32" t="s">
        <v>80</v>
      </c>
      <c r="K202" s="29" t="s">
        <v>114</v>
      </c>
      <c r="L202" s="33" t="s">
        <v>248</v>
      </c>
      <c r="M202" s="29" t="n">
        <f aca="false">+YEAR(F202)</f>
        <v>2026</v>
      </c>
      <c r="N202" s="29" t="n">
        <v>2025</v>
      </c>
      <c r="O202" s="29" t="n">
        <v>12</v>
      </c>
      <c r="P202" s="29" t="str">
        <f aca="false">+CONCATENATE(Tabla[[#This Row],[MES CAMPAÑA]],"/",Tabla[[#This Row],[AÑO CAMPAÑA]])</f>
        <v>12/2025</v>
      </c>
      <c r="Q202" s="29" t="s">
        <v>92</v>
      </c>
      <c r="R202" s="29" t="s">
        <v>74</v>
      </c>
      <c r="S202" s="34" t="n">
        <v>0</v>
      </c>
      <c r="T202" s="34" t="n">
        <v>504000</v>
      </c>
      <c r="U202" s="34" t="n">
        <v>95760</v>
      </c>
      <c r="V202" s="29"/>
      <c r="W202" s="35" t="n">
        <v>599760</v>
      </c>
      <c r="X202" s="36" t="n">
        <f aca="false">+Tabla[[#This Row],[TOTAL]]</f>
        <v>599760</v>
      </c>
      <c r="Y202" s="37"/>
      <c r="Z202" s="37"/>
      <c r="AA202" s="37"/>
      <c r="AB202" s="38" t="n">
        <f aca="false">+W202-AC202</f>
        <v>0</v>
      </c>
      <c r="AC202" s="34" t="n">
        <f aca="false">+Tabla[[#This Row],[P4]]+Tabla[[#This Row],[P3]]+Tabla[[#This Row],[P2]]+Tabla[[#This Row],[P1]]</f>
        <v>599760</v>
      </c>
      <c r="AD202" s="34" t="n">
        <f aca="false">+W202-AC202</f>
        <v>0</v>
      </c>
      <c r="AE202" s="21" t="str">
        <f aca="false">IF(AB202&lt;1,"PAGADA","PENDIENTE")</f>
        <v>PAGADA</v>
      </c>
      <c r="AF202" s="21"/>
      <c r="AG202" s="29"/>
      <c r="AH202" s="40"/>
      <c r="AI202" s="40" t="n">
        <f aca="false">+IF(Tabla[[#This Row],[FECHA PAGO / ABONO]]&lt;1,0,(MONTH(Tabla[[#This Row],[FECHA PAGO / ABONO]])))</f>
        <v>0</v>
      </c>
      <c r="AJ202" s="40" t="n">
        <f aca="false">+IF(Tabla[[#This Row],[FECHA PAGO / ABONO]]&lt;1,0,(YEAR(Tabla[[#This Row],[FECHA PAGO / ABONO]])))</f>
        <v>0</v>
      </c>
      <c r="AK202" s="41"/>
    </row>
    <row r="203" s="56" customFormat="true" ht="14.25" hidden="false" customHeight="false" outlineLevel="0" collapsed="false">
      <c r="A203" s="42" t="s">
        <v>88</v>
      </c>
      <c r="B203" s="43" t="s">
        <v>89</v>
      </c>
      <c r="C203" s="43" t="s">
        <v>69</v>
      </c>
      <c r="D203" s="43" t="n">
        <v>14945</v>
      </c>
      <c r="E203" s="43" t="str">
        <f aca="false">+CONCATENATE(Tabla[[#This Row],[RUT]],Tabla[[#This Row],[PROVEEDOR]],Tabla[[#This Row],[FACTURA]])</f>
        <v>96721110-9VerificaciÃ³n e Inversiones Publicitarias SpA14945</v>
      </c>
      <c r="F203" s="44" t="n">
        <v>46056</v>
      </c>
      <c r="G203" s="45" t="n">
        <f aca="false">+F203+30</f>
        <v>46086</v>
      </c>
      <c r="H203" s="43" t="n">
        <f aca="true">+IF(AE203="PAGADA",0,TODAY()-G203)</f>
        <v>0</v>
      </c>
      <c r="I203" s="43" t="str">
        <f aca="false">+IF(H203&gt;180,"Atrasada",IF(H203&gt;150,"150 dias",IF(H203&gt;120,"120 dias",IF(H203&gt;90,"90 dias",IF(H203&gt;60,"60 dias",IF(H203&gt;30,"30 dias","Al Día"))))))</f>
        <v>Al Día</v>
      </c>
      <c r="J203" s="46" t="s">
        <v>31</v>
      </c>
      <c r="K203" s="43" t="s">
        <v>81</v>
      </c>
      <c r="L203" s="47" t="s">
        <v>248</v>
      </c>
      <c r="M203" s="43" t="n">
        <f aca="false">+YEAR(F203)</f>
        <v>2026</v>
      </c>
      <c r="N203" s="29" t="n">
        <v>2026</v>
      </c>
      <c r="O203" s="43" t="n">
        <v>2</v>
      </c>
      <c r="P203" s="43" t="str">
        <f aca="false">+CONCATENATE(Tabla[[#This Row],[MES CAMPAÑA]],"/",Tabla[[#This Row],[AÑO CAMPAÑA]])</f>
        <v>2/2026</v>
      </c>
      <c r="Q203" s="43" t="s">
        <v>73</v>
      </c>
      <c r="R203" s="43" t="s">
        <v>74</v>
      </c>
      <c r="S203" s="48" t="n">
        <v>0</v>
      </c>
      <c r="T203" s="48" t="n">
        <v>3176280</v>
      </c>
      <c r="U203" s="48" t="n">
        <v>603493</v>
      </c>
      <c r="V203" s="43"/>
      <c r="W203" s="49" t="n">
        <v>3779773</v>
      </c>
      <c r="X203" s="50" t="n">
        <f aca="false">+Tabla[[#This Row],[TOTAL]]</f>
        <v>3779773</v>
      </c>
      <c r="Y203" s="51"/>
      <c r="Z203" s="51"/>
      <c r="AA203" s="51"/>
      <c r="AB203" s="48" t="n">
        <f aca="false">+W203-AC203</f>
        <v>0</v>
      </c>
      <c r="AC203" s="48" t="n">
        <f aca="false">+Tabla[[#This Row],[P4]]+Tabla[[#This Row],[P3]]+Tabla[[#This Row],[P2]]+Tabla[[#This Row],[P1]]</f>
        <v>3779773</v>
      </c>
      <c r="AD203" s="48" t="n">
        <f aca="false">+W203-AC203</f>
        <v>0</v>
      </c>
      <c r="AE203" s="43" t="str">
        <f aca="false">IF(AB203&lt;1,"PAGADA","PENDIENTE")</f>
        <v>PAGADA</v>
      </c>
      <c r="AF203" s="43"/>
      <c r="AG203" s="43" t="s">
        <v>77</v>
      </c>
      <c r="AH203" s="52" t="n">
        <v>46129</v>
      </c>
      <c r="AI203" s="53" t="n">
        <f aca="false">+IF(Tabla[[#This Row],[FECHA PAGO / ABONO]]&lt;1,0,(MONTH(Tabla[[#This Row],[FECHA PAGO / ABONO]])))</f>
        <v>4</v>
      </c>
      <c r="AJ203" s="53" t="n">
        <f aca="false">+IF(Tabla[[#This Row],[FECHA PAGO / ABONO]]&lt;1,0,(YEAR(Tabla[[#This Row],[FECHA PAGO / ABONO]])))</f>
        <v>2026</v>
      </c>
      <c r="AK203" s="54"/>
      <c r="AL203" s="3"/>
      <c r="AM203" s="3"/>
      <c r="AN203" s="3"/>
      <c r="AO203" s="3"/>
      <c r="AP203" s="3"/>
      <c r="AQ203" s="3"/>
      <c r="AR203" s="3"/>
      <c r="AS203" s="55"/>
      <c r="AT203" s="55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</row>
    <row r="204" customFormat="false" ht="14.25" hidden="false" customHeight="false" outlineLevel="0" collapsed="false">
      <c r="A204" s="28" t="s">
        <v>101</v>
      </c>
      <c r="B204" s="29" t="s">
        <v>102</v>
      </c>
      <c r="C204" s="29" t="s">
        <v>69</v>
      </c>
      <c r="D204" s="21" t="n">
        <v>29378703</v>
      </c>
      <c r="E204" s="21" t="str">
        <f aca="false">+CONCATENATE(Tabla[[#This Row],[RUT]],Tabla[[#This Row],[PROVEEDOR]],Tabla[[#This Row],[FACTURA]])</f>
        <v>97006000-6BANCO DE CREDITO E INVERSIONES29378703</v>
      </c>
      <c r="F204" s="57" t="n">
        <v>46057</v>
      </c>
      <c r="G204" s="31" t="n">
        <f aca="false">+F204+30</f>
        <v>46087</v>
      </c>
      <c r="H204" s="29" t="n">
        <f aca="true">+IF(AE204="PAGADA",0,TODAY()-G204)</f>
        <v>0</v>
      </c>
      <c r="I204" s="29" t="str">
        <f aca="false">+IF(H204&gt;180,"Atrasada",IF(H204&gt;150,"150 dias",IF(H204&gt;120,"120 dias",IF(H204&gt;90,"90 dias",IF(H204&gt;60,"60 dias",IF(H204&gt;30,"30 dias","Al Día"))))))</f>
        <v>Al Día</v>
      </c>
      <c r="J204" s="32" t="s">
        <v>31</v>
      </c>
      <c r="K204" s="29" t="s">
        <v>81</v>
      </c>
      <c r="L204" s="33" t="s">
        <v>248</v>
      </c>
      <c r="M204" s="29" t="n">
        <f aca="false">+YEAR(F204)</f>
        <v>2026</v>
      </c>
      <c r="N204" s="29" t="n">
        <v>2026</v>
      </c>
      <c r="O204" s="29" t="n">
        <v>1</v>
      </c>
      <c r="P204" s="29" t="str">
        <f aca="false">+CONCATENATE(Tabla[[#This Row],[MES CAMPAÑA]],"/",Tabla[[#This Row],[AÑO CAMPAÑA]])</f>
        <v>1/2026</v>
      </c>
      <c r="Q204" s="29" t="s">
        <v>73</v>
      </c>
      <c r="R204" s="29"/>
      <c r="S204" s="34" t="n">
        <v>0</v>
      </c>
      <c r="T204" s="34" t="n">
        <v>8685</v>
      </c>
      <c r="U204" s="34" t="n">
        <v>1650</v>
      </c>
      <c r="V204" s="29"/>
      <c r="W204" s="35" t="n">
        <v>10335</v>
      </c>
      <c r="X204" s="36" t="n">
        <f aca="false">+Tabla[[#This Row],[TOTAL]]</f>
        <v>10335</v>
      </c>
      <c r="Y204" s="37"/>
      <c r="Z204" s="37"/>
      <c r="AA204" s="37"/>
      <c r="AB204" s="38" t="n">
        <f aca="false">+W204-AC204</f>
        <v>0</v>
      </c>
      <c r="AC204" s="34" t="n">
        <f aca="false">+Tabla[[#This Row],[P4]]+Tabla[[#This Row],[P3]]+Tabla[[#This Row],[P2]]+Tabla[[#This Row],[P1]]</f>
        <v>10335</v>
      </c>
      <c r="AD204" s="34" t="n">
        <f aca="false">+W204-AC204</f>
        <v>0</v>
      </c>
      <c r="AE204" s="21" t="str">
        <f aca="false">IF(AB204&lt;1,"PAGADA","PENDIENTE")</f>
        <v>PAGADA</v>
      </c>
      <c r="AF204" s="21"/>
      <c r="AG204" s="29"/>
      <c r="AH204" s="40"/>
      <c r="AI204" s="40" t="n">
        <f aca="false">+IF(Tabla[[#This Row],[FECHA PAGO / ABONO]]&lt;1,0,(MONTH(Tabla[[#This Row],[FECHA PAGO / ABONO]])))</f>
        <v>0</v>
      </c>
      <c r="AJ204" s="40" t="n">
        <f aca="false">+IF(Tabla[[#This Row],[FECHA PAGO / ABONO]]&lt;1,0,(YEAR(Tabla[[#This Row],[FECHA PAGO / ABONO]])))</f>
        <v>0</v>
      </c>
      <c r="AK204" s="41"/>
    </row>
    <row r="205" customFormat="false" ht="14.25" hidden="false" customHeight="false" outlineLevel="0" collapsed="false">
      <c r="A205" s="28" t="s">
        <v>242</v>
      </c>
      <c r="B205" s="29" t="s">
        <v>243</v>
      </c>
      <c r="C205" s="29" t="s">
        <v>69</v>
      </c>
      <c r="D205" s="21" t="n">
        <v>15718113</v>
      </c>
      <c r="E205" s="21" t="str">
        <f aca="false">+CONCATENATE(Tabla[[#This Row],[RUT]],Tabla[[#This Row],[PROVEEDOR]],Tabla[[#This Row],[FACTURA]])</f>
        <v>90193000-7Empresa El Mercurio S.A.P.15718113</v>
      </c>
      <c r="F205" s="57" t="n">
        <v>46058</v>
      </c>
      <c r="G205" s="31" t="n">
        <f aca="false">+F205+30</f>
        <v>46088</v>
      </c>
      <c r="H205" s="29" t="n">
        <f aca="true">+IF(AE205="PAGADA",0,TODAY()-G205)</f>
        <v>0</v>
      </c>
      <c r="I205" s="29" t="str">
        <f aca="false">+IF(H205&gt;180,"Atrasada",IF(H205&gt;150,"150 dias",IF(H205&gt;120,"120 dias",IF(H205&gt;90,"90 dias",IF(H205&gt;60,"60 dias",IF(H205&gt;30,"30 dias","Al Día"))))))</f>
        <v>Al Día</v>
      </c>
      <c r="J205" s="32" t="s">
        <v>80</v>
      </c>
      <c r="K205" s="29" t="s">
        <v>81</v>
      </c>
      <c r="L205" s="33" t="s">
        <v>248</v>
      </c>
      <c r="M205" s="29" t="n">
        <f aca="false">+YEAR(F205)</f>
        <v>2026</v>
      </c>
      <c r="N205" s="29" t="n">
        <v>2025</v>
      </c>
      <c r="O205" s="29" t="n">
        <v>12</v>
      </c>
      <c r="P205" s="29" t="str">
        <f aca="false">+CONCATENATE(Tabla[[#This Row],[MES CAMPAÑA]],"/",Tabla[[#This Row],[AÑO CAMPAÑA]])</f>
        <v>12/2025</v>
      </c>
      <c r="Q205" s="29" t="s">
        <v>82</v>
      </c>
      <c r="R205" s="29"/>
      <c r="S205" s="34" t="n">
        <v>0</v>
      </c>
      <c r="T205" s="34" t="n">
        <v>1200000</v>
      </c>
      <c r="U205" s="34" t="n">
        <v>228000</v>
      </c>
      <c r="V205" s="29"/>
      <c r="W205" s="35" t="n">
        <v>1428000</v>
      </c>
      <c r="X205" s="36" t="n">
        <f aca="false">+Tabla[[#This Row],[TOTAL]]</f>
        <v>1428000</v>
      </c>
      <c r="Y205" s="37"/>
      <c r="Z205" s="37"/>
      <c r="AA205" s="37"/>
      <c r="AB205" s="38" t="n">
        <f aca="false">+W205-AC205</f>
        <v>0</v>
      </c>
      <c r="AC205" s="34" t="n">
        <f aca="false">+Tabla[[#This Row],[P4]]+Tabla[[#This Row],[P3]]+Tabla[[#This Row],[P2]]+Tabla[[#This Row],[P1]]</f>
        <v>1428000</v>
      </c>
      <c r="AD205" s="34" t="n">
        <f aca="false">+W205-AC205</f>
        <v>0</v>
      </c>
      <c r="AE205" s="21" t="str">
        <f aca="false">IF(AB205&lt;1,"PAGADA","PENDIENTE")</f>
        <v>PAGADA</v>
      </c>
      <c r="AF205" s="21" t="s">
        <v>246</v>
      </c>
      <c r="AG205" s="29" t="s">
        <v>77</v>
      </c>
      <c r="AH205" s="39" t="n">
        <v>46129</v>
      </c>
      <c r="AI205" s="40" t="n">
        <f aca="false">+IF(Tabla[[#This Row],[FECHA PAGO / ABONO]]&lt;1,0,(MONTH(Tabla[[#This Row],[FECHA PAGO / ABONO]])))</f>
        <v>4</v>
      </c>
      <c r="AJ205" s="40" t="n">
        <f aca="false">+IF(Tabla[[#This Row],[FECHA PAGO / ABONO]]&lt;1,0,(YEAR(Tabla[[#This Row],[FECHA PAGO / ABONO]])))</f>
        <v>2026</v>
      </c>
      <c r="AK205" s="41"/>
    </row>
    <row r="206" customFormat="false" ht="14.25" hidden="false" customHeight="false" outlineLevel="0" collapsed="false">
      <c r="A206" s="28" t="s">
        <v>101</v>
      </c>
      <c r="B206" s="29" t="s">
        <v>102</v>
      </c>
      <c r="C206" s="29" t="s">
        <v>69</v>
      </c>
      <c r="D206" s="21" t="n">
        <v>29420656</v>
      </c>
      <c r="E206" s="21" t="str">
        <f aca="false">+CONCATENATE(Tabla[[#This Row],[RUT]],Tabla[[#This Row],[PROVEEDOR]],Tabla[[#This Row],[FACTURA]])</f>
        <v>97006000-6BANCO DE CREDITO E INVERSIONES29420656</v>
      </c>
      <c r="F206" s="57" t="n">
        <v>46059</v>
      </c>
      <c r="G206" s="31" t="n">
        <f aca="false">+F206+30</f>
        <v>46089</v>
      </c>
      <c r="H206" s="29" t="n">
        <f aca="true">+IF(AE206="PAGADA",0,TODAY()-G206)</f>
        <v>0</v>
      </c>
      <c r="I206" s="29" t="str">
        <f aca="false">+IF(H206&gt;180,"Atrasada",IF(H206&gt;150,"150 dias",IF(H206&gt;120,"120 dias",IF(H206&gt;90,"90 dias",IF(H206&gt;60,"60 dias",IF(H206&gt;30,"30 dias","Al Día"))))))</f>
        <v>Al Día</v>
      </c>
      <c r="J206" s="32" t="s">
        <v>31</v>
      </c>
      <c r="K206" s="29" t="s">
        <v>81</v>
      </c>
      <c r="L206" s="33" t="s">
        <v>248</v>
      </c>
      <c r="M206" s="29" t="n">
        <f aca="false">+YEAR(F206)</f>
        <v>2026</v>
      </c>
      <c r="N206" s="29" t="n">
        <v>2026</v>
      </c>
      <c r="O206" s="29" t="n">
        <v>1</v>
      </c>
      <c r="P206" s="29" t="str">
        <f aca="false">+CONCATENATE(Tabla[[#This Row],[MES CAMPAÑA]],"/",Tabla[[#This Row],[AÑO CAMPAÑA]])</f>
        <v>1/2026</v>
      </c>
      <c r="Q206" s="29" t="s">
        <v>73</v>
      </c>
      <c r="R206" s="29"/>
      <c r="S206" s="34" t="n">
        <v>0</v>
      </c>
      <c r="T206" s="34" t="n">
        <v>14686</v>
      </c>
      <c r="U206" s="34" t="n">
        <v>2790</v>
      </c>
      <c r="V206" s="29"/>
      <c r="W206" s="35" t="n">
        <v>17476</v>
      </c>
      <c r="X206" s="36" t="n">
        <f aca="false">+Tabla[[#This Row],[TOTAL]]</f>
        <v>17476</v>
      </c>
      <c r="Y206" s="37"/>
      <c r="Z206" s="37"/>
      <c r="AA206" s="37"/>
      <c r="AB206" s="38" t="n">
        <f aca="false">+W206-AC206</f>
        <v>0</v>
      </c>
      <c r="AC206" s="34" t="n">
        <f aca="false">+Tabla[[#This Row],[P4]]+Tabla[[#This Row],[P3]]+Tabla[[#This Row],[P2]]+Tabla[[#This Row],[P1]]</f>
        <v>17476</v>
      </c>
      <c r="AD206" s="34" t="n">
        <f aca="false">+W206-AC206</f>
        <v>0</v>
      </c>
      <c r="AE206" s="21" t="str">
        <f aca="false">IF(AB206&lt;1,"PAGADA","PENDIENTE")</f>
        <v>PAGADA</v>
      </c>
      <c r="AF206" s="21"/>
      <c r="AG206" s="29"/>
      <c r="AH206" s="40"/>
      <c r="AI206" s="40" t="n">
        <f aca="false">+IF(Tabla[[#This Row],[FECHA PAGO / ABONO]]&lt;1,0,(MONTH(Tabla[[#This Row],[FECHA PAGO / ABONO]])))</f>
        <v>0</v>
      </c>
      <c r="AJ206" s="40" t="n">
        <f aca="false">+IF(Tabla[[#This Row],[FECHA PAGO / ABONO]]&lt;1,0,(YEAR(Tabla[[#This Row],[FECHA PAGO / ABONO]])))</f>
        <v>0</v>
      </c>
      <c r="AK206" s="41"/>
    </row>
    <row r="207" customFormat="false" ht="14.25" hidden="false" customHeight="false" outlineLevel="0" collapsed="false">
      <c r="A207" s="28" t="s">
        <v>254</v>
      </c>
      <c r="B207" s="29" t="s">
        <v>255</v>
      </c>
      <c r="C207" s="29" t="s">
        <v>69</v>
      </c>
      <c r="D207" s="21" t="n">
        <v>4120</v>
      </c>
      <c r="E207" s="21" t="str">
        <f aca="false">+CONCATENATE(Tabla[[#This Row],[RUT]],Tabla[[#This Row],[PROVEEDOR]],Tabla[[#This Row],[FACTURA]])</f>
        <v>78269440-5COMUNICACIONES C Y V S A4120</v>
      </c>
      <c r="F207" s="57" t="n">
        <v>46062</v>
      </c>
      <c r="G207" s="31" t="n">
        <f aca="false">+F207+30</f>
        <v>46092</v>
      </c>
      <c r="H207" s="29" t="n">
        <f aca="true">+IF(AE207="PAGADA",0,TODAY()-G207)</f>
        <v>112</v>
      </c>
      <c r="I207" s="29" t="str">
        <f aca="false">+IF(H207&gt;180,"Atrasada",IF(H207&gt;150,"150 dias",IF(H207&gt;120,"120 dias",IF(H207&gt;90,"90 dias",IF(H207&gt;60,"60 dias",IF(H207&gt;30,"30 dias","Al Día"))))))</f>
        <v>90 dias</v>
      </c>
      <c r="J207" s="32" t="s">
        <v>80</v>
      </c>
      <c r="K207" s="29" t="s">
        <v>81</v>
      </c>
      <c r="L207" s="33" t="s">
        <v>248</v>
      </c>
      <c r="M207" s="29" t="n">
        <f aca="false">+YEAR(F207)</f>
        <v>2026</v>
      </c>
      <c r="N207" s="29" t="n">
        <v>2025</v>
      </c>
      <c r="O207" s="29" t="n">
        <v>12</v>
      </c>
      <c r="P207" s="29" t="str">
        <f aca="false">+CONCATENATE(Tabla[[#This Row],[MES CAMPAÑA]],"/",Tabla[[#This Row],[AÑO CAMPAÑA]])</f>
        <v>12/2025</v>
      </c>
      <c r="Q207" s="29" t="s">
        <v>92</v>
      </c>
      <c r="R207" s="29"/>
      <c r="S207" s="34" t="n">
        <v>0</v>
      </c>
      <c r="T207" s="34" t="n">
        <v>504000</v>
      </c>
      <c r="U207" s="34" t="n">
        <v>95760</v>
      </c>
      <c r="V207" s="29"/>
      <c r="W207" s="35" t="n">
        <v>599760</v>
      </c>
      <c r="X207" s="36"/>
      <c r="Y207" s="37"/>
      <c r="Z207" s="37"/>
      <c r="AA207" s="37"/>
      <c r="AB207" s="38" t="n">
        <f aca="false">+W207-AC207</f>
        <v>599760</v>
      </c>
      <c r="AC207" s="34" t="n">
        <f aca="false">+Tabla[[#This Row],[P4]]+Tabla[[#This Row],[P3]]+Tabla[[#This Row],[P2]]+Tabla[[#This Row],[P1]]</f>
        <v>0</v>
      </c>
      <c r="AD207" s="34" t="n">
        <f aca="false">+W207-AC207</f>
        <v>599760</v>
      </c>
      <c r="AE207" s="21" t="str">
        <f aca="false">IF(AB207&lt;1,"PAGADA","PENDIENTE")</f>
        <v>PENDIENTE</v>
      </c>
      <c r="AF207" s="21"/>
      <c r="AG207" s="29"/>
      <c r="AH207" s="40"/>
      <c r="AI207" s="40" t="n">
        <f aca="false">+IF(Tabla[[#This Row],[FECHA PAGO / ABONO]]&lt;1,0,(MONTH(Tabla[[#This Row],[FECHA PAGO / ABONO]])))</f>
        <v>0</v>
      </c>
      <c r="AJ207" s="40" t="n">
        <f aca="false">+IF(Tabla[[#This Row],[FECHA PAGO / ABONO]]&lt;1,0,(YEAR(Tabla[[#This Row],[FECHA PAGO / ABONO]])))</f>
        <v>0</v>
      </c>
      <c r="AK207" s="41"/>
    </row>
    <row r="208" customFormat="false" ht="14.25" hidden="false" customHeight="false" outlineLevel="0" collapsed="false">
      <c r="A208" s="28" t="s">
        <v>93</v>
      </c>
      <c r="B208" s="29" t="s">
        <v>94</v>
      </c>
      <c r="C208" s="29" t="s">
        <v>69</v>
      </c>
      <c r="D208" s="21" t="n">
        <v>520</v>
      </c>
      <c r="E208" s="21" t="str">
        <f aca="false">+CONCATENATE(Tabla[[#This Row],[RUT]],Tabla[[#This Row],[PROVEEDOR]],Tabla[[#This Row],[FACTURA]])</f>
        <v>77278997-1CHILE 4 SPA520</v>
      </c>
      <c r="F208" s="57" t="n">
        <v>46063</v>
      </c>
      <c r="G208" s="31" t="n">
        <f aca="false">+F208+30</f>
        <v>46093</v>
      </c>
      <c r="H208" s="29" t="n">
        <f aca="true">+IF(AE208="PAGADA",0,TODAY()-G208)</f>
        <v>0</v>
      </c>
      <c r="I208" s="29" t="str">
        <f aca="false">+IF(H208&gt;180,"Atrasada",IF(H208&gt;150,"150 dias",IF(H208&gt;120,"120 dias",IF(H208&gt;90,"90 dias",IF(H208&gt;60,"60 dias",IF(H208&gt;30,"30 dias","Al Día"))))))</f>
        <v>Al Día</v>
      </c>
      <c r="J208" s="32" t="s">
        <v>31</v>
      </c>
      <c r="K208" s="29" t="s">
        <v>81</v>
      </c>
      <c r="L208" s="33" t="s">
        <v>248</v>
      </c>
      <c r="M208" s="29" t="n">
        <f aca="false">+YEAR(F208)</f>
        <v>2026</v>
      </c>
      <c r="N208" s="29" t="n">
        <v>2026</v>
      </c>
      <c r="O208" s="29" t="n">
        <v>1</v>
      </c>
      <c r="P208" s="29" t="str">
        <f aca="false">+CONCATENATE(Tabla[[#This Row],[MES CAMPAÑA]],"/",Tabla[[#This Row],[AÑO CAMPAÑA]])</f>
        <v>1/2026</v>
      </c>
      <c r="Q208" s="29" t="s">
        <v>73</v>
      </c>
      <c r="R208" s="29"/>
      <c r="S208" s="34" t="n">
        <v>0</v>
      </c>
      <c r="T208" s="34" t="n">
        <v>1933860</v>
      </c>
      <c r="U208" s="34" t="n">
        <v>367433</v>
      </c>
      <c r="V208" s="29"/>
      <c r="W208" s="35" t="n">
        <v>2301293</v>
      </c>
      <c r="X208" s="36" t="n">
        <f aca="false">+Tabla[[#This Row],[TOTAL]]</f>
        <v>2301293</v>
      </c>
      <c r="Y208" s="37"/>
      <c r="Z208" s="37"/>
      <c r="AA208" s="37"/>
      <c r="AB208" s="38" t="n">
        <f aca="false">+W208-AC208</f>
        <v>0</v>
      </c>
      <c r="AC208" s="34" t="n">
        <f aca="false">+Tabla[[#This Row],[P4]]+Tabla[[#This Row],[P3]]+Tabla[[#This Row],[P2]]+Tabla[[#This Row],[P1]]</f>
        <v>2301293</v>
      </c>
      <c r="AD208" s="34" t="n">
        <f aca="false">+W208-AC208</f>
        <v>0</v>
      </c>
      <c r="AE208" s="21" t="str">
        <f aca="false">IF(AB208&lt;1,"PAGADA","PENDIENTE")</f>
        <v>PAGADA</v>
      </c>
      <c r="AF208" s="21"/>
      <c r="AG208" s="29" t="s">
        <v>77</v>
      </c>
      <c r="AH208" s="39" t="n">
        <v>46129</v>
      </c>
      <c r="AI208" s="40" t="n">
        <f aca="false">+IF(Tabla[[#This Row],[FECHA PAGO / ABONO]]&lt;1,0,(MONTH(Tabla[[#This Row],[FECHA PAGO / ABONO]])))</f>
        <v>4</v>
      </c>
      <c r="AJ208" s="40" t="n">
        <f aca="false">+IF(Tabla[[#This Row],[FECHA PAGO / ABONO]]&lt;1,0,(YEAR(Tabla[[#This Row],[FECHA PAGO / ABONO]])))</f>
        <v>2026</v>
      </c>
      <c r="AK208" s="41"/>
    </row>
    <row r="209" customFormat="false" ht="14.25" hidden="false" customHeight="false" outlineLevel="0" collapsed="false">
      <c r="A209" s="28" t="s">
        <v>112</v>
      </c>
      <c r="B209" s="29" t="s">
        <v>113</v>
      </c>
      <c r="C209" s="29" t="s">
        <v>125</v>
      </c>
      <c r="D209" s="21" t="n">
        <v>33560</v>
      </c>
      <c r="E209" s="21" t="str">
        <f aca="false">+CONCATENATE(Tabla[[#This Row],[RUT]],Tabla[[#This Row],[PROVEEDOR]],Tabla[[#This Row],[FACTURA]])</f>
        <v>71614000-8Universidad de los Andes33560</v>
      </c>
      <c r="F209" s="57" t="n">
        <v>46063</v>
      </c>
      <c r="G209" s="31" t="n">
        <f aca="false">+F209+30</f>
        <v>46093</v>
      </c>
      <c r="H209" s="29" t="n">
        <f aca="true">+IF(AE209="PAGADA",0,TODAY()-G209)</f>
        <v>0</v>
      </c>
      <c r="I209" s="29" t="str">
        <f aca="false">+IF(H209&gt;180,"Atrasada",IF(H209&gt;150,"150 dias",IF(H209&gt;120,"120 dias",IF(H209&gt;90,"90 dias",IF(H209&gt;60,"60 dias",IF(H209&gt;30,"30 dias","Al Día"))))))</f>
        <v>Al Día</v>
      </c>
      <c r="J209" s="32" t="s">
        <v>80</v>
      </c>
      <c r="K209" s="29" t="s">
        <v>126</v>
      </c>
      <c r="L209" s="33" t="s">
        <v>72</v>
      </c>
      <c r="M209" s="29" t="n">
        <f aca="false">+YEAR(F209)</f>
        <v>2026</v>
      </c>
      <c r="N209" s="29" t="n">
        <v>2026</v>
      </c>
      <c r="O209" s="29" t="n">
        <v>1</v>
      </c>
      <c r="P209" s="29" t="str">
        <f aca="false">+CONCATENATE(Tabla[[#This Row],[MES CAMPAÑA]],"/",Tabla[[#This Row],[AÑO CAMPAÑA]])</f>
        <v>1/2026</v>
      </c>
      <c r="Q209" s="29" t="s">
        <v>115</v>
      </c>
      <c r="R209" s="29"/>
      <c r="S209" s="34" t="n">
        <v>0</v>
      </c>
      <c r="T209" s="34" t="n">
        <v>950000</v>
      </c>
      <c r="U209" s="34" t="n">
        <v>180500</v>
      </c>
      <c r="V209" s="29"/>
      <c r="W209" s="35" t="n">
        <v>1130500</v>
      </c>
      <c r="X209" s="36" t="n">
        <f aca="false">+Tabla[[#This Row],[TOTAL]]</f>
        <v>1130500</v>
      </c>
      <c r="Y209" s="37"/>
      <c r="Z209" s="37"/>
      <c r="AA209" s="37"/>
      <c r="AB209" s="38" t="n">
        <f aca="false">+W209-AC209</f>
        <v>0</v>
      </c>
      <c r="AC209" s="34" t="n">
        <f aca="false">+Tabla[[#This Row],[P4]]+Tabla[[#This Row],[P3]]+Tabla[[#This Row],[P2]]+Tabla[[#This Row],[P1]]</f>
        <v>1130500</v>
      </c>
      <c r="AD209" s="34" t="n">
        <f aca="false">+W209-AC209</f>
        <v>0</v>
      </c>
      <c r="AE209" s="21" t="str">
        <f aca="false">IF(AB209&lt;1,"PAGADA","PENDIENTE")</f>
        <v>PAGADA</v>
      </c>
      <c r="AF209" s="21"/>
      <c r="AG209" s="29" t="s">
        <v>126</v>
      </c>
      <c r="AH209" s="40"/>
      <c r="AI209" s="40" t="n">
        <f aca="false">+IF(Tabla[[#This Row],[FECHA PAGO / ABONO]]&lt;1,0,(MONTH(Tabla[[#This Row],[FECHA PAGO / ABONO]])))</f>
        <v>0</v>
      </c>
      <c r="AJ209" s="40" t="n">
        <f aca="false">+IF(Tabla[[#This Row],[FECHA PAGO / ABONO]]&lt;1,0,(YEAR(Tabla[[#This Row],[FECHA PAGO / ABONO]])))</f>
        <v>0</v>
      </c>
      <c r="AK209" s="41" t="s">
        <v>256</v>
      </c>
    </row>
    <row r="210" customFormat="false" ht="14.25" hidden="false" customHeight="false" outlineLevel="0" collapsed="false">
      <c r="A210" s="28" t="s">
        <v>103</v>
      </c>
      <c r="B210" s="29" t="s">
        <v>104</v>
      </c>
      <c r="C210" s="29" t="s">
        <v>69</v>
      </c>
      <c r="D210" s="21" t="n">
        <v>1638232</v>
      </c>
      <c r="E210" s="21" t="str">
        <f aca="false">+CONCATENATE(Tabla[[#This Row],[RUT]],Tabla[[#This Row],[PROVEEDOR]],Tabla[[#This Row],[FACTURA]])</f>
        <v>76590840-KZURICH SANTANDER SEGUROS GENERALES CHILE S1638232</v>
      </c>
      <c r="F210" s="57" t="n">
        <v>46063</v>
      </c>
      <c r="G210" s="31" t="n">
        <f aca="false">+F210+30</f>
        <v>46093</v>
      </c>
      <c r="H210" s="29" t="n">
        <f aca="true">+IF(AE210="PAGADA",0,TODAY()-G210)</f>
        <v>0</v>
      </c>
      <c r="I210" s="29" t="str">
        <f aca="false">+IF(H210&gt;180,"Atrasada",IF(H210&gt;150,"150 dias",IF(H210&gt;120,"120 dias",IF(H210&gt;90,"90 dias",IF(H210&gt;60,"60 dias",IF(H210&gt;30,"30 dias","Al Día"))))))</f>
        <v>Al Día</v>
      </c>
      <c r="J210" s="32" t="s">
        <v>31</v>
      </c>
      <c r="K210" s="29" t="s">
        <v>81</v>
      </c>
      <c r="L210" s="33" t="s">
        <v>248</v>
      </c>
      <c r="M210" s="29" t="n">
        <f aca="false">+YEAR(F210)</f>
        <v>2026</v>
      </c>
      <c r="N210" s="29" t="n">
        <v>2026</v>
      </c>
      <c r="O210" s="29" t="n">
        <v>1</v>
      </c>
      <c r="P210" s="29" t="str">
        <f aca="false">+CONCATENATE(Tabla[[#This Row],[MES CAMPAÑA]],"/",Tabla[[#This Row],[AÑO CAMPAÑA]])</f>
        <v>1/2026</v>
      </c>
      <c r="Q210" s="29" t="s">
        <v>73</v>
      </c>
      <c r="R210" s="29"/>
      <c r="S210" s="34" t="n">
        <v>0</v>
      </c>
      <c r="T210" s="34" t="n">
        <v>7455</v>
      </c>
      <c r="U210" s="34" t="n">
        <v>1416</v>
      </c>
      <c r="V210" s="29"/>
      <c r="W210" s="35" t="n">
        <v>8871</v>
      </c>
      <c r="X210" s="36" t="n">
        <f aca="false">+Tabla[[#This Row],[TOTAL]]</f>
        <v>8871</v>
      </c>
      <c r="Y210" s="37"/>
      <c r="Z210" s="37"/>
      <c r="AA210" s="37"/>
      <c r="AB210" s="38" t="n">
        <f aca="false">+W210-AC210</f>
        <v>0</v>
      </c>
      <c r="AC210" s="34" t="n">
        <f aca="false">+Tabla[[#This Row],[P4]]+Tabla[[#This Row],[P3]]+Tabla[[#This Row],[P2]]+Tabla[[#This Row],[P1]]</f>
        <v>8871</v>
      </c>
      <c r="AD210" s="34" t="n">
        <f aca="false">+W210-AC210</f>
        <v>0</v>
      </c>
      <c r="AE210" s="21" t="str">
        <f aca="false">IF(AB210&lt;1,"PAGADA","PENDIENTE")</f>
        <v>PAGADA</v>
      </c>
      <c r="AF210" s="21"/>
      <c r="AG210" s="29"/>
      <c r="AH210" s="40"/>
      <c r="AI210" s="40" t="n">
        <f aca="false">+IF(Tabla[[#This Row],[FECHA PAGO / ABONO]]&lt;1,0,(MONTH(Tabla[[#This Row],[FECHA PAGO / ABONO]])))</f>
        <v>0</v>
      </c>
      <c r="AJ210" s="40" t="n">
        <f aca="false">+IF(Tabla[[#This Row],[FECHA PAGO / ABONO]]&lt;1,0,(YEAR(Tabla[[#This Row],[FECHA PAGO / ABONO]])))</f>
        <v>0</v>
      </c>
      <c r="AK210" s="41"/>
    </row>
    <row r="211" customFormat="false" ht="14.25" hidden="false" customHeight="false" outlineLevel="0" collapsed="false">
      <c r="A211" s="28" t="s">
        <v>101</v>
      </c>
      <c r="B211" s="29" t="s">
        <v>102</v>
      </c>
      <c r="C211" s="29" t="s">
        <v>69</v>
      </c>
      <c r="D211" s="21" t="n">
        <v>29478051</v>
      </c>
      <c r="E211" s="21" t="str">
        <f aca="false">+CONCATENATE(Tabla[[#This Row],[RUT]],Tabla[[#This Row],[PROVEEDOR]],Tabla[[#This Row],[FACTURA]])</f>
        <v>97006000-6BANCO DE CREDITO E INVERSIONES29478051</v>
      </c>
      <c r="F211" s="57" t="n">
        <v>46064</v>
      </c>
      <c r="G211" s="31" t="n">
        <f aca="false">+F211+30</f>
        <v>46094</v>
      </c>
      <c r="H211" s="29" t="n">
        <f aca="true">+IF(AE211="PAGADA",0,TODAY()-G211)</f>
        <v>0</v>
      </c>
      <c r="I211" s="29" t="str">
        <f aca="false">+IF(H211&gt;180,"Atrasada",IF(H211&gt;150,"150 dias",IF(H211&gt;120,"120 dias",IF(H211&gt;90,"90 dias",IF(H211&gt;60,"60 dias",IF(H211&gt;30,"30 dias","Al Día"))))))</f>
        <v>Al Día</v>
      </c>
      <c r="J211" s="32" t="s">
        <v>31</v>
      </c>
      <c r="K211" s="29" t="s">
        <v>81</v>
      </c>
      <c r="L211" s="33" t="s">
        <v>248</v>
      </c>
      <c r="M211" s="29" t="n">
        <f aca="false">+YEAR(F211)</f>
        <v>2026</v>
      </c>
      <c r="N211" s="29" t="n">
        <v>2026</v>
      </c>
      <c r="O211" s="29" t="n">
        <v>1</v>
      </c>
      <c r="P211" s="29" t="str">
        <f aca="false">+CONCATENATE(Tabla[[#This Row],[MES CAMPAÑA]],"/",Tabla[[#This Row],[AÑO CAMPAÑA]])</f>
        <v>1/2026</v>
      </c>
      <c r="Q211" s="29" t="s">
        <v>73</v>
      </c>
      <c r="R211" s="29"/>
      <c r="S211" s="34" t="n">
        <v>0</v>
      </c>
      <c r="T211" s="34" t="n">
        <v>114737</v>
      </c>
      <c r="U211" s="34" t="n">
        <v>21800</v>
      </c>
      <c r="V211" s="29"/>
      <c r="W211" s="35" t="n">
        <v>136537</v>
      </c>
      <c r="X211" s="36" t="n">
        <f aca="false">+Tabla[[#This Row],[TOTAL]]</f>
        <v>136537</v>
      </c>
      <c r="Y211" s="37"/>
      <c r="Z211" s="37"/>
      <c r="AA211" s="37"/>
      <c r="AB211" s="38" t="n">
        <f aca="false">+W211-AC211</f>
        <v>0</v>
      </c>
      <c r="AC211" s="34" t="n">
        <f aca="false">+Tabla[[#This Row],[P4]]+Tabla[[#This Row],[P3]]+Tabla[[#This Row],[P2]]+Tabla[[#This Row],[P1]]</f>
        <v>136537</v>
      </c>
      <c r="AD211" s="34" t="n">
        <f aca="false">+W211-AC211</f>
        <v>0</v>
      </c>
      <c r="AE211" s="21" t="str">
        <f aca="false">IF(AB211&lt;1,"PAGADA","PENDIENTE")</f>
        <v>PAGADA</v>
      </c>
      <c r="AF211" s="21"/>
      <c r="AG211" s="29"/>
      <c r="AH211" s="40"/>
      <c r="AI211" s="40" t="n">
        <f aca="false">+IF(Tabla[[#This Row],[FECHA PAGO / ABONO]]&lt;1,0,(MONTH(Tabla[[#This Row],[FECHA PAGO / ABONO]])))</f>
        <v>0</v>
      </c>
      <c r="AJ211" s="40" t="n">
        <f aca="false">+IF(Tabla[[#This Row],[FECHA PAGO / ABONO]]&lt;1,0,(YEAR(Tabla[[#This Row],[FECHA PAGO / ABONO]])))</f>
        <v>0</v>
      </c>
      <c r="AK211" s="41"/>
    </row>
    <row r="212" customFormat="false" ht="14.25" hidden="false" customHeight="false" outlineLevel="0" collapsed="false">
      <c r="A212" s="28" t="s">
        <v>101</v>
      </c>
      <c r="B212" s="29" t="s">
        <v>102</v>
      </c>
      <c r="C212" s="29" t="s">
        <v>69</v>
      </c>
      <c r="D212" s="21" t="n">
        <v>29478052</v>
      </c>
      <c r="E212" s="21" t="str">
        <f aca="false">+CONCATENATE(Tabla[[#This Row],[RUT]],Tabla[[#This Row],[PROVEEDOR]],Tabla[[#This Row],[FACTURA]])</f>
        <v>97006000-6BANCO DE CREDITO E INVERSIONES29478052</v>
      </c>
      <c r="F212" s="57" t="n">
        <v>46064</v>
      </c>
      <c r="G212" s="31" t="n">
        <f aca="false">+F212+30</f>
        <v>46094</v>
      </c>
      <c r="H212" s="29" t="n">
        <f aca="true">+IF(AE212="PAGADA",0,TODAY()-G212)</f>
        <v>0</v>
      </c>
      <c r="I212" s="29" t="str">
        <f aca="false">+IF(H212&gt;180,"Atrasada",IF(H212&gt;150,"150 dias",IF(H212&gt;120,"120 dias",IF(H212&gt;90,"90 dias",IF(H212&gt;60,"60 dias",IF(H212&gt;30,"30 dias","Al Día"))))))</f>
        <v>Al Día</v>
      </c>
      <c r="J212" s="32" t="s">
        <v>31</v>
      </c>
      <c r="K212" s="29" t="s">
        <v>81</v>
      </c>
      <c r="L212" s="33" t="s">
        <v>248</v>
      </c>
      <c r="M212" s="29" t="n">
        <f aca="false">+YEAR(F212)</f>
        <v>2026</v>
      </c>
      <c r="N212" s="29" t="n">
        <v>2026</v>
      </c>
      <c r="O212" s="29" t="n">
        <v>1</v>
      </c>
      <c r="P212" s="29" t="str">
        <f aca="false">+CONCATENATE(Tabla[[#This Row],[MES CAMPAÑA]],"/",Tabla[[#This Row],[AÑO CAMPAÑA]])</f>
        <v>1/2026</v>
      </c>
      <c r="Q212" s="29" t="s">
        <v>73</v>
      </c>
      <c r="R212" s="29"/>
      <c r="S212" s="34" t="n">
        <v>0</v>
      </c>
      <c r="T212" s="34" t="n">
        <v>1490</v>
      </c>
      <c r="U212" s="34" t="n">
        <v>283</v>
      </c>
      <c r="V212" s="29"/>
      <c r="W212" s="35" t="n">
        <v>1773</v>
      </c>
      <c r="X212" s="36" t="n">
        <f aca="false">+Tabla[[#This Row],[TOTAL]]</f>
        <v>1773</v>
      </c>
      <c r="Y212" s="37"/>
      <c r="Z212" s="37"/>
      <c r="AA212" s="37"/>
      <c r="AB212" s="38" t="n">
        <f aca="false">+W212-AC212</f>
        <v>0</v>
      </c>
      <c r="AC212" s="34" t="n">
        <f aca="false">+Tabla[[#This Row],[P4]]+Tabla[[#This Row],[P3]]+Tabla[[#This Row],[P2]]+Tabla[[#This Row],[P1]]</f>
        <v>1773</v>
      </c>
      <c r="AD212" s="34" t="n">
        <f aca="false">+W212-AC212</f>
        <v>0</v>
      </c>
      <c r="AE212" s="21" t="str">
        <f aca="false">IF(AB212&lt;1,"PAGADA","PENDIENTE")</f>
        <v>PAGADA</v>
      </c>
      <c r="AF212" s="21"/>
      <c r="AG212" s="29"/>
      <c r="AH212" s="40"/>
      <c r="AI212" s="40" t="n">
        <f aca="false">+IF(Tabla[[#This Row],[FECHA PAGO / ABONO]]&lt;1,0,(MONTH(Tabla[[#This Row],[FECHA PAGO / ABONO]])))</f>
        <v>0</v>
      </c>
      <c r="AJ212" s="40" t="n">
        <f aca="false">+IF(Tabla[[#This Row],[FECHA PAGO / ABONO]]&lt;1,0,(YEAR(Tabla[[#This Row],[FECHA PAGO / ABONO]])))</f>
        <v>0</v>
      </c>
      <c r="AK212" s="41"/>
    </row>
    <row r="213" customFormat="false" ht="14.25" hidden="false" customHeight="false" outlineLevel="0" collapsed="false">
      <c r="A213" s="28" t="s">
        <v>101</v>
      </c>
      <c r="B213" s="29" t="s">
        <v>102</v>
      </c>
      <c r="C213" s="29" t="s">
        <v>69</v>
      </c>
      <c r="D213" s="21" t="n">
        <v>29478053</v>
      </c>
      <c r="E213" s="21" t="str">
        <f aca="false">+CONCATENATE(Tabla[[#This Row],[RUT]],Tabla[[#This Row],[PROVEEDOR]],Tabla[[#This Row],[FACTURA]])</f>
        <v>97006000-6BANCO DE CREDITO E INVERSIONES29478053</v>
      </c>
      <c r="F213" s="57" t="n">
        <v>46064</v>
      </c>
      <c r="G213" s="31" t="n">
        <f aca="false">+F213+30</f>
        <v>46094</v>
      </c>
      <c r="H213" s="29" t="n">
        <f aca="true">+IF(AE213="PAGADA",0,TODAY()-G213)</f>
        <v>0</v>
      </c>
      <c r="I213" s="29" t="str">
        <f aca="false">+IF(H213&gt;180,"Atrasada",IF(H213&gt;150,"150 dias",IF(H213&gt;120,"120 dias",IF(H213&gt;90,"90 dias",IF(H213&gt;60,"60 dias",IF(H213&gt;30,"30 dias","Al Día"))))))</f>
        <v>Al Día</v>
      </c>
      <c r="J213" s="32" t="s">
        <v>31</v>
      </c>
      <c r="K213" s="29" t="s">
        <v>81</v>
      </c>
      <c r="L213" s="33" t="s">
        <v>248</v>
      </c>
      <c r="M213" s="29" t="n">
        <f aca="false">+YEAR(F213)</f>
        <v>2026</v>
      </c>
      <c r="N213" s="29" t="n">
        <v>2026</v>
      </c>
      <c r="O213" s="29" t="n">
        <v>1</v>
      </c>
      <c r="P213" s="29" t="str">
        <f aca="false">+CONCATENATE(Tabla[[#This Row],[MES CAMPAÑA]],"/",Tabla[[#This Row],[AÑO CAMPAÑA]])</f>
        <v>1/2026</v>
      </c>
      <c r="Q213" s="29" t="s">
        <v>73</v>
      </c>
      <c r="R213" s="29"/>
      <c r="S213" s="34" t="n">
        <v>0</v>
      </c>
      <c r="T213" s="34" t="n">
        <v>1687</v>
      </c>
      <c r="U213" s="34" t="n">
        <v>320</v>
      </c>
      <c r="V213" s="29"/>
      <c r="W213" s="35" t="n">
        <v>2007</v>
      </c>
      <c r="X213" s="36" t="n">
        <f aca="false">+Tabla[[#This Row],[TOTAL]]</f>
        <v>2007</v>
      </c>
      <c r="Y213" s="37"/>
      <c r="Z213" s="37"/>
      <c r="AA213" s="37"/>
      <c r="AB213" s="38" t="n">
        <f aca="false">+W213-AC213</f>
        <v>0</v>
      </c>
      <c r="AC213" s="34" t="n">
        <f aca="false">+Tabla[[#This Row],[P4]]+Tabla[[#This Row],[P3]]+Tabla[[#This Row],[P2]]+Tabla[[#This Row],[P1]]</f>
        <v>2007</v>
      </c>
      <c r="AD213" s="34" t="n">
        <f aca="false">+W213-AC213</f>
        <v>0</v>
      </c>
      <c r="AE213" s="21" t="str">
        <f aca="false">IF(AB213&lt;1,"PAGADA","PENDIENTE")</f>
        <v>PAGADA</v>
      </c>
      <c r="AF213" s="21"/>
      <c r="AG213" s="29"/>
      <c r="AH213" s="40"/>
      <c r="AI213" s="40" t="n">
        <f aca="false">+IF(Tabla[[#This Row],[FECHA PAGO / ABONO]]&lt;1,0,(MONTH(Tabla[[#This Row],[FECHA PAGO / ABONO]])))</f>
        <v>0</v>
      </c>
      <c r="AJ213" s="40" t="n">
        <f aca="false">+IF(Tabla[[#This Row],[FECHA PAGO / ABONO]]&lt;1,0,(YEAR(Tabla[[#This Row],[FECHA PAGO / ABONO]])))</f>
        <v>0</v>
      </c>
      <c r="AK213" s="41"/>
    </row>
    <row r="214" customFormat="false" ht="14.25" hidden="false" customHeight="false" outlineLevel="0" collapsed="false">
      <c r="A214" s="28" t="s">
        <v>101</v>
      </c>
      <c r="B214" s="29" t="s">
        <v>102</v>
      </c>
      <c r="C214" s="29" t="s">
        <v>69</v>
      </c>
      <c r="D214" s="21" t="n">
        <v>29478054</v>
      </c>
      <c r="E214" s="21" t="str">
        <f aca="false">+CONCATENATE(Tabla[[#This Row],[RUT]],Tabla[[#This Row],[PROVEEDOR]],Tabla[[#This Row],[FACTURA]])</f>
        <v>97006000-6BANCO DE CREDITO E INVERSIONES29478054</v>
      </c>
      <c r="F214" s="57" t="n">
        <v>46064</v>
      </c>
      <c r="G214" s="31" t="n">
        <f aca="false">+F214+30</f>
        <v>46094</v>
      </c>
      <c r="H214" s="29" t="n">
        <f aca="true">+IF(AE214="PAGADA",0,TODAY()-G214)</f>
        <v>0</v>
      </c>
      <c r="I214" s="29" t="str">
        <f aca="false">+IF(H214&gt;180,"Atrasada",IF(H214&gt;150,"150 dias",IF(H214&gt;120,"120 dias",IF(H214&gt;90,"90 dias",IF(H214&gt;60,"60 dias",IF(H214&gt;30,"30 dias","Al Día"))))))</f>
        <v>Al Día</v>
      </c>
      <c r="J214" s="32" t="s">
        <v>31</v>
      </c>
      <c r="K214" s="29" t="s">
        <v>81</v>
      </c>
      <c r="L214" s="33" t="s">
        <v>248</v>
      </c>
      <c r="M214" s="29" t="n">
        <f aca="false">+YEAR(F214)</f>
        <v>2026</v>
      </c>
      <c r="N214" s="29" t="n">
        <v>2026</v>
      </c>
      <c r="O214" s="29" t="n">
        <v>1</v>
      </c>
      <c r="P214" s="29" t="str">
        <f aca="false">+CONCATENATE(Tabla[[#This Row],[MES CAMPAÑA]],"/",Tabla[[#This Row],[AÑO CAMPAÑA]])</f>
        <v>1/2026</v>
      </c>
      <c r="Q214" s="29" t="s">
        <v>73</v>
      </c>
      <c r="R214" s="29"/>
      <c r="S214" s="34" t="n">
        <v>0</v>
      </c>
      <c r="T214" s="34" t="n">
        <v>1652</v>
      </c>
      <c r="U214" s="34" t="n">
        <v>314</v>
      </c>
      <c r="V214" s="29"/>
      <c r="W214" s="35" t="n">
        <v>1966</v>
      </c>
      <c r="X214" s="36" t="n">
        <f aca="false">+Tabla[[#This Row],[TOTAL]]</f>
        <v>1966</v>
      </c>
      <c r="Y214" s="37"/>
      <c r="Z214" s="37"/>
      <c r="AA214" s="37"/>
      <c r="AB214" s="38" t="n">
        <f aca="false">+W214-AC214</f>
        <v>0</v>
      </c>
      <c r="AC214" s="34" t="n">
        <f aca="false">+Tabla[[#This Row],[P4]]+Tabla[[#This Row],[P3]]+Tabla[[#This Row],[P2]]+Tabla[[#This Row],[P1]]</f>
        <v>1966</v>
      </c>
      <c r="AD214" s="34" t="n">
        <f aca="false">+W214-AC214</f>
        <v>0</v>
      </c>
      <c r="AE214" s="21" t="str">
        <f aca="false">IF(AB214&lt;1,"PAGADA","PENDIENTE")</f>
        <v>PAGADA</v>
      </c>
      <c r="AF214" s="21"/>
      <c r="AG214" s="29"/>
      <c r="AH214" s="40"/>
      <c r="AI214" s="40" t="n">
        <f aca="false">+IF(Tabla[[#This Row],[FECHA PAGO / ABONO]]&lt;1,0,(MONTH(Tabla[[#This Row],[FECHA PAGO / ABONO]])))</f>
        <v>0</v>
      </c>
      <c r="AJ214" s="40" t="n">
        <f aca="false">+IF(Tabla[[#This Row],[FECHA PAGO / ABONO]]&lt;1,0,(YEAR(Tabla[[#This Row],[FECHA PAGO / ABONO]])))</f>
        <v>0</v>
      </c>
      <c r="AK214" s="41"/>
    </row>
    <row r="215" customFormat="false" ht="14.25" hidden="false" customHeight="false" outlineLevel="0" collapsed="false">
      <c r="A215" s="28" t="s">
        <v>101</v>
      </c>
      <c r="B215" s="29" t="s">
        <v>102</v>
      </c>
      <c r="C215" s="29" t="s">
        <v>69</v>
      </c>
      <c r="D215" s="21" t="n">
        <v>29478055</v>
      </c>
      <c r="E215" s="21" t="str">
        <f aca="false">+CONCATENATE(Tabla[[#This Row],[RUT]],Tabla[[#This Row],[PROVEEDOR]],Tabla[[#This Row],[FACTURA]])</f>
        <v>97006000-6BANCO DE CREDITO E INVERSIONES29478055</v>
      </c>
      <c r="F215" s="57" t="n">
        <v>46064</v>
      </c>
      <c r="G215" s="31" t="n">
        <f aca="false">+F215+30</f>
        <v>46094</v>
      </c>
      <c r="H215" s="29" t="n">
        <f aca="true">+IF(AE215="PAGADA",0,TODAY()-G215)</f>
        <v>0</v>
      </c>
      <c r="I215" s="29" t="str">
        <f aca="false">+IF(H215&gt;180,"Atrasada",IF(H215&gt;150,"150 dias",IF(H215&gt;120,"120 dias",IF(H215&gt;90,"90 dias",IF(H215&gt;60,"60 dias",IF(H215&gt;30,"30 dias","Al Día"))))))</f>
        <v>Al Día</v>
      </c>
      <c r="J215" s="32" t="s">
        <v>31</v>
      </c>
      <c r="K215" s="29" t="s">
        <v>81</v>
      </c>
      <c r="L215" s="33" t="s">
        <v>248</v>
      </c>
      <c r="M215" s="29" t="n">
        <f aca="false">+YEAR(F215)</f>
        <v>2026</v>
      </c>
      <c r="N215" s="29" t="n">
        <v>2026</v>
      </c>
      <c r="O215" s="29" t="n">
        <v>1</v>
      </c>
      <c r="P215" s="29" t="str">
        <f aca="false">+CONCATENATE(Tabla[[#This Row],[MES CAMPAÑA]],"/",Tabla[[#This Row],[AÑO CAMPAÑA]])</f>
        <v>1/2026</v>
      </c>
      <c r="Q215" s="29" t="s">
        <v>73</v>
      </c>
      <c r="R215" s="29"/>
      <c r="S215" s="34" t="n">
        <v>0</v>
      </c>
      <c r="T215" s="34" t="n">
        <v>1911</v>
      </c>
      <c r="U215" s="34" t="n">
        <v>363</v>
      </c>
      <c r="V215" s="29"/>
      <c r="W215" s="35" t="n">
        <v>2274</v>
      </c>
      <c r="X215" s="36" t="n">
        <f aca="false">+Tabla[[#This Row],[TOTAL]]</f>
        <v>2274</v>
      </c>
      <c r="Y215" s="37"/>
      <c r="Z215" s="37"/>
      <c r="AA215" s="37"/>
      <c r="AB215" s="38" t="n">
        <f aca="false">+W215-AC215</f>
        <v>0</v>
      </c>
      <c r="AC215" s="34" t="n">
        <f aca="false">+Tabla[[#This Row],[P4]]+Tabla[[#This Row],[P3]]+Tabla[[#This Row],[P2]]+Tabla[[#This Row],[P1]]</f>
        <v>2274</v>
      </c>
      <c r="AD215" s="34" t="n">
        <f aca="false">+W215-AC215</f>
        <v>0</v>
      </c>
      <c r="AE215" s="21" t="str">
        <f aca="false">IF(AB215&lt;1,"PAGADA","PENDIENTE")</f>
        <v>PAGADA</v>
      </c>
      <c r="AF215" s="21"/>
      <c r="AG215" s="29"/>
      <c r="AH215" s="40"/>
      <c r="AI215" s="40" t="n">
        <f aca="false">+IF(Tabla[[#This Row],[FECHA PAGO / ABONO]]&lt;1,0,(MONTH(Tabla[[#This Row],[FECHA PAGO / ABONO]])))</f>
        <v>0</v>
      </c>
      <c r="AJ215" s="40" t="n">
        <f aca="false">+IF(Tabla[[#This Row],[FECHA PAGO / ABONO]]&lt;1,0,(YEAR(Tabla[[#This Row],[FECHA PAGO / ABONO]])))</f>
        <v>0</v>
      </c>
      <c r="AK215" s="41"/>
    </row>
    <row r="216" customFormat="false" ht="14.25" hidden="false" customHeight="false" outlineLevel="0" collapsed="false">
      <c r="A216" s="28" t="s">
        <v>101</v>
      </c>
      <c r="B216" s="29" t="s">
        <v>102</v>
      </c>
      <c r="C216" s="29" t="s">
        <v>69</v>
      </c>
      <c r="D216" s="21" t="n">
        <v>29478056</v>
      </c>
      <c r="E216" s="21" t="str">
        <f aca="false">+CONCATENATE(Tabla[[#This Row],[RUT]],Tabla[[#This Row],[PROVEEDOR]],Tabla[[#This Row],[FACTURA]])</f>
        <v>97006000-6BANCO DE CREDITO E INVERSIONES29478056</v>
      </c>
      <c r="F216" s="57" t="n">
        <v>46064</v>
      </c>
      <c r="G216" s="31" t="n">
        <f aca="false">+F216+30</f>
        <v>46094</v>
      </c>
      <c r="H216" s="29" t="n">
        <f aca="true">+IF(AE216="PAGADA",0,TODAY()-G216)</f>
        <v>0</v>
      </c>
      <c r="I216" s="29" t="str">
        <f aca="false">+IF(H216&gt;180,"Atrasada",IF(H216&gt;150,"150 dias",IF(H216&gt;120,"120 dias",IF(H216&gt;90,"90 dias",IF(H216&gt;60,"60 dias",IF(H216&gt;30,"30 dias","Al Día"))))))</f>
        <v>Al Día</v>
      </c>
      <c r="J216" s="32" t="s">
        <v>31</v>
      </c>
      <c r="K216" s="29" t="s">
        <v>81</v>
      </c>
      <c r="L216" s="33" t="s">
        <v>248</v>
      </c>
      <c r="M216" s="29" t="n">
        <f aca="false">+YEAR(F216)</f>
        <v>2026</v>
      </c>
      <c r="N216" s="29" t="n">
        <v>2026</v>
      </c>
      <c r="O216" s="29" t="n">
        <v>1</v>
      </c>
      <c r="P216" s="29" t="str">
        <f aca="false">+CONCATENATE(Tabla[[#This Row],[MES CAMPAÑA]],"/",Tabla[[#This Row],[AÑO CAMPAÑA]])</f>
        <v>1/2026</v>
      </c>
      <c r="Q216" s="29" t="s">
        <v>73</v>
      </c>
      <c r="R216" s="29"/>
      <c r="S216" s="34" t="n">
        <v>0</v>
      </c>
      <c r="T216" s="34" t="n">
        <v>1428</v>
      </c>
      <c r="U216" s="34" t="n">
        <v>271</v>
      </c>
      <c r="V216" s="29"/>
      <c r="W216" s="35" t="n">
        <v>1699</v>
      </c>
      <c r="X216" s="36" t="n">
        <f aca="false">+Tabla[[#This Row],[TOTAL]]</f>
        <v>1699</v>
      </c>
      <c r="Y216" s="37"/>
      <c r="Z216" s="37"/>
      <c r="AA216" s="37"/>
      <c r="AB216" s="38" t="n">
        <f aca="false">+W216-AC216</f>
        <v>0</v>
      </c>
      <c r="AC216" s="34" t="n">
        <f aca="false">+Tabla[[#This Row],[P4]]+Tabla[[#This Row],[P3]]+Tabla[[#This Row],[P2]]+Tabla[[#This Row],[P1]]</f>
        <v>1699</v>
      </c>
      <c r="AD216" s="34" t="n">
        <f aca="false">+W216-AC216</f>
        <v>0</v>
      </c>
      <c r="AE216" s="21" t="str">
        <f aca="false">IF(AB216&lt;1,"PAGADA","PENDIENTE")</f>
        <v>PAGADA</v>
      </c>
      <c r="AF216" s="21"/>
      <c r="AG216" s="29"/>
      <c r="AH216" s="40"/>
      <c r="AI216" s="40" t="n">
        <f aca="false">+IF(Tabla[[#This Row],[FECHA PAGO / ABONO]]&lt;1,0,(MONTH(Tabla[[#This Row],[FECHA PAGO / ABONO]])))</f>
        <v>0</v>
      </c>
      <c r="AJ216" s="40" t="n">
        <f aca="false">+IF(Tabla[[#This Row],[FECHA PAGO / ABONO]]&lt;1,0,(YEAR(Tabla[[#This Row],[FECHA PAGO / ABONO]])))</f>
        <v>0</v>
      </c>
      <c r="AK216" s="41"/>
    </row>
    <row r="217" customFormat="false" ht="14.25" hidden="false" customHeight="false" outlineLevel="0" collapsed="false">
      <c r="A217" s="28" t="s">
        <v>101</v>
      </c>
      <c r="B217" s="29" t="s">
        <v>102</v>
      </c>
      <c r="C217" s="29" t="s">
        <v>69</v>
      </c>
      <c r="D217" s="21" t="n">
        <v>29478057</v>
      </c>
      <c r="E217" s="21" t="str">
        <f aca="false">+CONCATENATE(Tabla[[#This Row],[RUT]],Tabla[[#This Row],[PROVEEDOR]],Tabla[[#This Row],[FACTURA]])</f>
        <v>97006000-6BANCO DE CREDITO E INVERSIONES29478057</v>
      </c>
      <c r="F217" s="57" t="n">
        <v>46064</v>
      </c>
      <c r="G217" s="31" t="n">
        <f aca="false">+F217+30</f>
        <v>46094</v>
      </c>
      <c r="H217" s="29" t="n">
        <f aca="true">+IF(AE217="PAGADA",0,TODAY()-G217)</f>
        <v>0</v>
      </c>
      <c r="I217" s="29" t="str">
        <f aca="false">+IF(H217&gt;180,"Atrasada",IF(H217&gt;150,"150 dias",IF(H217&gt;120,"120 dias",IF(H217&gt;90,"90 dias",IF(H217&gt;60,"60 dias",IF(H217&gt;30,"30 dias","Al Día"))))))</f>
        <v>Al Día</v>
      </c>
      <c r="J217" s="32" t="s">
        <v>31</v>
      </c>
      <c r="K217" s="29" t="s">
        <v>81</v>
      </c>
      <c r="L217" s="33" t="s">
        <v>248</v>
      </c>
      <c r="M217" s="29" t="n">
        <f aca="false">+YEAR(F217)</f>
        <v>2026</v>
      </c>
      <c r="N217" s="29" t="n">
        <v>2026</v>
      </c>
      <c r="O217" s="29" t="n">
        <v>1</v>
      </c>
      <c r="P217" s="29" t="str">
        <f aca="false">+CONCATENATE(Tabla[[#This Row],[MES CAMPAÑA]],"/",Tabla[[#This Row],[AÑO CAMPAÑA]])</f>
        <v>1/2026</v>
      </c>
      <c r="Q217" s="29" t="s">
        <v>73</v>
      </c>
      <c r="R217" s="29"/>
      <c r="S217" s="34" t="n">
        <v>0</v>
      </c>
      <c r="T217" s="34" t="n">
        <v>3339</v>
      </c>
      <c r="U217" s="34" t="n">
        <v>634</v>
      </c>
      <c r="V217" s="29"/>
      <c r="W217" s="35" t="n">
        <v>3973</v>
      </c>
      <c r="X217" s="36" t="n">
        <f aca="false">+Tabla[[#This Row],[TOTAL]]</f>
        <v>3973</v>
      </c>
      <c r="Y217" s="37"/>
      <c r="Z217" s="37"/>
      <c r="AA217" s="37"/>
      <c r="AB217" s="38" t="n">
        <f aca="false">+W217-AC217</f>
        <v>0</v>
      </c>
      <c r="AC217" s="34" t="n">
        <f aca="false">+Tabla[[#This Row],[P4]]+Tabla[[#This Row],[P3]]+Tabla[[#This Row],[P2]]+Tabla[[#This Row],[P1]]</f>
        <v>3973</v>
      </c>
      <c r="AD217" s="34" t="n">
        <f aca="false">+W217-AC217</f>
        <v>0</v>
      </c>
      <c r="AE217" s="21" t="str">
        <f aca="false">IF(AB217&lt;1,"PAGADA","PENDIENTE")</f>
        <v>PAGADA</v>
      </c>
      <c r="AF217" s="21"/>
      <c r="AG217" s="29"/>
      <c r="AH217" s="40"/>
      <c r="AI217" s="40" t="n">
        <f aca="false">+IF(Tabla[[#This Row],[FECHA PAGO / ABONO]]&lt;1,0,(MONTH(Tabla[[#This Row],[FECHA PAGO / ABONO]])))</f>
        <v>0</v>
      </c>
      <c r="AJ217" s="40" t="n">
        <f aca="false">+IF(Tabla[[#This Row],[FECHA PAGO / ABONO]]&lt;1,0,(YEAR(Tabla[[#This Row],[FECHA PAGO / ABONO]])))</f>
        <v>0</v>
      </c>
      <c r="AK217" s="41"/>
    </row>
    <row r="218" customFormat="false" ht="14.25" hidden="false" customHeight="false" outlineLevel="0" collapsed="false">
      <c r="A218" s="28" t="s">
        <v>101</v>
      </c>
      <c r="B218" s="29" t="s">
        <v>102</v>
      </c>
      <c r="C218" s="29" t="s">
        <v>69</v>
      </c>
      <c r="D218" s="21" t="n">
        <v>29478058</v>
      </c>
      <c r="E218" s="21" t="str">
        <f aca="false">+CONCATENATE(Tabla[[#This Row],[RUT]],Tabla[[#This Row],[PROVEEDOR]],Tabla[[#This Row],[FACTURA]])</f>
        <v>97006000-6BANCO DE CREDITO E INVERSIONES29478058</v>
      </c>
      <c r="F218" s="57" t="n">
        <v>46064</v>
      </c>
      <c r="G218" s="31" t="n">
        <f aca="false">+F218+30</f>
        <v>46094</v>
      </c>
      <c r="H218" s="29" t="n">
        <f aca="true">+IF(AE218="PAGADA",0,TODAY()-G218)</f>
        <v>0</v>
      </c>
      <c r="I218" s="29" t="str">
        <f aca="false">+IF(H218&gt;180,"Atrasada",IF(H218&gt;150,"150 dias",IF(H218&gt;120,"120 dias",IF(H218&gt;90,"90 dias",IF(H218&gt;60,"60 dias",IF(H218&gt;30,"30 dias","Al Día"))))))</f>
        <v>Al Día</v>
      </c>
      <c r="J218" s="32" t="s">
        <v>31</v>
      </c>
      <c r="K218" s="29" t="s">
        <v>81</v>
      </c>
      <c r="L218" s="33" t="s">
        <v>248</v>
      </c>
      <c r="M218" s="29" t="n">
        <f aca="false">+YEAR(F218)</f>
        <v>2026</v>
      </c>
      <c r="N218" s="29" t="n">
        <v>2026</v>
      </c>
      <c r="O218" s="29" t="n">
        <v>1</v>
      </c>
      <c r="P218" s="29" t="str">
        <f aca="false">+CONCATENATE(Tabla[[#This Row],[MES CAMPAÑA]],"/",Tabla[[#This Row],[AÑO CAMPAÑA]])</f>
        <v>1/2026</v>
      </c>
      <c r="Q218" s="29" t="s">
        <v>73</v>
      </c>
      <c r="R218" s="29"/>
      <c r="S218" s="34" t="n">
        <v>0</v>
      </c>
      <c r="T218" s="34" t="n">
        <v>3339</v>
      </c>
      <c r="U218" s="34" t="n">
        <v>634</v>
      </c>
      <c r="V218" s="29"/>
      <c r="W218" s="35" t="n">
        <v>3973</v>
      </c>
      <c r="X218" s="36" t="n">
        <f aca="false">+Tabla[[#This Row],[TOTAL]]</f>
        <v>3973</v>
      </c>
      <c r="Y218" s="37"/>
      <c r="Z218" s="37"/>
      <c r="AA218" s="37"/>
      <c r="AB218" s="38" t="n">
        <f aca="false">+W218-AC218</f>
        <v>0</v>
      </c>
      <c r="AC218" s="34" t="n">
        <f aca="false">+Tabla[[#This Row],[P4]]+Tabla[[#This Row],[P3]]+Tabla[[#This Row],[P2]]+Tabla[[#This Row],[P1]]</f>
        <v>3973</v>
      </c>
      <c r="AD218" s="34" t="n">
        <f aca="false">+W218-AC218</f>
        <v>0</v>
      </c>
      <c r="AE218" s="21" t="str">
        <f aca="false">IF(AB218&lt;1,"PAGADA","PENDIENTE")</f>
        <v>PAGADA</v>
      </c>
      <c r="AF218" s="21"/>
      <c r="AG218" s="29"/>
      <c r="AH218" s="40"/>
      <c r="AI218" s="40" t="n">
        <f aca="false">+IF(Tabla[[#This Row],[FECHA PAGO / ABONO]]&lt;1,0,(MONTH(Tabla[[#This Row],[FECHA PAGO / ABONO]])))</f>
        <v>0</v>
      </c>
      <c r="AJ218" s="40" t="n">
        <f aca="false">+IF(Tabla[[#This Row],[FECHA PAGO / ABONO]]&lt;1,0,(YEAR(Tabla[[#This Row],[FECHA PAGO / ABONO]])))</f>
        <v>0</v>
      </c>
      <c r="AK218" s="41"/>
    </row>
    <row r="219" customFormat="false" ht="14.25" hidden="false" customHeight="false" outlineLevel="0" collapsed="false">
      <c r="A219" s="28" t="s">
        <v>101</v>
      </c>
      <c r="B219" s="29" t="s">
        <v>102</v>
      </c>
      <c r="C219" s="29" t="s">
        <v>69</v>
      </c>
      <c r="D219" s="21" t="n">
        <v>29478059</v>
      </c>
      <c r="E219" s="21" t="str">
        <f aca="false">+CONCATENATE(Tabla[[#This Row],[RUT]],Tabla[[#This Row],[PROVEEDOR]],Tabla[[#This Row],[FACTURA]])</f>
        <v>97006000-6BANCO DE CREDITO E INVERSIONES29478059</v>
      </c>
      <c r="F219" s="57" t="n">
        <v>46064</v>
      </c>
      <c r="G219" s="31" t="n">
        <f aca="false">+F219+30</f>
        <v>46094</v>
      </c>
      <c r="H219" s="29" t="n">
        <f aca="true">+IF(AE219="PAGADA",0,TODAY()-G219)</f>
        <v>0</v>
      </c>
      <c r="I219" s="29" t="str">
        <f aca="false">+IF(H219&gt;180,"Atrasada",IF(H219&gt;150,"150 dias",IF(H219&gt;120,"120 dias",IF(H219&gt;90,"90 dias",IF(H219&gt;60,"60 dias",IF(H219&gt;30,"30 dias","Al Día"))))))</f>
        <v>Al Día</v>
      </c>
      <c r="J219" s="32" t="s">
        <v>31</v>
      </c>
      <c r="K219" s="29" t="s">
        <v>81</v>
      </c>
      <c r="L219" s="33" t="s">
        <v>248</v>
      </c>
      <c r="M219" s="29" t="n">
        <f aca="false">+YEAR(F219)</f>
        <v>2026</v>
      </c>
      <c r="N219" s="29" t="n">
        <v>2026</v>
      </c>
      <c r="O219" s="29" t="n">
        <v>1</v>
      </c>
      <c r="P219" s="29" t="str">
        <f aca="false">+CONCATENATE(Tabla[[#This Row],[MES CAMPAÑA]],"/",Tabla[[#This Row],[AÑO CAMPAÑA]])</f>
        <v>1/2026</v>
      </c>
      <c r="Q219" s="29" t="s">
        <v>73</v>
      </c>
      <c r="R219" s="29"/>
      <c r="S219" s="34" t="n">
        <v>0</v>
      </c>
      <c r="T219" s="34" t="n">
        <v>95057</v>
      </c>
      <c r="U219" s="34" t="n">
        <v>18061</v>
      </c>
      <c r="V219" s="29"/>
      <c r="W219" s="35" t="n">
        <v>113118</v>
      </c>
      <c r="X219" s="36" t="n">
        <f aca="false">+Tabla[[#This Row],[TOTAL]]</f>
        <v>113118</v>
      </c>
      <c r="Y219" s="37"/>
      <c r="Z219" s="37"/>
      <c r="AA219" s="37"/>
      <c r="AB219" s="38" t="n">
        <f aca="false">+W219-AC219</f>
        <v>0</v>
      </c>
      <c r="AC219" s="34" t="n">
        <f aca="false">+Tabla[[#This Row],[P4]]+Tabla[[#This Row],[P3]]+Tabla[[#This Row],[P2]]+Tabla[[#This Row],[P1]]</f>
        <v>113118</v>
      </c>
      <c r="AD219" s="34" t="n">
        <f aca="false">+W219-AC219</f>
        <v>0</v>
      </c>
      <c r="AE219" s="21" t="str">
        <f aca="false">IF(AB219&lt;1,"PAGADA","PENDIENTE")</f>
        <v>PAGADA</v>
      </c>
      <c r="AF219" s="21"/>
      <c r="AG219" s="29"/>
      <c r="AH219" s="40"/>
      <c r="AI219" s="40" t="n">
        <f aca="false">+IF(Tabla[[#This Row],[FECHA PAGO / ABONO]]&lt;1,0,(MONTH(Tabla[[#This Row],[FECHA PAGO / ABONO]])))</f>
        <v>0</v>
      </c>
      <c r="AJ219" s="40" t="n">
        <f aca="false">+IF(Tabla[[#This Row],[FECHA PAGO / ABONO]]&lt;1,0,(YEAR(Tabla[[#This Row],[FECHA PAGO / ABONO]])))</f>
        <v>0</v>
      </c>
      <c r="AK219" s="41"/>
    </row>
    <row r="220" customFormat="false" ht="14.25" hidden="false" customHeight="false" outlineLevel="0" collapsed="false">
      <c r="A220" s="28" t="s">
        <v>101</v>
      </c>
      <c r="B220" s="29" t="s">
        <v>102</v>
      </c>
      <c r="C220" s="29" t="s">
        <v>69</v>
      </c>
      <c r="D220" s="21" t="n">
        <v>29478060</v>
      </c>
      <c r="E220" s="21" t="str">
        <f aca="false">+CONCATENATE(Tabla[[#This Row],[RUT]],Tabla[[#This Row],[PROVEEDOR]],Tabla[[#This Row],[FACTURA]])</f>
        <v>97006000-6BANCO DE CREDITO E INVERSIONES29478060</v>
      </c>
      <c r="F220" s="57" t="n">
        <v>46064</v>
      </c>
      <c r="G220" s="31" t="n">
        <f aca="false">+F220+30</f>
        <v>46094</v>
      </c>
      <c r="H220" s="29" t="n">
        <f aca="true">+IF(AE220="PAGADA",0,TODAY()-G220)</f>
        <v>0</v>
      </c>
      <c r="I220" s="29" t="str">
        <f aca="false">+IF(H220&gt;180,"Atrasada",IF(H220&gt;150,"150 dias",IF(H220&gt;120,"120 dias",IF(H220&gt;90,"90 dias",IF(H220&gt;60,"60 dias",IF(H220&gt;30,"30 dias","Al Día"))))))</f>
        <v>Al Día</v>
      </c>
      <c r="J220" s="32" t="s">
        <v>31</v>
      </c>
      <c r="K220" s="29" t="s">
        <v>81</v>
      </c>
      <c r="L220" s="33" t="s">
        <v>248</v>
      </c>
      <c r="M220" s="29" t="n">
        <f aca="false">+YEAR(F220)</f>
        <v>2026</v>
      </c>
      <c r="N220" s="29" t="n">
        <v>2026</v>
      </c>
      <c r="O220" s="29" t="n">
        <v>1</v>
      </c>
      <c r="P220" s="29" t="str">
        <f aca="false">+CONCATENATE(Tabla[[#This Row],[MES CAMPAÑA]],"/",Tabla[[#This Row],[AÑO CAMPAÑA]])</f>
        <v>1/2026</v>
      </c>
      <c r="Q220" s="29" t="s">
        <v>73</v>
      </c>
      <c r="R220" s="29"/>
      <c r="S220" s="34" t="n">
        <v>0</v>
      </c>
      <c r="T220" s="34" t="n">
        <v>2932</v>
      </c>
      <c r="U220" s="34" t="n">
        <v>557</v>
      </c>
      <c r="V220" s="29"/>
      <c r="W220" s="35" t="n">
        <v>3489</v>
      </c>
      <c r="X220" s="36" t="n">
        <f aca="false">+Tabla[[#This Row],[TOTAL]]</f>
        <v>3489</v>
      </c>
      <c r="Y220" s="37"/>
      <c r="Z220" s="37"/>
      <c r="AA220" s="37"/>
      <c r="AB220" s="38" t="n">
        <f aca="false">+W220-AC220</f>
        <v>0</v>
      </c>
      <c r="AC220" s="34" t="n">
        <f aca="false">+Tabla[[#This Row],[P4]]+Tabla[[#This Row],[P3]]+Tabla[[#This Row],[P2]]+Tabla[[#This Row],[P1]]</f>
        <v>3489</v>
      </c>
      <c r="AD220" s="34" t="n">
        <f aca="false">+W220-AC220</f>
        <v>0</v>
      </c>
      <c r="AE220" s="21" t="str">
        <f aca="false">IF(AB220&lt;1,"PAGADA","PENDIENTE")</f>
        <v>PAGADA</v>
      </c>
      <c r="AF220" s="21"/>
      <c r="AG220" s="29"/>
      <c r="AH220" s="40"/>
      <c r="AI220" s="40" t="n">
        <f aca="false">+IF(Tabla[[#This Row],[FECHA PAGO / ABONO]]&lt;1,0,(MONTH(Tabla[[#This Row],[FECHA PAGO / ABONO]])))</f>
        <v>0</v>
      </c>
      <c r="AJ220" s="40" t="n">
        <f aca="false">+IF(Tabla[[#This Row],[FECHA PAGO / ABONO]]&lt;1,0,(YEAR(Tabla[[#This Row],[FECHA PAGO / ABONO]])))</f>
        <v>0</v>
      </c>
      <c r="AK220" s="41"/>
    </row>
    <row r="221" customFormat="false" ht="14.25" hidden="false" customHeight="false" outlineLevel="0" collapsed="false">
      <c r="A221" s="28" t="s">
        <v>101</v>
      </c>
      <c r="B221" s="29" t="s">
        <v>102</v>
      </c>
      <c r="C221" s="29" t="s">
        <v>69</v>
      </c>
      <c r="D221" s="21" t="n">
        <v>29478061</v>
      </c>
      <c r="E221" s="21" t="str">
        <f aca="false">+CONCATENATE(Tabla[[#This Row],[RUT]],Tabla[[#This Row],[PROVEEDOR]],Tabla[[#This Row],[FACTURA]])</f>
        <v>97006000-6BANCO DE CREDITO E INVERSIONES29478061</v>
      </c>
      <c r="F221" s="57" t="n">
        <v>46064</v>
      </c>
      <c r="G221" s="31" t="n">
        <f aca="false">+F221+30</f>
        <v>46094</v>
      </c>
      <c r="H221" s="29" t="n">
        <f aca="true">+IF(AE221="PAGADA",0,TODAY()-G221)</f>
        <v>0</v>
      </c>
      <c r="I221" s="29" t="str">
        <f aca="false">+IF(H221&gt;180,"Atrasada",IF(H221&gt;150,"150 dias",IF(H221&gt;120,"120 dias",IF(H221&gt;90,"90 dias",IF(H221&gt;60,"60 dias",IF(H221&gt;30,"30 dias","Al Día"))))))</f>
        <v>Al Día</v>
      </c>
      <c r="J221" s="32" t="s">
        <v>31</v>
      </c>
      <c r="K221" s="29" t="s">
        <v>81</v>
      </c>
      <c r="L221" s="33" t="s">
        <v>248</v>
      </c>
      <c r="M221" s="29" t="n">
        <f aca="false">+YEAR(F221)</f>
        <v>2026</v>
      </c>
      <c r="N221" s="29" t="n">
        <v>2026</v>
      </c>
      <c r="O221" s="29" t="n">
        <v>1</v>
      </c>
      <c r="P221" s="29" t="str">
        <f aca="false">+CONCATENATE(Tabla[[#This Row],[MES CAMPAÑA]],"/",Tabla[[#This Row],[AÑO CAMPAÑA]])</f>
        <v>1/2026</v>
      </c>
      <c r="Q221" s="29" t="s">
        <v>73</v>
      </c>
      <c r="R221" s="29"/>
      <c r="S221" s="34" t="n">
        <v>0</v>
      </c>
      <c r="T221" s="34" t="n">
        <v>159325</v>
      </c>
      <c r="U221" s="34" t="n">
        <v>30272</v>
      </c>
      <c r="V221" s="29"/>
      <c r="W221" s="35" t="n">
        <v>189597</v>
      </c>
      <c r="X221" s="36" t="n">
        <f aca="false">+Tabla[[#This Row],[TOTAL]]</f>
        <v>189597</v>
      </c>
      <c r="Y221" s="37"/>
      <c r="Z221" s="37"/>
      <c r="AA221" s="37"/>
      <c r="AB221" s="38" t="n">
        <f aca="false">+W221-AC221</f>
        <v>0</v>
      </c>
      <c r="AC221" s="34" t="n">
        <f aca="false">+Tabla[[#This Row],[P4]]+Tabla[[#This Row],[P3]]+Tabla[[#This Row],[P2]]+Tabla[[#This Row],[P1]]</f>
        <v>189597</v>
      </c>
      <c r="AD221" s="34" t="n">
        <f aca="false">+W221-AC221</f>
        <v>0</v>
      </c>
      <c r="AE221" s="21" t="str">
        <f aca="false">IF(AB221&lt;1,"PAGADA","PENDIENTE")</f>
        <v>PAGADA</v>
      </c>
      <c r="AF221" s="21"/>
      <c r="AG221" s="29"/>
      <c r="AH221" s="40"/>
      <c r="AI221" s="40" t="n">
        <f aca="false">+IF(Tabla[[#This Row],[FECHA PAGO / ABONO]]&lt;1,0,(MONTH(Tabla[[#This Row],[FECHA PAGO / ABONO]])))</f>
        <v>0</v>
      </c>
      <c r="AJ221" s="40" t="n">
        <f aca="false">+IF(Tabla[[#This Row],[FECHA PAGO / ABONO]]&lt;1,0,(YEAR(Tabla[[#This Row],[FECHA PAGO / ABONO]])))</f>
        <v>0</v>
      </c>
      <c r="AK221" s="41"/>
    </row>
    <row r="222" customFormat="false" ht="14.25" hidden="false" customHeight="false" outlineLevel="0" collapsed="false">
      <c r="A222" s="28" t="s">
        <v>101</v>
      </c>
      <c r="B222" s="29" t="s">
        <v>102</v>
      </c>
      <c r="C222" s="29" t="s">
        <v>69</v>
      </c>
      <c r="D222" s="21" t="n">
        <v>29478062</v>
      </c>
      <c r="E222" s="21" t="str">
        <f aca="false">+CONCATENATE(Tabla[[#This Row],[RUT]],Tabla[[#This Row],[PROVEEDOR]],Tabla[[#This Row],[FACTURA]])</f>
        <v>97006000-6BANCO DE CREDITO E INVERSIONES29478062</v>
      </c>
      <c r="F222" s="57" t="n">
        <v>46064</v>
      </c>
      <c r="G222" s="31" t="n">
        <f aca="false">+F222+30</f>
        <v>46094</v>
      </c>
      <c r="H222" s="29" t="n">
        <f aca="true">+IF(AE222="PAGADA",0,TODAY()-G222)</f>
        <v>0</v>
      </c>
      <c r="I222" s="29" t="str">
        <f aca="false">+IF(H222&gt;180,"Atrasada",IF(H222&gt;150,"150 dias",IF(H222&gt;120,"120 dias",IF(H222&gt;90,"90 dias",IF(H222&gt;60,"60 dias",IF(H222&gt;30,"30 dias","Al Día"))))))</f>
        <v>Al Día</v>
      </c>
      <c r="J222" s="32" t="s">
        <v>31</v>
      </c>
      <c r="K222" s="29" t="s">
        <v>81</v>
      </c>
      <c r="L222" s="33" t="s">
        <v>248</v>
      </c>
      <c r="M222" s="29" t="n">
        <f aca="false">+YEAR(F222)</f>
        <v>2026</v>
      </c>
      <c r="N222" s="29" t="n">
        <v>2026</v>
      </c>
      <c r="O222" s="29" t="n">
        <v>1</v>
      </c>
      <c r="P222" s="29" t="str">
        <f aca="false">+CONCATENATE(Tabla[[#This Row],[MES CAMPAÑA]],"/",Tabla[[#This Row],[AÑO CAMPAÑA]])</f>
        <v>1/2026</v>
      </c>
      <c r="Q222" s="29" t="s">
        <v>73</v>
      </c>
      <c r="R222" s="29"/>
      <c r="S222" s="34" t="n">
        <v>0</v>
      </c>
      <c r="T222" s="34" t="n">
        <v>407</v>
      </c>
      <c r="U222" s="34" t="n">
        <v>77</v>
      </c>
      <c r="V222" s="29"/>
      <c r="W222" s="35" t="n">
        <v>484</v>
      </c>
      <c r="X222" s="36" t="n">
        <f aca="false">+Tabla[[#This Row],[TOTAL]]</f>
        <v>484</v>
      </c>
      <c r="Y222" s="37"/>
      <c r="Z222" s="37"/>
      <c r="AA222" s="37"/>
      <c r="AB222" s="38" t="n">
        <f aca="false">+W222-AC222</f>
        <v>0</v>
      </c>
      <c r="AC222" s="34" t="n">
        <f aca="false">+Tabla[[#This Row],[P4]]+Tabla[[#This Row],[P3]]+Tabla[[#This Row],[P2]]+Tabla[[#This Row],[P1]]</f>
        <v>484</v>
      </c>
      <c r="AD222" s="34" t="n">
        <f aca="false">+W222-AC222</f>
        <v>0</v>
      </c>
      <c r="AE222" s="21" t="str">
        <f aca="false">IF(AB222&lt;1,"PAGADA","PENDIENTE")</f>
        <v>PAGADA</v>
      </c>
      <c r="AF222" s="21"/>
      <c r="AG222" s="29"/>
      <c r="AH222" s="40"/>
      <c r="AI222" s="40" t="n">
        <f aca="false">+IF(Tabla[[#This Row],[FECHA PAGO / ABONO]]&lt;1,0,(MONTH(Tabla[[#This Row],[FECHA PAGO / ABONO]])))</f>
        <v>0</v>
      </c>
      <c r="AJ222" s="40" t="n">
        <f aca="false">+IF(Tabla[[#This Row],[FECHA PAGO / ABONO]]&lt;1,0,(YEAR(Tabla[[#This Row],[FECHA PAGO / ABONO]])))</f>
        <v>0</v>
      </c>
      <c r="AK222" s="41"/>
    </row>
    <row r="223" customFormat="false" ht="14.25" hidden="false" customHeight="false" outlineLevel="0" collapsed="false">
      <c r="A223" s="28" t="s">
        <v>101</v>
      </c>
      <c r="B223" s="29" t="s">
        <v>102</v>
      </c>
      <c r="C223" s="29" t="s">
        <v>69</v>
      </c>
      <c r="D223" s="21" t="n">
        <v>29478063</v>
      </c>
      <c r="E223" s="21" t="str">
        <f aca="false">+CONCATENATE(Tabla[[#This Row],[RUT]],Tabla[[#This Row],[PROVEEDOR]],Tabla[[#This Row],[FACTURA]])</f>
        <v>97006000-6BANCO DE CREDITO E INVERSIONES29478063</v>
      </c>
      <c r="F223" s="57" t="n">
        <v>46064</v>
      </c>
      <c r="G223" s="31" t="n">
        <f aca="false">+F223+30</f>
        <v>46094</v>
      </c>
      <c r="H223" s="29" t="n">
        <f aca="true">+IF(AE223="PAGADA",0,TODAY()-G223)</f>
        <v>0</v>
      </c>
      <c r="I223" s="29" t="str">
        <f aca="false">+IF(H223&gt;180,"Atrasada",IF(H223&gt;150,"150 dias",IF(H223&gt;120,"120 dias",IF(H223&gt;90,"90 dias",IF(H223&gt;60,"60 dias",IF(H223&gt;30,"30 dias","Al Día"))))))</f>
        <v>Al Día</v>
      </c>
      <c r="J223" s="32" t="s">
        <v>31</v>
      </c>
      <c r="K223" s="29" t="s">
        <v>81</v>
      </c>
      <c r="L223" s="33" t="s">
        <v>248</v>
      </c>
      <c r="M223" s="29" t="n">
        <f aca="false">+YEAR(F223)</f>
        <v>2026</v>
      </c>
      <c r="N223" s="29" t="n">
        <v>2026</v>
      </c>
      <c r="O223" s="29" t="n">
        <v>1</v>
      </c>
      <c r="P223" s="29" t="str">
        <f aca="false">+CONCATENATE(Tabla[[#This Row],[MES CAMPAÑA]],"/",Tabla[[#This Row],[AÑO CAMPAÑA]])</f>
        <v>1/2026</v>
      </c>
      <c r="Q223" s="29" t="s">
        <v>73</v>
      </c>
      <c r="R223" s="29"/>
      <c r="S223" s="34" t="n">
        <v>0</v>
      </c>
      <c r="T223" s="34" t="n">
        <v>2418</v>
      </c>
      <c r="U223" s="34" t="n">
        <v>459</v>
      </c>
      <c r="V223" s="29"/>
      <c r="W223" s="35" t="n">
        <v>2877</v>
      </c>
      <c r="X223" s="36" t="n">
        <f aca="false">+Tabla[[#This Row],[TOTAL]]</f>
        <v>2877</v>
      </c>
      <c r="Y223" s="37"/>
      <c r="Z223" s="37"/>
      <c r="AA223" s="37"/>
      <c r="AB223" s="38" t="n">
        <f aca="false">+W223-AC223</f>
        <v>0</v>
      </c>
      <c r="AC223" s="34" t="n">
        <f aca="false">+Tabla[[#This Row],[P4]]+Tabla[[#This Row],[P3]]+Tabla[[#This Row],[P2]]+Tabla[[#This Row],[P1]]</f>
        <v>2877</v>
      </c>
      <c r="AD223" s="34" t="n">
        <f aca="false">+W223-AC223</f>
        <v>0</v>
      </c>
      <c r="AE223" s="21" t="str">
        <f aca="false">IF(AB223&lt;1,"PAGADA","PENDIENTE")</f>
        <v>PAGADA</v>
      </c>
      <c r="AF223" s="21"/>
      <c r="AG223" s="29"/>
      <c r="AH223" s="40"/>
      <c r="AI223" s="40" t="n">
        <f aca="false">+IF(Tabla[[#This Row],[FECHA PAGO / ABONO]]&lt;1,0,(MONTH(Tabla[[#This Row],[FECHA PAGO / ABONO]])))</f>
        <v>0</v>
      </c>
      <c r="AJ223" s="40" t="n">
        <f aca="false">+IF(Tabla[[#This Row],[FECHA PAGO / ABONO]]&lt;1,0,(YEAR(Tabla[[#This Row],[FECHA PAGO / ABONO]])))</f>
        <v>0</v>
      </c>
      <c r="AK223" s="41"/>
    </row>
    <row r="224" customFormat="false" ht="14.25" hidden="false" customHeight="false" outlineLevel="0" collapsed="false">
      <c r="A224" s="28" t="s">
        <v>101</v>
      </c>
      <c r="B224" s="29" t="s">
        <v>102</v>
      </c>
      <c r="C224" s="29" t="s">
        <v>69</v>
      </c>
      <c r="D224" s="21" t="n">
        <v>29478064</v>
      </c>
      <c r="E224" s="21" t="str">
        <f aca="false">+CONCATENATE(Tabla[[#This Row],[RUT]],Tabla[[#This Row],[PROVEEDOR]],Tabla[[#This Row],[FACTURA]])</f>
        <v>97006000-6BANCO DE CREDITO E INVERSIONES29478064</v>
      </c>
      <c r="F224" s="57" t="n">
        <v>46064</v>
      </c>
      <c r="G224" s="31" t="n">
        <f aca="false">+F224+30</f>
        <v>46094</v>
      </c>
      <c r="H224" s="29" t="n">
        <f aca="true">+IF(AE224="PAGADA",0,TODAY()-G224)</f>
        <v>0</v>
      </c>
      <c r="I224" s="29" t="str">
        <f aca="false">+IF(H224&gt;180,"Atrasada",IF(H224&gt;150,"150 dias",IF(H224&gt;120,"120 dias",IF(H224&gt;90,"90 dias",IF(H224&gt;60,"60 dias",IF(H224&gt;30,"30 dias","Al Día"))))))</f>
        <v>Al Día</v>
      </c>
      <c r="J224" s="32" t="s">
        <v>31</v>
      </c>
      <c r="K224" s="29" t="s">
        <v>81</v>
      </c>
      <c r="L224" s="33" t="s">
        <v>248</v>
      </c>
      <c r="M224" s="29" t="n">
        <f aca="false">+YEAR(F224)</f>
        <v>2026</v>
      </c>
      <c r="N224" s="29" t="n">
        <v>2026</v>
      </c>
      <c r="O224" s="29" t="n">
        <v>1</v>
      </c>
      <c r="P224" s="29" t="str">
        <f aca="false">+CONCATENATE(Tabla[[#This Row],[MES CAMPAÑA]],"/",Tabla[[#This Row],[AÑO CAMPAÑA]])</f>
        <v>1/2026</v>
      </c>
      <c r="Q224" s="29" t="s">
        <v>73</v>
      </c>
      <c r="R224" s="29"/>
      <c r="S224" s="34" t="n">
        <v>0</v>
      </c>
      <c r="T224" s="34" t="n">
        <v>210508</v>
      </c>
      <c r="U224" s="34" t="n">
        <v>39997</v>
      </c>
      <c r="V224" s="29"/>
      <c r="W224" s="35" t="n">
        <v>250505</v>
      </c>
      <c r="X224" s="36" t="n">
        <f aca="false">+Tabla[[#This Row],[TOTAL]]</f>
        <v>250505</v>
      </c>
      <c r="Y224" s="37"/>
      <c r="Z224" s="37"/>
      <c r="AA224" s="37"/>
      <c r="AB224" s="38" t="n">
        <f aca="false">+W224-AC224</f>
        <v>0</v>
      </c>
      <c r="AC224" s="34" t="n">
        <f aca="false">+Tabla[[#This Row],[P4]]+Tabla[[#This Row],[P3]]+Tabla[[#This Row],[P2]]+Tabla[[#This Row],[P1]]</f>
        <v>250505</v>
      </c>
      <c r="AD224" s="34" t="n">
        <f aca="false">+W224-AC224</f>
        <v>0</v>
      </c>
      <c r="AE224" s="21" t="str">
        <f aca="false">IF(AB224&lt;1,"PAGADA","PENDIENTE")</f>
        <v>PAGADA</v>
      </c>
      <c r="AF224" s="21"/>
      <c r="AG224" s="29"/>
      <c r="AH224" s="40"/>
      <c r="AI224" s="40" t="n">
        <f aca="false">+IF(Tabla[[#This Row],[FECHA PAGO / ABONO]]&lt;1,0,(MONTH(Tabla[[#This Row],[FECHA PAGO / ABONO]])))</f>
        <v>0</v>
      </c>
      <c r="AJ224" s="40" t="n">
        <f aca="false">+IF(Tabla[[#This Row],[FECHA PAGO / ABONO]]&lt;1,0,(YEAR(Tabla[[#This Row],[FECHA PAGO / ABONO]])))</f>
        <v>0</v>
      </c>
      <c r="AK224" s="41"/>
    </row>
    <row r="225" customFormat="false" ht="14.25" hidden="false" customHeight="false" outlineLevel="0" collapsed="false">
      <c r="A225" s="28" t="s">
        <v>101</v>
      </c>
      <c r="B225" s="29" t="s">
        <v>102</v>
      </c>
      <c r="C225" s="29" t="s">
        <v>69</v>
      </c>
      <c r="D225" s="21" t="n">
        <v>29478065</v>
      </c>
      <c r="E225" s="21" t="str">
        <f aca="false">+CONCATENATE(Tabla[[#This Row],[RUT]],Tabla[[#This Row],[PROVEEDOR]],Tabla[[#This Row],[FACTURA]])</f>
        <v>97006000-6BANCO DE CREDITO E INVERSIONES29478065</v>
      </c>
      <c r="F225" s="57" t="n">
        <v>46064</v>
      </c>
      <c r="G225" s="31" t="n">
        <f aca="false">+F225+30</f>
        <v>46094</v>
      </c>
      <c r="H225" s="29" t="n">
        <f aca="true">+IF(AE225="PAGADA",0,TODAY()-G225)</f>
        <v>0</v>
      </c>
      <c r="I225" s="29" t="str">
        <f aca="false">+IF(H225&gt;180,"Atrasada",IF(H225&gt;150,"150 dias",IF(H225&gt;120,"120 dias",IF(H225&gt;90,"90 dias",IF(H225&gt;60,"60 dias",IF(H225&gt;30,"30 dias","Al Día"))))))</f>
        <v>Al Día</v>
      </c>
      <c r="J225" s="32" t="s">
        <v>31</v>
      </c>
      <c r="K225" s="29" t="s">
        <v>81</v>
      </c>
      <c r="L225" s="33" t="s">
        <v>248</v>
      </c>
      <c r="M225" s="29" t="n">
        <f aca="false">+YEAR(F225)</f>
        <v>2026</v>
      </c>
      <c r="N225" s="29" t="n">
        <v>2026</v>
      </c>
      <c r="O225" s="29" t="n">
        <v>1</v>
      </c>
      <c r="P225" s="29" t="str">
        <f aca="false">+CONCATENATE(Tabla[[#This Row],[MES CAMPAÑA]],"/",Tabla[[#This Row],[AÑO CAMPAÑA]])</f>
        <v>1/2026</v>
      </c>
      <c r="Q225" s="29" t="s">
        <v>73</v>
      </c>
      <c r="R225" s="29"/>
      <c r="S225" s="34" t="n">
        <v>0</v>
      </c>
      <c r="T225" s="34" t="n">
        <v>921</v>
      </c>
      <c r="U225" s="34" t="n">
        <v>175</v>
      </c>
      <c r="V225" s="29"/>
      <c r="W225" s="35" t="n">
        <v>1096</v>
      </c>
      <c r="X225" s="36" t="n">
        <f aca="false">+Tabla[[#This Row],[TOTAL]]</f>
        <v>1096</v>
      </c>
      <c r="Y225" s="37"/>
      <c r="Z225" s="37"/>
      <c r="AA225" s="37"/>
      <c r="AB225" s="38" t="n">
        <f aca="false">+W225-AC225</f>
        <v>0</v>
      </c>
      <c r="AC225" s="34" t="n">
        <f aca="false">+Tabla[[#This Row],[P4]]+Tabla[[#This Row],[P3]]+Tabla[[#This Row],[P2]]+Tabla[[#This Row],[P1]]</f>
        <v>1096</v>
      </c>
      <c r="AD225" s="34" t="n">
        <f aca="false">+W225-AC225</f>
        <v>0</v>
      </c>
      <c r="AE225" s="21" t="str">
        <f aca="false">IF(AB225&lt;1,"PAGADA","PENDIENTE")</f>
        <v>PAGADA</v>
      </c>
      <c r="AF225" s="21"/>
      <c r="AG225" s="29"/>
      <c r="AH225" s="40"/>
      <c r="AI225" s="40" t="n">
        <f aca="false">+IF(Tabla[[#This Row],[FECHA PAGO / ABONO]]&lt;1,0,(MONTH(Tabla[[#This Row],[FECHA PAGO / ABONO]])))</f>
        <v>0</v>
      </c>
      <c r="AJ225" s="40" t="n">
        <f aca="false">+IF(Tabla[[#This Row],[FECHA PAGO / ABONO]]&lt;1,0,(YEAR(Tabla[[#This Row],[FECHA PAGO / ABONO]])))</f>
        <v>0</v>
      </c>
      <c r="AK225" s="41"/>
    </row>
    <row r="226" customFormat="false" ht="14.25" hidden="false" customHeight="false" outlineLevel="0" collapsed="false">
      <c r="A226" s="28" t="s">
        <v>101</v>
      </c>
      <c r="B226" s="29" t="s">
        <v>102</v>
      </c>
      <c r="C226" s="29" t="s">
        <v>69</v>
      </c>
      <c r="D226" s="21" t="n">
        <v>29478066</v>
      </c>
      <c r="E226" s="21" t="str">
        <f aca="false">+CONCATENATE(Tabla[[#This Row],[RUT]],Tabla[[#This Row],[PROVEEDOR]],Tabla[[#This Row],[FACTURA]])</f>
        <v>97006000-6BANCO DE CREDITO E INVERSIONES29478066</v>
      </c>
      <c r="F226" s="57" t="n">
        <v>46064</v>
      </c>
      <c r="G226" s="31" t="n">
        <f aca="false">+F226+30</f>
        <v>46094</v>
      </c>
      <c r="H226" s="29" t="n">
        <f aca="true">+IF(AE226="PAGADA",0,TODAY()-G226)</f>
        <v>0</v>
      </c>
      <c r="I226" s="29" t="str">
        <f aca="false">+IF(H226&gt;180,"Atrasada",IF(H226&gt;150,"150 dias",IF(H226&gt;120,"120 dias",IF(H226&gt;90,"90 dias",IF(H226&gt;60,"60 dias",IF(H226&gt;30,"30 dias","Al Día"))))))</f>
        <v>Al Día</v>
      </c>
      <c r="J226" s="32" t="s">
        <v>31</v>
      </c>
      <c r="K226" s="29" t="s">
        <v>81</v>
      </c>
      <c r="L226" s="33" t="s">
        <v>248</v>
      </c>
      <c r="M226" s="29" t="n">
        <f aca="false">+YEAR(F226)</f>
        <v>2026</v>
      </c>
      <c r="N226" s="29" t="n">
        <v>2026</v>
      </c>
      <c r="O226" s="29" t="n">
        <v>1</v>
      </c>
      <c r="P226" s="29" t="str">
        <f aca="false">+CONCATENATE(Tabla[[#This Row],[MES CAMPAÑA]],"/",Tabla[[#This Row],[AÑO CAMPAÑA]])</f>
        <v>1/2026</v>
      </c>
      <c r="Q226" s="29" t="s">
        <v>73</v>
      </c>
      <c r="R226" s="29"/>
      <c r="S226" s="34" t="n">
        <v>0</v>
      </c>
      <c r="T226" s="34" t="n">
        <v>28845</v>
      </c>
      <c r="U226" s="34" t="n">
        <v>5480</v>
      </c>
      <c r="V226" s="29"/>
      <c r="W226" s="35" t="n">
        <v>34325</v>
      </c>
      <c r="X226" s="36" t="n">
        <f aca="false">+Tabla[[#This Row],[TOTAL]]</f>
        <v>34325</v>
      </c>
      <c r="Y226" s="37"/>
      <c r="Z226" s="37"/>
      <c r="AA226" s="37"/>
      <c r="AB226" s="38" t="n">
        <f aca="false">+W226-AC226</f>
        <v>0</v>
      </c>
      <c r="AC226" s="34" t="n">
        <f aca="false">+Tabla[[#This Row],[P4]]+Tabla[[#This Row],[P3]]+Tabla[[#This Row],[P2]]+Tabla[[#This Row],[P1]]</f>
        <v>34325</v>
      </c>
      <c r="AD226" s="34" t="n">
        <f aca="false">+W226-AC226</f>
        <v>0</v>
      </c>
      <c r="AE226" s="21" t="str">
        <f aca="false">IF(AB226&lt;1,"PAGADA","PENDIENTE")</f>
        <v>PAGADA</v>
      </c>
      <c r="AF226" s="21"/>
      <c r="AG226" s="29"/>
      <c r="AH226" s="40"/>
      <c r="AI226" s="40" t="n">
        <f aca="false">+IF(Tabla[[#This Row],[FECHA PAGO / ABONO]]&lt;1,0,(MONTH(Tabla[[#This Row],[FECHA PAGO / ABONO]])))</f>
        <v>0</v>
      </c>
      <c r="AJ226" s="40" t="n">
        <f aca="false">+IF(Tabla[[#This Row],[FECHA PAGO / ABONO]]&lt;1,0,(YEAR(Tabla[[#This Row],[FECHA PAGO / ABONO]])))</f>
        <v>0</v>
      </c>
      <c r="AK226" s="41"/>
    </row>
    <row r="227" customFormat="false" ht="14.25" hidden="false" customHeight="false" outlineLevel="0" collapsed="false">
      <c r="A227" s="28" t="s">
        <v>101</v>
      </c>
      <c r="B227" s="29" t="s">
        <v>102</v>
      </c>
      <c r="C227" s="29" t="s">
        <v>69</v>
      </c>
      <c r="D227" s="21" t="n">
        <v>29478067</v>
      </c>
      <c r="E227" s="21" t="str">
        <f aca="false">+CONCATENATE(Tabla[[#This Row],[RUT]],Tabla[[#This Row],[PROVEEDOR]],Tabla[[#This Row],[FACTURA]])</f>
        <v>97006000-6BANCO DE CREDITO E INVERSIONES29478067</v>
      </c>
      <c r="F227" s="57" t="n">
        <v>46064</v>
      </c>
      <c r="G227" s="31" t="n">
        <f aca="false">+F227+30</f>
        <v>46094</v>
      </c>
      <c r="H227" s="29" t="n">
        <f aca="true">+IF(AE227="PAGADA",0,TODAY()-G227)</f>
        <v>0</v>
      </c>
      <c r="I227" s="29" t="str">
        <f aca="false">+IF(H227&gt;180,"Atrasada",IF(H227&gt;150,"150 dias",IF(H227&gt;120,"120 dias",IF(H227&gt;90,"90 dias",IF(H227&gt;60,"60 dias",IF(H227&gt;30,"30 dias","Al Día"))))))</f>
        <v>Al Día</v>
      </c>
      <c r="J227" s="32" t="s">
        <v>31</v>
      </c>
      <c r="K227" s="29" t="s">
        <v>81</v>
      </c>
      <c r="L227" s="33" t="s">
        <v>248</v>
      </c>
      <c r="M227" s="29" t="n">
        <f aca="false">+YEAR(F227)</f>
        <v>2026</v>
      </c>
      <c r="N227" s="29" t="n">
        <v>2026</v>
      </c>
      <c r="O227" s="29" t="n">
        <v>1</v>
      </c>
      <c r="P227" s="29" t="str">
        <f aca="false">+CONCATENATE(Tabla[[#This Row],[MES CAMPAÑA]],"/",Tabla[[#This Row],[AÑO CAMPAÑA]])</f>
        <v>1/2026</v>
      </c>
      <c r="Q227" s="29" t="s">
        <v>73</v>
      </c>
      <c r="R227" s="29"/>
      <c r="S227" s="34" t="n">
        <v>0</v>
      </c>
      <c r="T227" s="34" t="n">
        <v>1686</v>
      </c>
      <c r="U227" s="34" t="n">
        <v>320</v>
      </c>
      <c r="V227" s="29"/>
      <c r="W227" s="35" t="n">
        <v>2006</v>
      </c>
      <c r="X227" s="36" t="n">
        <f aca="false">+Tabla[[#This Row],[TOTAL]]</f>
        <v>2006</v>
      </c>
      <c r="Y227" s="37"/>
      <c r="Z227" s="37"/>
      <c r="AA227" s="37"/>
      <c r="AB227" s="38" t="n">
        <f aca="false">+W227-AC227</f>
        <v>0</v>
      </c>
      <c r="AC227" s="34" t="n">
        <f aca="false">+Tabla[[#This Row],[P4]]+Tabla[[#This Row],[P3]]+Tabla[[#This Row],[P2]]+Tabla[[#This Row],[P1]]</f>
        <v>2006</v>
      </c>
      <c r="AD227" s="34" t="n">
        <f aca="false">+W227-AC227</f>
        <v>0</v>
      </c>
      <c r="AE227" s="21" t="str">
        <f aca="false">IF(AB227&lt;1,"PAGADA","PENDIENTE")</f>
        <v>PAGADA</v>
      </c>
      <c r="AF227" s="21"/>
      <c r="AG227" s="29"/>
      <c r="AH227" s="40"/>
      <c r="AI227" s="40" t="n">
        <f aca="false">+IF(Tabla[[#This Row],[FECHA PAGO / ABONO]]&lt;1,0,(MONTH(Tabla[[#This Row],[FECHA PAGO / ABONO]])))</f>
        <v>0</v>
      </c>
      <c r="AJ227" s="40" t="n">
        <f aca="false">+IF(Tabla[[#This Row],[FECHA PAGO / ABONO]]&lt;1,0,(YEAR(Tabla[[#This Row],[FECHA PAGO / ABONO]])))</f>
        <v>0</v>
      </c>
      <c r="AK227" s="41"/>
    </row>
    <row r="228" customFormat="false" ht="14.25" hidden="false" customHeight="false" outlineLevel="0" collapsed="false">
      <c r="A228" s="28" t="s">
        <v>101</v>
      </c>
      <c r="B228" s="29" t="s">
        <v>102</v>
      </c>
      <c r="C228" s="29" t="s">
        <v>69</v>
      </c>
      <c r="D228" s="21" t="n">
        <v>29478068</v>
      </c>
      <c r="E228" s="21" t="str">
        <f aca="false">+CONCATENATE(Tabla[[#This Row],[RUT]],Tabla[[#This Row],[PROVEEDOR]],Tabla[[#This Row],[FACTURA]])</f>
        <v>97006000-6BANCO DE CREDITO E INVERSIONES29478068</v>
      </c>
      <c r="F228" s="57" t="n">
        <v>46064</v>
      </c>
      <c r="G228" s="31" t="n">
        <f aca="false">+F228+30</f>
        <v>46094</v>
      </c>
      <c r="H228" s="29" t="n">
        <f aca="true">+IF(AE228="PAGADA",0,TODAY()-G228)</f>
        <v>0</v>
      </c>
      <c r="I228" s="29" t="str">
        <f aca="false">+IF(H228&gt;180,"Atrasada",IF(H228&gt;150,"150 dias",IF(H228&gt;120,"120 dias",IF(H228&gt;90,"90 dias",IF(H228&gt;60,"60 dias",IF(H228&gt;30,"30 dias","Al Día"))))))</f>
        <v>Al Día</v>
      </c>
      <c r="J228" s="32" t="s">
        <v>31</v>
      </c>
      <c r="K228" s="29" t="s">
        <v>81</v>
      </c>
      <c r="L228" s="33" t="s">
        <v>248</v>
      </c>
      <c r="M228" s="29" t="n">
        <f aca="false">+YEAR(F228)</f>
        <v>2026</v>
      </c>
      <c r="N228" s="29" t="n">
        <v>2026</v>
      </c>
      <c r="O228" s="29" t="n">
        <v>1</v>
      </c>
      <c r="P228" s="29" t="str">
        <f aca="false">+CONCATENATE(Tabla[[#This Row],[MES CAMPAÑA]],"/",Tabla[[#This Row],[AÑO CAMPAÑA]])</f>
        <v>1/2026</v>
      </c>
      <c r="Q228" s="29" t="s">
        <v>73</v>
      </c>
      <c r="R228" s="29"/>
      <c r="S228" s="34" t="n">
        <v>0</v>
      </c>
      <c r="T228" s="34" t="n">
        <v>1386</v>
      </c>
      <c r="U228" s="34" t="n">
        <v>263</v>
      </c>
      <c r="V228" s="29"/>
      <c r="W228" s="35" t="n">
        <v>1649</v>
      </c>
      <c r="X228" s="36" t="n">
        <f aca="false">+Tabla[[#This Row],[TOTAL]]</f>
        <v>1649</v>
      </c>
      <c r="Y228" s="37"/>
      <c r="Z228" s="37"/>
      <c r="AA228" s="37"/>
      <c r="AB228" s="38" t="n">
        <f aca="false">+W228-AC228</f>
        <v>0</v>
      </c>
      <c r="AC228" s="34" t="n">
        <f aca="false">+Tabla[[#This Row],[P4]]+Tabla[[#This Row],[P3]]+Tabla[[#This Row],[P2]]+Tabla[[#This Row],[P1]]</f>
        <v>1649</v>
      </c>
      <c r="AD228" s="34" t="n">
        <f aca="false">+W228-AC228</f>
        <v>0</v>
      </c>
      <c r="AE228" s="21" t="str">
        <f aca="false">IF(AB228&lt;1,"PAGADA","PENDIENTE")</f>
        <v>PAGADA</v>
      </c>
      <c r="AF228" s="21"/>
      <c r="AG228" s="29"/>
      <c r="AH228" s="40"/>
      <c r="AI228" s="40" t="n">
        <f aca="false">+IF(Tabla[[#This Row],[FECHA PAGO / ABONO]]&lt;1,0,(MONTH(Tabla[[#This Row],[FECHA PAGO / ABONO]])))</f>
        <v>0</v>
      </c>
      <c r="AJ228" s="40" t="n">
        <f aca="false">+IF(Tabla[[#This Row],[FECHA PAGO / ABONO]]&lt;1,0,(YEAR(Tabla[[#This Row],[FECHA PAGO / ABONO]])))</f>
        <v>0</v>
      </c>
      <c r="AK228" s="41"/>
    </row>
    <row r="229" customFormat="false" ht="14.25" hidden="false" customHeight="false" outlineLevel="0" collapsed="false">
      <c r="A229" s="28" t="s">
        <v>101</v>
      </c>
      <c r="B229" s="29" t="s">
        <v>102</v>
      </c>
      <c r="C229" s="29" t="s">
        <v>69</v>
      </c>
      <c r="D229" s="21" t="n">
        <v>29478069</v>
      </c>
      <c r="E229" s="21" t="str">
        <f aca="false">+CONCATENATE(Tabla[[#This Row],[RUT]],Tabla[[#This Row],[PROVEEDOR]],Tabla[[#This Row],[FACTURA]])</f>
        <v>97006000-6BANCO DE CREDITO E INVERSIONES29478069</v>
      </c>
      <c r="F229" s="57" t="n">
        <v>46064</v>
      </c>
      <c r="G229" s="31" t="n">
        <f aca="false">+F229+30</f>
        <v>46094</v>
      </c>
      <c r="H229" s="29" t="n">
        <f aca="true">+IF(AE229="PAGADA",0,TODAY()-G229)</f>
        <v>0</v>
      </c>
      <c r="I229" s="29" t="str">
        <f aca="false">+IF(H229&gt;180,"Atrasada",IF(H229&gt;150,"150 dias",IF(H229&gt;120,"120 dias",IF(H229&gt;90,"90 dias",IF(H229&gt;60,"60 dias",IF(H229&gt;30,"30 dias","Al Día"))))))</f>
        <v>Al Día</v>
      </c>
      <c r="J229" s="32" t="s">
        <v>31</v>
      </c>
      <c r="K229" s="29" t="s">
        <v>81</v>
      </c>
      <c r="L229" s="33" t="s">
        <v>248</v>
      </c>
      <c r="M229" s="29" t="n">
        <f aca="false">+YEAR(F229)</f>
        <v>2026</v>
      </c>
      <c r="N229" s="29" t="n">
        <v>2026</v>
      </c>
      <c r="O229" s="29" t="n">
        <v>1</v>
      </c>
      <c r="P229" s="29" t="str">
        <f aca="false">+CONCATENATE(Tabla[[#This Row],[MES CAMPAÑA]],"/",Tabla[[#This Row],[AÑO CAMPAÑA]])</f>
        <v>1/2026</v>
      </c>
      <c r="Q229" s="29" t="s">
        <v>73</v>
      </c>
      <c r="R229" s="29"/>
      <c r="S229" s="34" t="n">
        <v>0</v>
      </c>
      <c r="T229" s="34" t="n">
        <v>1653</v>
      </c>
      <c r="U229" s="34" t="n">
        <v>314</v>
      </c>
      <c r="V229" s="29"/>
      <c r="W229" s="35" t="n">
        <v>1967</v>
      </c>
      <c r="X229" s="36" t="n">
        <f aca="false">+Tabla[[#This Row],[TOTAL]]</f>
        <v>1967</v>
      </c>
      <c r="Y229" s="37"/>
      <c r="Z229" s="37"/>
      <c r="AA229" s="37"/>
      <c r="AB229" s="38" t="n">
        <f aca="false">+W229-AC229</f>
        <v>0</v>
      </c>
      <c r="AC229" s="34" t="n">
        <f aca="false">+Tabla[[#This Row],[P4]]+Tabla[[#This Row],[P3]]+Tabla[[#This Row],[P2]]+Tabla[[#This Row],[P1]]</f>
        <v>1967</v>
      </c>
      <c r="AD229" s="34" t="n">
        <f aca="false">+W229-AC229</f>
        <v>0</v>
      </c>
      <c r="AE229" s="21" t="str">
        <f aca="false">IF(AB229&lt;1,"PAGADA","PENDIENTE")</f>
        <v>PAGADA</v>
      </c>
      <c r="AF229" s="21"/>
      <c r="AG229" s="29"/>
      <c r="AH229" s="40"/>
      <c r="AI229" s="40" t="n">
        <f aca="false">+IF(Tabla[[#This Row],[FECHA PAGO / ABONO]]&lt;1,0,(MONTH(Tabla[[#This Row],[FECHA PAGO / ABONO]])))</f>
        <v>0</v>
      </c>
      <c r="AJ229" s="40" t="n">
        <f aca="false">+IF(Tabla[[#This Row],[FECHA PAGO / ABONO]]&lt;1,0,(YEAR(Tabla[[#This Row],[FECHA PAGO / ABONO]])))</f>
        <v>0</v>
      </c>
      <c r="AK229" s="41"/>
    </row>
    <row r="230" customFormat="false" ht="14.25" hidden="false" customHeight="false" outlineLevel="0" collapsed="false">
      <c r="A230" s="28" t="s">
        <v>101</v>
      </c>
      <c r="B230" s="29" t="s">
        <v>102</v>
      </c>
      <c r="C230" s="29" t="s">
        <v>69</v>
      </c>
      <c r="D230" s="21" t="n">
        <v>29478070</v>
      </c>
      <c r="E230" s="21" t="str">
        <f aca="false">+CONCATENATE(Tabla[[#This Row],[RUT]],Tabla[[#This Row],[PROVEEDOR]],Tabla[[#This Row],[FACTURA]])</f>
        <v>97006000-6BANCO DE CREDITO E INVERSIONES29478070</v>
      </c>
      <c r="F230" s="57" t="n">
        <v>46064</v>
      </c>
      <c r="G230" s="31" t="n">
        <f aca="false">+F230+30</f>
        <v>46094</v>
      </c>
      <c r="H230" s="29" t="n">
        <f aca="true">+IF(AE230="PAGADA",0,TODAY()-G230)</f>
        <v>0</v>
      </c>
      <c r="I230" s="29" t="str">
        <f aca="false">+IF(H230&gt;180,"Atrasada",IF(H230&gt;150,"150 dias",IF(H230&gt;120,"120 dias",IF(H230&gt;90,"90 dias",IF(H230&gt;60,"60 dias",IF(H230&gt;30,"30 dias","Al Día"))))))</f>
        <v>Al Día</v>
      </c>
      <c r="J230" s="32" t="s">
        <v>31</v>
      </c>
      <c r="K230" s="29" t="s">
        <v>81</v>
      </c>
      <c r="L230" s="33" t="s">
        <v>248</v>
      </c>
      <c r="M230" s="29" t="n">
        <f aca="false">+YEAR(F230)</f>
        <v>2026</v>
      </c>
      <c r="N230" s="29" t="n">
        <v>2026</v>
      </c>
      <c r="O230" s="29" t="n">
        <v>1</v>
      </c>
      <c r="P230" s="29" t="str">
        <f aca="false">+CONCATENATE(Tabla[[#This Row],[MES CAMPAÑA]],"/",Tabla[[#This Row],[AÑO CAMPAÑA]])</f>
        <v>1/2026</v>
      </c>
      <c r="Q230" s="29" t="s">
        <v>73</v>
      </c>
      <c r="R230" s="29"/>
      <c r="S230" s="34" t="n">
        <v>0</v>
      </c>
      <c r="T230" s="34" t="n">
        <v>3339</v>
      </c>
      <c r="U230" s="34" t="n">
        <v>634</v>
      </c>
      <c r="V230" s="29"/>
      <c r="W230" s="35" t="n">
        <v>3973</v>
      </c>
      <c r="X230" s="36" t="n">
        <f aca="false">+Tabla[[#This Row],[TOTAL]]</f>
        <v>3973</v>
      </c>
      <c r="Y230" s="37"/>
      <c r="Z230" s="37"/>
      <c r="AA230" s="37"/>
      <c r="AB230" s="38" t="n">
        <f aca="false">+W230-AC230</f>
        <v>0</v>
      </c>
      <c r="AC230" s="34" t="n">
        <f aca="false">+Tabla[[#This Row],[P4]]+Tabla[[#This Row],[P3]]+Tabla[[#This Row],[P2]]+Tabla[[#This Row],[P1]]</f>
        <v>3973</v>
      </c>
      <c r="AD230" s="34" t="n">
        <f aca="false">+W230-AC230</f>
        <v>0</v>
      </c>
      <c r="AE230" s="21" t="str">
        <f aca="false">IF(AB230&lt;1,"PAGADA","PENDIENTE")</f>
        <v>PAGADA</v>
      </c>
      <c r="AF230" s="21"/>
      <c r="AG230" s="29"/>
      <c r="AH230" s="40"/>
      <c r="AI230" s="40" t="n">
        <f aca="false">+IF(Tabla[[#This Row],[FECHA PAGO / ABONO]]&lt;1,0,(MONTH(Tabla[[#This Row],[FECHA PAGO / ABONO]])))</f>
        <v>0</v>
      </c>
      <c r="AJ230" s="40" t="n">
        <f aca="false">+IF(Tabla[[#This Row],[FECHA PAGO / ABONO]]&lt;1,0,(YEAR(Tabla[[#This Row],[FECHA PAGO / ABONO]])))</f>
        <v>0</v>
      </c>
      <c r="AK230" s="41"/>
    </row>
    <row r="231" customFormat="false" ht="14.25" hidden="false" customHeight="false" outlineLevel="0" collapsed="false">
      <c r="A231" s="28" t="s">
        <v>101</v>
      </c>
      <c r="B231" s="29" t="s">
        <v>102</v>
      </c>
      <c r="C231" s="29" t="s">
        <v>69</v>
      </c>
      <c r="D231" s="21" t="n">
        <v>29478071</v>
      </c>
      <c r="E231" s="21" t="str">
        <f aca="false">+CONCATENATE(Tabla[[#This Row],[RUT]],Tabla[[#This Row],[PROVEEDOR]],Tabla[[#This Row],[FACTURA]])</f>
        <v>97006000-6BANCO DE CREDITO E INVERSIONES29478071</v>
      </c>
      <c r="F231" s="57" t="n">
        <v>46064</v>
      </c>
      <c r="G231" s="31" t="n">
        <f aca="false">+F231+30</f>
        <v>46094</v>
      </c>
      <c r="H231" s="29" t="n">
        <f aca="true">+IF(AE231="PAGADA",0,TODAY()-G231)</f>
        <v>0</v>
      </c>
      <c r="I231" s="29" t="str">
        <f aca="false">+IF(H231&gt;180,"Atrasada",IF(H231&gt;150,"150 dias",IF(H231&gt;120,"120 dias",IF(H231&gt;90,"90 dias",IF(H231&gt;60,"60 dias",IF(H231&gt;30,"30 dias","Al Día"))))))</f>
        <v>Al Día</v>
      </c>
      <c r="J231" s="32" t="s">
        <v>31</v>
      </c>
      <c r="K231" s="29" t="s">
        <v>81</v>
      </c>
      <c r="L231" s="33" t="s">
        <v>248</v>
      </c>
      <c r="M231" s="29" t="n">
        <f aca="false">+YEAR(F231)</f>
        <v>2026</v>
      </c>
      <c r="N231" s="29" t="n">
        <v>2026</v>
      </c>
      <c r="O231" s="29" t="n">
        <v>1</v>
      </c>
      <c r="P231" s="29" t="str">
        <f aca="false">+CONCATENATE(Tabla[[#This Row],[MES CAMPAÑA]],"/",Tabla[[#This Row],[AÑO CAMPAÑA]])</f>
        <v>1/2026</v>
      </c>
      <c r="Q231" s="29" t="s">
        <v>73</v>
      </c>
      <c r="R231" s="29"/>
      <c r="S231" s="34" t="n">
        <v>0</v>
      </c>
      <c r="T231" s="34" t="n">
        <v>149471</v>
      </c>
      <c r="U231" s="34" t="n">
        <v>28399</v>
      </c>
      <c r="V231" s="29"/>
      <c r="W231" s="35" t="n">
        <v>177870</v>
      </c>
      <c r="X231" s="36" t="n">
        <f aca="false">+Tabla[[#This Row],[TOTAL]]</f>
        <v>177870</v>
      </c>
      <c r="Y231" s="37"/>
      <c r="Z231" s="37"/>
      <c r="AA231" s="37"/>
      <c r="AB231" s="38" t="n">
        <f aca="false">+W231-AC231</f>
        <v>0</v>
      </c>
      <c r="AC231" s="34" t="n">
        <f aca="false">+Tabla[[#This Row],[P4]]+Tabla[[#This Row],[P3]]+Tabla[[#This Row],[P2]]+Tabla[[#This Row],[P1]]</f>
        <v>177870</v>
      </c>
      <c r="AD231" s="34" t="n">
        <f aca="false">+W231-AC231</f>
        <v>0</v>
      </c>
      <c r="AE231" s="21" t="str">
        <f aca="false">IF(AB231&lt;1,"PAGADA","PENDIENTE")</f>
        <v>PAGADA</v>
      </c>
      <c r="AF231" s="21"/>
      <c r="AG231" s="29"/>
      <c r="AH231" s="40"/>
      <c r="AI231" s="40" t="n">
        <f aca="false">+IF(Tabla[[#This Row],[FECHA PAGO / ABONO]]&lt;1,0,(MONTH(Tabla[[#This Row],[FECHA PAGO / ABONO]])))</f>
        <v>0</v>
      </c>
      <c r="AJ231" s="40" t="n">
        <f aca="false">+IF(Tabla[[#This Row],[FECHA PAGO / ABONO]]&lt;1,0,(YEAR(Tabla[[#This Row],[FECHA PAGO / ABONO]])))</f>
        <v>0</v>
      </c>
      <c r="AK231" s="41"/>
    </row>
    <row r="232" customFormat="false" ht="14.25" hidden="false" customHeight="false" outlineLevel="0" collapsed="false">
      <c r="A232" s="28" t="s">
        <v>101</v>
      </c>
      <c r="B232" s="29" t="s">
        <v>102</v>
      </c>
      <c r="C232" s="29" t="s">
        <v>69</v>
      </c>
      <c r="D232" s="21" t="n">
        <v>29478072</v>
      </c>
      <c r="E232" s="21" t="str">
        <f aca="false">+CONCATENATE(Tabla[[#This Row],[RUT]],Tabla[[#This Row],[PROVEEDOR]],Tabla[[#This Row],[FACTURA]])</f>
        <v>97006000-6BANCO DE CREDITO E INVERSIONES29478072</v>
      </c>
      <c r="F232" s="57" t="n">
        <v>46064</v>
      </c>
      <c r="G232" s="31" t="n">
        <f aca="false">+F232+30</f>
        <v>46094</v>
      </c>
      <c r="H232" s="29" t="n">
        <f aca="true">+IF(AE232="PAGADA",0,TODAY()-G232)</f>
        <v>0</v>
      </c>
      <c r="I232" s="29" t="str">
        <f aca="false">+IF(H232&gt;180,"Atrasada",IF(H232&gt;150,"150 dias",IF(H232&gt;120,"120 dias",IF(H232&gt;90,"90 dias",IF(H232&gt;60,"60 dias",IF(H232&gt;30,"30 dias","Al Día"))))))</f>
        <v>Al Día</v>
      </c>
      <c r="J232" s="32" t="s">
        <v>31</v>
      </c>
      <c r="K232" s="29" t="s">
        <v>81</v>
      </c>
      <c r="L232" s="33" t="s">
        <v>248</v>
      </c>
      <c r="M232" s="29" t="n">
        <f aca="false">+YEAR(F232)</f>
        <v>2026</v>
      </c>
      <c r="N232" s="29" t="n">
        <v>2026</v>
      </c>
      <c r="O232" s="29" t="n">
        <v>1</v>
      </c>
      <c r="P232" s="29" t="str">
        <f aca="false">+CONCATENATE(Tabla[[#This Row],[MES CAMPAÑA]],"/",Tabla[[#This Row],[AÑO CAMPAÑA]])</f>
        <v>1/2026</v>
      </c>
      <c r="Q232" s="29" t="s">
        <v>73</v>
      </c>
      <c r="R232" s="29"/>
      <c r="S232" s="34" t="n">
        <v>0</v>
      </c>
      <c r="T232" s="34" t="n">
        <v>3339</v>
      </c>
      <c r="U232" s="34" t="n">
        <v>634</v>
      </c>
      <c r="V232" s="29"/>
      <c r="W232" s="35" t="n">
        <v>3973</v>
      </c>
      <c r="X232" s="36" t="n">
        <f aca="false">+Tabla[[#This Row],[TOTAL]]</f>
        <v>3973</v>
      </c>
      <c r="Y232" s="37"/>
      <c r="Z232" s="37"/>
      <c r="AA232" s="37"/>
      <c r="AB232" s="38" t="n">
        <f aca="false">+W232-AC232</f>
        <v>0</v>
      </c>
      <c r="AC232" s="34" t="n">
        <f aca="false">+Tabla[[#This Row],[P4]]+Tabla[[#This Row],[P3]]+Tabla[[#This Row],[P2]]+Tabla[[#This Row],[P1]]</f>
        <v>3973</v>
      </c>
      <c r="AD232" s="34" t="n">
        <f aca="false">+W232-AC232</f>
        <v>0</v>
      </c>
      <c r="AE232" s="21" t="str">
        <f aca="false">IF(AB232&lt;1,"PAGADA","PENDIENTE")</f>
        <v>PAGADA</v>
      </c>
      <c r="AF232" s="21"/>
      <c r="AG232" s="29"/>
      <c r="AH232" s="40"/>
      <c r="AI232" s="40" t="n">
        <f aca="false">+IF(Tabla[[#This Row],[FECHA PAGO / ABONO]]&lt;1,0,(MONTH(Tabla[[#This Row],[FECHA PAGO / ABONO]])))</f>
        <v>0</v>
      </c>
      <c r="AJ232" s="40" t="n">
        <f aca="false">+IF(Tabla[[#This Row],[FECHA PAGO / ABONO]]&lt;1,0,(YEAR(Tabla[[#This Row],[FECHA PAGO / ABONO]])))</f>
        <v>0</v>
      </c>
      <c r="AK232" s="41"/>
    </row>
    <row r="233" customFormat="false" ht="14.25" hidden="false" customHeight="false" outlineLevel="0" collapsed="false">
      <c r="A233" s="28" t="s">
        <v>101</v>
      </c>
      <c r="B233" s="29" t="s">
        <v>102</v>
      </c>
      <c r="C233" s="29" t="s">
        <v>69</v>
      </c>
      <c r="D233" s="21" t="n">
        <v>29478073</v>
      </c>
      <c r="E233" s="21" t="str">
        <f aca="false">+CONCATENATE(Tabla[[#This Row],[RUT]],Tabla[[#This Row],[PROVEEDOR]],Tabla[[#This Row],[FACTURA]])</f>
        <v>97006000-6BANCO DE CREDITO E INVERSIONES29478073</v>
      </c>
      <c r="F233" s="57" t="n">
        <v>46064</v>
      </c>
      <c r="G233" s="31" t="n">
        <f aca="false">+F233+30</f>
        <v>46094</v>
      </c>
      <c r="H233" s="29" t="n">
        <f aca="true">+IF(AE233="PAGADA",0,TODAY()-G233)</f>
        <v>0</v>
      </c>
      <c r="I233" s="29" t="str">
        <f aca="false">+IF(H233&gt;180,"Atrasada",IF(H233&gt;150,"150 dias",IF(H233&gt;120,"120 dias",IF(H233&gt;90,"90 dias",IF(H233&gt;60,"60 dias",IF(H233&gt;30,"30 dias","Al Día"))))))</f>
        <v>Al Día</v>
      </c>
      <c r="J233" s="32" t="s">
        <v>31</v>
      </c>
      <c r="K233" s="29" t="s">
        <v>81</v>
      </c>
      <c r="L233" s="33" t="s">
        <v>248</v>
      </c>
      <c r="M233" s="29" t="n">
        <f aca="false">+YEAR(F233)</f>
        <v>2026</v>
      </c>
      <c r="N233" s="29" t="n">
        <v>2026</v>
      </c>
      <c r="O233" s="29" t="n">
        <v>1</v>
      </c>
      <c r="P233" s="29" t="str">
        <f aca="false">+CONCATENATE(Tabla[[#This Row],[MES CAMPAÑA]],"/",Tabla[[#This Row],[AÑO CAMPAÑA]])</f>
        <v>1/2026</v>
      </c>
      <c r="Q233" s="29" t="s">
        <v>73</v>
      </c>
      <c r="R233" s="29"/>
      <c r="S233" s="34" t="n">
        <v>0</v>
      </c>
      <c r="T233" s="34" t="n">
        <v>170100</v>
      </c>
      <c r="U233" s="34" t="n">
        <v>32319</v>
      </c>
      <c r="V233" s="29"/>
      <c r="W233" s="35" t="n">
        <v>202419</v>
      </c>
      <c r="X233" s="36" t="n">
        <f aca="false">+Tabla[[#This Row],[TOTAL]]</f>
        <v>202419</v>
      </c>
      <c r="Y233" s="37"/>
      <c r="Z233" s="37"/>
      <c r="AA233" s="37"/>
      <c r="AB233" s="38" t="n">
        <f aca="false">+W233-AC233</f>
        <v>0</v>
      </c>
      <c r="AC233" s="34" t="n">
        <f aca="false">+Tabla[[#This Row],[P4]]+Tabla[[#This Row],[P3]]+Tabla[[#This Row],[P2]]+Tabla[[#This Row],[P1]]</f>
        <v>202419</v>
      </c>
      <c r="AD233" s="34" t="n">
        <f aca="false">+W233-AC233</f>
        <v>0</v>
      </c>
      <c r="AE233" s="21" t="str">
        <f aca="false">IF(AB233&lt;1,"PAGADA","PENDIENTE")</f>
        <v>PAGADA</v>
      </c>
      <c r="AF233" s="21"/>
      <c r="AG233" s="29"/>
      <c r="AH233" s="40"/>
      <c r="AI233" s="40" t="n">
        <f aca="false">+IF(Tabla[[#This Row],[FECHA PAGO / ABONO]]&lt;1,0,(MONTH(Tabla[[#This Row],[FECHA PAGO / ABONO]])))</f>
        <v>0</v>
      </c>
      <c r="AJ233" s="40" t="n">
        <f aca="false">+IF(Tabla[[#This Row],[FECHA PAGO / ABONO]]&lt;1,0,(YEAR(Tabla[[#This Row],[FECHA PAGO / ABONO]])))</f>
        <v>0</v>
      </c>
      <c r="AK233" s="41"/>
    </row>
    <row r="234" customFormat="false" ht="14.25" hidden="false" customHeight="false" outlineLevel="0" collapsed="false">
      <c r="A234" s="28" t="s">
        <v>101</v>
      </c>
      <c r="B234" s="29" t="s">
        <v>102</v>
      </c>
      <c r="C234" s="29" t="s">
        <v>69</v>
      </c>
      <c r="D234" s="21" t="n">
        <v>29478074</v>
      </c>
      <c r="E234" s="21" t="str">
        <f aca="false">+CONCATENATE(Tabla[[#This Row],[RUT]],Tabla[[#This Row],[PROVEEDOR]],Tabla[[#This Row],[FACTURA]])</f>
        <v>97006000-6BANCO DE CREDITO E INVERSIONES29478074</v>
      </c>
      <c r="F234" s="57" t="n">
        <v>46064</v>
      </c>
      <c r="G234" s="31" t="n">
        <f aca="false">+F234+30</f>
        <v>46094</v>
      </c>
      <c r="H234" s="29" t="n">
        <f aca="true">+IF(AE234="PAGADA",0,TODAY()-G234)</f>
        <v>0</v>
      </c>
      <c r="I234" s="29" t="str">
        <f aca="false">+IF(H234&gt;180,"Atrasada",IF(H234&gt;150,"150 dias",IF(H234&gt;120,"120 dias",IF(H234&gt;90,"90 dias",IF(H234&gt;60,"60 dias",IF(H234&gt;30,"30 dias","Al Día"))))))</f>
        <v>Al Día</v>
      </c>
      <c r="J234" s="32" t="s">
        <v>31</v>
      </c>
      <c r="K234" s="29" t="s">
        <v>81</v>
      </c>
      <c r="L234" s="33" t="s">
        <v>248</v>
      </c>
      <c r="M234" s="29" t="n">
        <f aca="false">+YEAR(F234)</f>
        <v>2026</v>
      </c>
      <c r="N234" s="29" t="n">
        <v>2026</v>
      </c>
      <c r="O234" s="29" t="n">
        <v>1</v>
      </c>
      <c r="P234" s="29" t="str">
        <f aca="false">+CONCATENATE(Tabla[[#This Row],[MES CAMPAÑA]],"/",Tabla[[#This Row],[AÑO CAMPAÑA]])</f>
        <v>1/2026</v>
      </c>
      <c r="Q234" s="29" t="s">
        <v>73</v>
      </c>
      <c r="R234" s="29"/>
      <c r="S234" s="34" t="n">
        <v>0</v>
      </c>
      <c r="T234" s="34" t="n">
        <v>1849</v>
      </c>
      <c r="U234" s="34" t="n">
        <v>351</v>
      </c>
      <c r="V234" s="29"/>
      <c r="W234" s="35" t="n">
        <v>2200</v>
      </c>
      <c r="X234" s="36" t="n">
        <f aca="false">+Tabla[[#This Row],[TOTAL]]</f>
        <v>2200</v>
      </c>
      <c r="Y234" s="37"/>
      <c r="Z234" s="37"/>
      <c r="AA234" s="37"/>
      <c r="AB234" s="38" t="n">
        <f aca="false">+W234-AC234</f>
        <v>0</v>
      </c>
      <c r="AC234" s="34" t="n">
        <f aca="false">+Tabla[[#This Row],[P4]]+Tabla[[#This Row],[P3]]+Tabla[[#This Row],[P2]]+Tabla[[#This Row],[P1]]</f>
        <v>2200</v>
      </c>
      <c r="AD234" s="34" t="n">
        <f aca="false">+W234-AC234</f>
        <v>0</v>
      </c>
      <c r="AE234" s="21" t="str">
        <f aca="false">IF(AB234&lt;1,"PAGADA","PENDIENTE")</f>
        <v>PAGADA</v>
      </c>
      <c r="AF234" s="21"/>
      <c r="AG234" s="29"/>
      <c r="AH234" s="40"/>
      <c r="AI234" s="40" t="n">
        <f aca="false">+IF(Tabla[[#This Row],[FECHA PAGO / ABONO]]&lt;1,0,(MONTH(Tabla[[#This Row],[FECHA PAGO / ABONO]])))</f>
        <v>0</v>
      </c>
      <c r="AJ234" s="40" t="n">
        <f aca="false">+IF(Tabla[[#This Row],[FECHA PAGO / ABONO]]&lt;1,0,(YEAR(Tabla[[#This Row],[FECHA PAGO / ABONO]])))</f>
        <v>0</v>
      </c>
      <c r="AK234" s="41"/>
    </row>
    <row r="235" customFormat="false" ht="14.25" hidden="false" customHeight="false" outlineLevel="0" collapsed="false">
      <c r="A235" s="28" t="s">
        <v>101</v>
      </c>
      <c r="B235" s="29" t="s">
        <v>102</v>
      </c>
      <c r="C235" s="29" t="s">
        <v>69</v>
      </c>
      <c r="D235" s="21" t="n">
        <v>29478075</v>
      </c>
      <c r="E235" s="21" t="str">
        <f aca="false">+CONCATENATE(Tabla[[#This Row],[RUT]],Tabla[[#This Row],[PROVEEDOR]],Tabla[[#This Row],[FACTURA]])</f>
        <v>97006000-6BANCO DE CREDITO E INVERSIONES29478075</v>
      </c>
      <c r="F235" s="57" t="n">
        <v>46064</v>
      </c>
      <c r="G235" s="31" t="n">
        <f aca="false">+F235+30</f>
        <v>46094</v>
      </c>
      <c r="H235" s="29" t="n">
        <f aca="true">+IF(AE235="PAGADA",0,TODAY()-G235)</f>
        <v>0</v>
      </c>
      <c r="I235" s="29" t="str">
        <f aca="false">+IF(H235&gt;180,"Atrasada",IF(H235&gt;150,"150 dias",IF(H235&gt;120,"120 dias",IF(H235&gt;90,"90 dias",IF(H235&gt;60,"60 dias",IF(H235&gt;30,"30 dias","Al Día"))))))</f>
        <v>Al Día</v>
      </c>
      <c r="J235" s="32" t="s">
        <v>31</v>
      </c>
      <c r="K235" s="29" t="s">
        <v>81</v>
      </c>
      <c r="L235" s="33" t="s">
        <v>248</v>
      </c>
      <c r="M235" s="29" t="n">
        <f aca="false">+YEAR(F235)</f>
        <v>2026</v>
      </c>
      <c r="N235" s="29" t="n">
        <v>2026</v>
      </c>
      <c r="O235" s="29" t="n">
        <v>1</v>
      </c>
      <c r="P235" s="29" t="str">
        <f aca="false">+CONCATENATE(Tabla[[#This Row],[MES CAMPAÑA]],"/",Tabla[[#This Row],[AÑO CAMPAÑA]])</f>
        <v>1/2026</v>
      </c>
      <c r="Q235" s="29" t="s">
        <v>73</v>
      </c>
      <c r="R235" s="29"/>
      <c r="S235" s="34" t="n">
        <v>0</v>
      </c>
      <c r="T235" s="34" t="n">
        <v>3249</v>
      </c>
      <c r="U235" s="34" t="n">
        <v>617</v>
      </c>
      <c r="V235" s="29"/>
      <c r="W235" s="35" t="n">
        <v>3866</v>
      </c>
      <c r="X235" s="36" t="n">
        <f aca="false">+Tabla[[#This Row],[TOTAL]]</f>
        <v>3866</v>
      </c>
      <c r="Y235" s="37"/>
      <c r="Z235" s="37"/>
      <c r="AA235" s="37"/>
      <c r="AB235" s="38" t="n">
        <f aca="false">+W235-AC235</f>
        <v>0</v>
      </c>
      <c r="AC235" s="34" t="n">
        <f aca="false">+Tabla[[#This Row],[P4]]+Tabla[[#This Row],[P3]]+Tabla[[#This Row],[P2]]+Tabla[[#This Row],[P1]]</f>
        <v>3866</v>
      </c>
      <c r="AD235" s="34" t="n">
        <f aca="false">+W235-AC235</f>
        <v>0</v>
      </c>
      <c r="AE235" s="21" t="str">
        <f aca="false">IF(AB235&lt;1,"PAGADA","PENDIENTE")</f>
        <v>PAGADA</v>
      </c>
      <c r="AF235" s="21"/>
      <c r="AG235" s="29"/>
      <c r="AH235" s="40"/>
      <c r="AI235" s="40" t="n">
        <f aca="false">+IF(Tabla[[#This Row],[FECHA PAGO / ABONO]]&lt;1,0,(MONTH(Tabla[[#This Row],[FECHA PAGO / ABONO]])))</f>
        <v>0</v>
      </c>
      <c r="AJ235" s="40" t="n">
        <f aca="false">+IF(Tabla[[#This Row],[FECHA PAGO / ABONO]]&lt;1,0,(YEAR(Tabla[[#This Row],[FECHA PAGO / ABONO]])))</f>
        <v>0</v>
      </c>
      <c r="AK235" s="41"/>
    </row>
    <row r="236" customFormat="false" ht="14.25" hidden="false" customHeight="false" outlineLevel="0" collapsed="false">
      <c r="A236" s="28" t="s">
        <v>101</v>
      </c>
      <c r="B236" s="29" t="s">
        <v>102</v>
      </c>
      <c r="C236" s="29" t="s">
        <v>69</v>
      </c>
      <c r="D236" s="21" t="n">
        <v>29490591</v>
      </c>
      <c r="E236" s="21" t="str">
        <f aca="false">+CONCATENATE(Tabla[[#This Row],[RUT]],Tabla[[#This Row],[PROVEEDOR]],Tabla[[#This Row],[FACTURA]])</f>
        <v>97006000-6BANCO DE CREDITO E INVERSIONES29490591</v>
      </c>
      <c r="F236" s="57" t="n">
        <v>46064</v>
      </c>
      <c r="G236" s="31" t="n">
        <f aca="false">+F236+30</f>
        <v>46094</v>
      </c>
      <c r="H236" s="29" t="n">
        <f aca="true">+IF(AE236="PAGADA",0,TODAY()-G236)</f>
        <v>0</v>
      </c>
      <c r="I236" s="29" t="str">
        <f aca="false">+IF(H236&gt;180,"Atrasada",IF(H236&gt;150,"150 dias",IF(H236&gt;120,"120 dias",IF(H236&gt;90,"90 dias",IF(H236&gt;60,"60 dias",IF(H236&gt;30,"30 dias","Al Día"))))))</f>
        <v>Al Día</v>
      </c>
      <c r="J236" s="32" t="s">
        <v>31</v>
      </c>
      <c r="K236" s="29" t="s">
        <v>81</v>
      </c>
      <c r="L236" s="33" t="s">
        <v>248</v>
      </c>
      <c r="M236" s="29" t="n">
        <f aca="false">+YEAR(F236)</f>
        <v>2026</v>
      </c>
      <c r="N236" s="29" t="n">
        <v>2026</v>
      </c>
      <c r="O236" s="29" t="n">
        <v>1</v>
      </c>
      <c r="P236" s="29" t="str">
        <f aca="false">+CONCATENATE(Tabla[[#This Row],[MES CAMPAÑA]],"/",Tabla[[#This Row],[AÑO CAMPAÑA]])</f>
        <v>1/2026</v>
      </c>
      <c r="Q236" s="29" t="s">
        <v>73</v>
      </c>
      <c r="R236" s="29"/>
      <c r="S236" s="34" t="n">
        <v>0</v>
      </c>
      <c r="T236" s="34" t="n">
        <v>67345</v>
      </c>
      <c r="U236" s="34" t="n">
        <v>12796</v>
      </c>
      <c r="V236" s="29"/>
      <c r="W236" s="35" t="n">
        <v>80141</v>
      </c>
      <c r="X236" s="36" t="n">
        <f aca="false">+Tabla[[#This Row],[TOTAL]]</f>
        <v>80141</v>
      </c>
      <c r="Y236" s="37"/>
      <c r="Z236" s="37"/>
      <c r="AA236" s="37"/>
      <c r="AB236" s="38" t="n">
        <f aca="false">+W236-AC236</f>
        <v>0</v>
      </c>
      <c r="AC236" s="34" t="n">
        <f aca="false">+Tabla[[#This Row],[P4]]+Tabla[[#This Row],[P3]]+Tabla[[#This Row],[P2]]+Tabla[[#This Row],[P1]]</f>
        <v>80141</v>
      </c>
      <c r="AD236" s="34" t="n">
        <f aca="false">+W236-AC236</f>
        <v>0</v>
      </c>
      <c r="AE236" s="21" t="str">
        <f aca="false">IF(AB236&lt;1,"PAGADA","PENDIENTE")</f>
        <v>PAGADA</v>
      </c>
      <c r="AF236" s="21"/>
      <c r="AG236" s="29"/>
      <c r="AH236" s="40"/>
      <c r="AI236" s="40" t="n">
        <f aca="false">+IF(Tabla[[#This Row],[FECHA PAGO / ABONO]]&lt;1,0,(MONTH(Tabla[[#This Row],[FECHA PAGO / ABONO]])))</f>
        <v>0</v>
      </c>
      <c r="AJ236" s="40" t="n">
        <f aca="false">+IF(Tabla[[#This Row],[FECHA PAGO / ABONO]]&lt;1,0,(YEAR(Tabla[[#This Row],[FECHA PAGO / ABONO]])))</f>
        <v>0</v>
      </c>
      <c r="AK236" s="41"/>
    </row>
    <row r="237" customFormat="false" ht="14.25" hidden="false" customHeight="false" outlineLevel="0" collapsed="false">
      <c r="A237" s="28" t="s">
        <v>257</v>
      </c>
      <c r="B237" s="29" t="s">
        <v>258</v>
      </c>
      <c r="C237" s="29" t="s">
        <v>69</v>
      </c>
      <c r="D237" s="21" t="n">
        <v>3</v>
      </c>
      <c r="E237" s="21" t="str">
        <f aca="false">+CONCATENATE(Tabla[[#This Row],[RUT]],Tabla[[#This Row],[PROVEEDOR]],Tabla[[#This Row],[FACTURA]])</f>
        <v>77961978-8AGENCIA MASTER SPA3</v>
      </c>
      <c r="F237" s="57" t="n">
        <v>46065</v>
      </c>
      <c r="G237" s="31" t="n">
        <f aca="false">+F237+30</f>
        <v>46095</v>
      </c>
      <c r="H237" s="29" t="n">
        <f aca="true">+IF(AE237="PAGADA",0,TODAY()-G237)</f>
        <v>0</v>
      </c>
      <c r="I237" s="29" t="str">
        <f aca="false">+IF(H237&gt;180,"Atrasada",IF(H237&gt;150,"150 dias",IF(H237&gt;120,"120 dias",IF(H237&gt;90,"90 dias",IF(H237&gt;60,"60 dias",IF(H237&gt;30,"30 dias","Al Día"))))))</f>
        <v>Al Día</v>
      </c>
      <c r="J237" s="32" t="s">
        <v>31</v>
      </c>
      <c r="K237" s="29" t="s">
        <v>81</v>
      </c>
      <c r="L237" s="33" t="s">
        <v>248</v>
      </c>
      <c r="M237" s="29" t="n">
        <f aca="false">+YEAR(F237)</f>
        <v>2026</v>
      </c>
      <c r="N237" s="29" t="n">
        <v>2026</v>
      </c>
      <c r="O237" s="29" t="n">
        <v>1</v>
      </c>
      <c r="P237" s="29" t="str">
        <f aca="false">+CONCATENATE(Tabla[[#This Row],[MES CAMPAÑA]],"/",Tabla[[#This Row],[AÑO CAMPAÑA]])</f>
        <v>1/2026</v>
      </c>
      <c r="Q237" s="29" t="s">
        <v>73</v>
      </c>
      <c r="R237" s="29"/>
      <c r="S237" s="34" t="n">
        <v>0</v>
      </c>
      <c r="T237" s="34" t="n">
        <v>300000</v>
      </c>
      <c r="U237" s="34" t="n">
        <v>57000</v>
      </c>
      <c r="V237" s="29"/>
      <c r="W237" s="35" t="n">
        <v>357000</v>
      </c>
      <c r="X237" s="36" t="n">
        <f aca="false">+Tabla[[#This Row],[TOTAL]]</f>
        <v>357000</v>
      </c>
      <c r="Y237" s="37"/>
      <c r="Z237" s="37"/>
      <c r="AA237" s="37"/>
      <c r="AB237" s="38" t="n">
        <f aca="false">+W237-AC237</f>
        <v>0</v>
      </c>
      <c r="AC237" s="34" t="n">
        <f aca="false">+Tabla[[#This Row],[P4]]+Tabla[[#This Row],[P3]]+Tabla[[#This Row],[P2]]+Tabla[[#This Row],[P1]]</f>
        <v>357000</v>
      </c>
      <c r="AD237" s="34" t="n">
        <f aca="false">+W237-AC237</f>
        <v>0</v>
      </c>
      <c r="AE237" s="21" t="str">
        <f aca="false">IF(AB237&lt;1,"PAGADA","PENDIENTE")</f>
        <v>PAGADA</v>
      </c>
      <c r="AF237" s="21"/>
      <c r="AG237" s="21" t="s">
        <v>77</v>
      </c>
      <c r="AH237" s="39" t="n">
        <v>46108</v>
      </c>
      <c r="AI237" s="40" t="n">
        <f aca="false">+IF(Tabla[[#This Row],[FECHA PAGO / ABONO]]&lt;1,0,(MONTH(Tabla[[#This Row],[FECHA PAGO / ABONO]])))</f>
        <v>3</v>
      </c>
      <c r="AJ237" s="40" t="n">
        <f aca="false">+IF(Tabla[[#This Row],[FECHA PAGO / ABONO]]&lt;1,0,(YEAR(Tabla[[#This Row],[FECHA PAGO / ABONO]])))</f>
        <v>2026</v>
      </c>
      <c r="AK237" s="41"/>
    </row>
    <row r="238" customFormat="false" ht="14.25" hidden="false" customHeight="false" outlineLevel="0" collapsed="false">
      <c r="A238" s="28" t="s">
        <v>147</v>
      </c>
      <c r="B238" s="29" t="s">
        <v>148</v>
      </c>
      <c r="C238" s="29" t="s">
        <v>69</v>
      </c>
      <c r="D238" s="21" t="n">
        <v>11477</v>
      </c>
      <c r="E238" s="21" t="str">
        <f aca="false">+CONCATENATE(Tabla[[#This Row],[RUT]],Tabla[[#This Row],[PROVEEDOR]],Tabla[[#This Row],[FACTURA]])</f>
        <v>80314100-2EMPRESA PUBLICITARIA ANEPCO SPA11477</v>
      </c>
      <c r="F238" s="57" t="n">
        <v>46065</v>
      </c>
      <c r="G238" s="31" t="n">
        <f aca="false">+F238+30</f>
        <v>46095</v>
      </c>
      <c r="H238" s="29" t="n">
        <f aca="true">+IF(AE238="PAGADA",0,TODAY()-G238)</f>
        <v>0</v>
      </c>
      <c r="I238" s="29" t="str">
        <f aca="false">+IF(H238&gt;180,"Atrasada",IF(H238&gt;150,"150 dias",IF(H238&gt;120,"120 dias",IF(H238&gt;90,"90 dias",IF(H238&gt;60,"60 dias",IF(H238&gt;30,"30 dias","Al Día"))))))</f>
        <v>Al Día</v>
      </c>
      <c r="J238" s="32" t="s">
        <v>80</v>
      </c>
      <c r="K238" s="29" t="s">
        <v>81</v>
      </c>
      <c r="L238" s="33" t="s">
        <v>248</v>
      </c>
      <c r="M238" s="29" t="n">
        <f aca="false">+YEAR(F238)</f>
        <v>2026</v>
      </c>
      <c r="N238" s="29" t="n">
        <v>2026</v>
      </c>
      <c r="O238" s="29" t="n">
        <v>1</v>
      </c>
      <c r="P238" s="29" t="str">
        <f aca="false">+CONCATENATE(Tabla[[#This Row],[MES CAMPAÑA]],"/",Tabla[[#This Row],[AÑO CAMPAÑA]])</f>
        <v>1/2026</v>
      </c>
      <c r="Q238" s="29" t="s">
        <v>92</v>
      </c>
      <c r="R238" s="29"/>
      <c r="S238" s="34" t="n">
        <v>0</v>
      </c>
      <c r="T238" s="34" t="n">
        <v>602620</v>
      </c>
      <c r="U238" s="34" t="n">
        <v>114498</v>
      </c>
      <c r="V238" s="29"/>
      <c r="W238" s="35" t="n">
        <v>717118</v>
      </c>
      <c r="X238" s="36" t="n">
        <f aca="false">+Tabla[[#This Row],[TOTAL]]</f>
        <v>717118</v>
      </c>
      <c r="Y238" s="37"/>
      <c r="Z238" s="37"/>
      <c r="AA238" s="37"/>
      <c r="AB238" s="38" t="n">
        <f aca="false">+W238-AC238</f>
        <v>0</v>
      </c>
      <c r="AC238" s="34" t="n">
        <f aca="false">+Tabla[[#This Row],[P4]]+Tabla[[#This Row],[P3]]+Tabla[[#This Row],[P2]]+Tabla[[#This Row],[P1]]</f>
        <v>717118</v>
      </c>
      <c r="AD238" s="34" t="n">
        <f aca="false">+W238-AC238</f>
        <v>0</v>
      </c>
      <c r="AE238" s="21" t="str">
        <f aca="false">IF(AB238&lt;1,"PAGADA","PENDIENTE")</f>
        <v>PAGADA</v>
      </c>
      <c r="AF238" s="21"/>
      <c r="AG238" s="29" t="s">
        <v>77</v>
      </c>
      <c r="AH238" s="39" t="n">
        <v>46097</v>
      </c>
      <c r="AI238" s="40" t="n">
        <f aca="false">+IF(Tabla[[#This Row],[FECHA PAGO / ABONO]]&lt;1,0,(MONTH(Tabla[[#This Row],[FECHA PAGO / ABONO]])))</f>
        <v>3</v>
      </c>
      <c r="AJ238" s="40" t="n">
        <f aca="false">+IF(Tabla[[#This Row],[FECHA PAGO / ABONO]]&lt;1,0,(YEAR(Tabla[[#This Row],[FECHA PAGO / ABONO]])))</f>
        <v>2026</v>
      </c>
      <c r="AK238" s="41"/>
    </row>
    <row r="239" customFormat="false" ht="14.25" hidden="false" customHeight="false" outlineLevel="0" collapsed="false">
      <c r="A239" s="28" t="s">
        <v>143</v>
      </c>
      <c r="B239" s="29" t="s">
        <v>144</v>
      </c>
      <c r="C239" s="29" t="s">
        <v>69</v>
      </c>
      <c r="D239" s="21" t="n">
        <v>518</v>
      </c>
      <c r="E239" s="21" t="str">
        <f aca="false">+CONCATENATE(Tabla[[#This Row],[RUT]],Tabla[[#This Row],[PROVEEDOR]],Tabla[[#This Row],[FACTURA]])</f>
        <v>76631768-5PATRICIO FÃ‰LIX MEZA FLORES,  E.I.R.L.518</v>
      </c>
      <c r="F239" s="57" t="n">
        <v>46066</v>
      </c>
      <c r="G239" s="31" t="n">
        <f aca="false">+F239+30</f>
        <v>46096</v>
      </c>
      <c r="H239" s="29" t="n">
        <f aca="true">+IF(AE239="PAGADA",0,TODAY()-G239)</f>
        <v>0</v>
      </c>
      <c r="I239" s="29" t="str">
        <f aca="false">+IF(H239&gt;180,"Atrasada",IF(H239&gt;150,"150 dias",IF(H239&gt;120,"120 dias",IF(H239&gt;90,"90 dias",IF(H239&gt;60,"60 dias",IF(H239&gt;30,"30 dias","Al Día"))))))</f>
        <v>Al Día</v>
      </c>
      <c r="J239" s="32" t="s">
        <v>80</v>
      </c>
      <c r="K239" s="29" t="s">
        <v>81</v>
      </c>
      <c r="L239" s="33" t="s">
        <v>248</v>
      </c>
      <c r="M239" s="29" t="n">
        <f aca="false">+YEAR(F239)</f>
        <v>2026</v>
      </c>
      <c r="N239" s="29" t="n">
        <v>2026</v>
      </c>
      <c r="O239" s="29" t="n">
        <v>1</v>
      </c>
      <c r="P239" s="29" t="str">
        <f aca="false">+CONCATENATE(Tabla[[#This Row],[MES CAMPAÑA]],"/",Tabla[[#This Row],[AÑO CAMPAÑA]])</f>
        <v>1/2026</v>
      </c>
      <c r="Q239" s="29" t="s">
        <v>108</v>
      </c>
      <c r="R239" s="29"/>
      <c r="S239" s="34" t="n">
        <v>0</v>
      </c>
      <c r="T239" s="34" t="n">
        <v>600000</v>
      </c>
      <c r="U239" s="34" t="n">
        <v>114000</v>
      </c>
      <c r="V239" s="29"/>
      <c r="W239" s="35" t="n">
        <v>714000</v>
      </c>
      <c r="X239" s="36" t="n">
        <f aca="false">+Tabla[[#This Row],[TOTAL]]</f>
        <v>714000</v>
      </c>
      <c r="Y239" s="37"/>
      <c r="Z239" s="37"/>
      <c r="AA239" s="37"/>
      <c r="AB239" s="38" t="n">
        <f aca="false">+W239-AC239</f>
        <v>0</v>
      </c>
      <c r="AC239" s="34" t="n">
        <f aca="false">+Tabla[[#This Row],[P4]]+Tabla[[#This Row],[P3]]+Tabla[[#This Row],[P2]]+Tabla[[#This Row],[P1]]</f>
        <v>714000</v>
      </c>
      <c r="AD239" s="34" t="n">
        <f aca="false">+W239-AC239</f>
        <v>0</v>
      </c>
      <c r="AE239" s="21" t="str">
        <f aca="false">IF(AB239&lt;1,"PAGADA","PENDIENTE")</f>
        <v>PAGADA</v>
      </c>
      <c r="AF239" s="21"/>
      <c r="AG239" s="29" t="s">
        <v>77</v>
      </c>
      <c r="AH239" s="39" t="n">
        <v>46087</v>
      </c>
      <c r="AI239" s="40" t="n">
        <f aca="false">+IF(Tabla[[#This Row],[FECHA PAGO / ABONO]]&lt;1,0,(MONTH(Tabla[[#This Row],[FECHA PAGO / ABONO]])))</f>
        <v>3</v>
      </c>
      <c r="AJ239" s="40" t="n">
        <f aca="false">+IF(Tabla[[#This Row],[FECHA PAGO / ABONO]]&lt;1,0,(YEAR(Tabla[[#This Row],[FECHA PAGO / ABONO]])))</f>
        <v>2026</v>
      </c>
      <c r="AK239" s="41"/>
    </row>
    <row r="240" customFormat="false" ht="14.25" hidden="false" customHeight="false" outlineLevel="0" collapsed="false">
      <c r="A240" s="28" t="s">
        <v>153</v>
      </c>
      <c r="B240" s="29" t="s">
        <v>154</v>
      </c>
      <c r="C240" s="29" t="s">
        <v>69</v>
      </c>
      <c r="D240" s="21" t="n">
        <v>1358</v>
      </c>
      <c r="E240" s="21" t="str">
        <f aca="false">+CONCATENATE(Tabla[[#This Row],[RUT]],Tabla[[#This Row],[PROVEEDOR]],Tabla[[#This Row],[FACTURA]])</f>
        <v>77176333-2MARKETING, PUBLICIDAD E INFORMÃTICA GRUPO 4 LIMITADA1358</v>
      </c>
      <c r="F240" s="57" t="n">
        <v>46066</v>
      </c>
      <c r="G240" s="31" t="n">
        <f aca="false">+F240+30</f>
        <v>46096</v>
      </c>
      <c r="H240" s="29" t="n">
        <f aca="true">+IF(AE240="PAGADA",0,TODAY()-G240)</f>
        <v>0</v>
      </c>
      <c r="I240" s="29" t="str">
        <f aca="false">+IF(H240&gt;180,"Atrasada",IF(H240&gt;150,"150 dias",IF(H240&gt;120,"120 dias",IF(H240&gt;90,"90 dias",IF(H240&gt;60,"60 dias",IF(H240&gt;30,"30 dias","Al Día"))))))</f>
        <v>Al Día</v>
      </c>
      <c r="J240" s="32" t="s">
        <v>80</v>
      </c>
      <c r="K240" s="29" t="s">
        <v>81</v>
      </c>
      <c r="L240" s="33" t="s">
        <v>248</v>
      </c>
      <c r="M240" s="29" t="n">
        <f aca="false">+YEAR(F240)</f>
        <v>2026</v>
      </c>
      <c r="N240" s="29" t="n">
        <v>2026</v>
      </c>
      <c r="O240" s="29" t="n">
        <v>1</v>
      </c>
      <c r="P240" s="29" t="str">
        <f aca="false">+CONCATENATE(Tabla[[#This Row],[MES CAMPAÑA]],"/",Tabla[[#This Row],[AÑO CAMPAÑA]])</f>
        <v>1/2026</v>
      </c>
      <c r="Q240" s="29" t="s">
        <v>108</v>
      </c>
      <c r="R240" s="29"/>
      <c r="S240" s="34" t="n">
        <v>0</v>
      </c>
      <c r="T240" s="34" t="n">
        <v>500000</v>
      </c>
      <c r="U240" s="34" t="n">
        <v>95000</v>
      </c>
      <c r="V240" s="29"/>
      <c r="W240" s="35" t="n">
        <v>595000</v>
      </c>
      <c r="X240" s="36" t="n">
        <f aca="false">+Tabla[[#This Row],[TOTAL]]</f>
        <v>595000</v>
      </c>
      <c r="Y240" s="37"/>
      <c r="Z240" s="37"/>
      <c r="AA240" s="37"/>
      <c r="AB240" s="38" t="n">
        <f aca="false">+W240-AC240</f>
        <v>0</v>
      </c>
      <c r="AC240" s="34" t="n">
        <f aca="false">+Tabla[[#This Row],[P4]]+Tabla[[#This Row],[P3]]+Tabla[[#This Row],[P2]]+Tabla[[#This Row],[P1]]</f>
        <v>595000</v>
      </c>
      <c r="AD240" s="34" t="n">
        <f aca="false">+W240-AC240</f>
        <v>0</v>
      </c>
      <c r="AE240" s="21" t="str">
        <f aca="false">IF(AB240&lt;1,"PAGADA","PENDIENTE")</f>
        <v>PAGADA</v>
      </c>
      <c r="AF240" s="21"/>
      <c r="AG240" s="29" t="s">
        <v>77</v>
      </c>
      <c r="AH240" s="39" t="n">
        <v>46148</v>
      </c>
      <c r="AI240" s="40" t="n">
        <f aca="false">+IF(Tabla[[#This Row],[FECHA PAGO / ABONO]]&lt;1,0,(MONTH(Tabla[[#This Row],[FECHA PAGO / ABONO]])))</f>
        <v>5</v>
      </c>
      <c r="AJ240" s="40" t="n">
        <f aca="false">+IF(Tabla[[#This Row],[FECHA PAGO / ABONO]]&lt;1,0,(YEAR(Tabla[[#This Row],[FECHA PAGO / ABONO]])))</f>
        <v>2026</v>
      </c>
      <c r="AK240" s="41"/>
    </row>
    <row r="241" customFormat="false" ht="14.25" hidden="false" customHeight="false" outlineLevel="0" collapsed="false">
      <c r="A241" s="28" t="s">
        <v>143</v>
      </c>
      <c r="B241" s="29" t="s">
        <v>144</v>
      </c>
      <c r="C241" s="29" t="s">
        <v>69</v>
      </c>
      <c r="D241" s="21" t="n">
        <v>519</v>
      </c>
      <c r="E241" s="21" t="str">
        <f aca="false">+CONCATENATE(Tabla[[#This Row],[RUT]],Tabla[[#This Row],[PROVEEDOR]],Tabla[[#This Row],[FACTURA]])</f>
        <v>76631768-5PATRICIO FÃ‰LIX MEZA FLORES,  E.I.R.L.519</v>
      </c>
      <c r="F241" s="57" t="n">
        <v>46066</v>
      </c>
      <c r="G241" s="31" t="n">
        <f aca="false">+F241+30</f>
        <v>46096</v>
      </c>
      <c r="H241" s="29" t="n">
        <f aca="true">+IF(AE241="PAGADA",0,TODAY()-G241)</f>
        <v>0</v>
      </c>
      <c r="I241" s="29" t="str">
        <f aca="false">+IF(H241&gt;180,"Atrasada",IF(H241&gt;150,"150 dias",IF(H241&gt;120,"120 dias",IF(H241&gt;90,"90 dias",IF(H241&gt;60,"60 dias",IF(H241&gt;30,"30 dias","Al Día"))))))</f>
        <v>Al Día</v>
      </c>
      <c r="J241" s="32" t="s">
        <v>80</v>
      </c>
      <c r="K241" s="29" t="s">
        <v>81</v>
      </c>
      <c r="L241" s="33" t="s">
        <v>248</v>
      </c>
      <c r="M241" s="29" t="n">
        <f aca="false">+YEAR(F241)</f>
        <v>2026</v>
      </c>
      <c r="N241" s="29" t="n">
        <v>2026</v>
      </c>
      <c r="O241" s="29" t="n">
        <v>1</v>
      </c>
      <c r="P241" s="29" t="str">
        <f aca="false">+CONCATENATE(Tabla[[#This Row],[MES CAMPAÑA]],"/",Tabla[[#This Row],[AÑO CAMPAÑA]])</f>
        <v>1/2026</v>
      </c>
      <c r="Q241" s="29" t="s">
        <v>108</v>
      </c>
      <c r="R241" s="29"/>
      <c r="S241" s="34" t="n">
        <v>0</v>
      </c>
      <c r="T241" s="34" t="n">
        <v>2200000</v>
      </c>
      <c r="U241" s="34" t="n">
        <v>418000</v>
      </c>
      <c r="V241" s="29"/>
      <c r="W241" s="35" t="n">
        <v>2618000</v>
      </c>
      <c r="X241" s="36" t="n">
        <v>618000</v>
      </c>
      <c r="Y241" s="37" t="n">
        <v>2000000</v>
      </c>
      <c r="Z241" s="37"/>
      <c r="AA241" s="37"/>
      <c r="AB241" s="38" t="n">
        <f aca="false">+W241-AC241</f>
        <v>0</v>
      </c>
      <c r="AC241" s="34" t="n">
        <f aca="false">+Tabla[[#This Row],[P4]]+Tabla[[#This Row],[P3]]+Tabla[[#This Row],[P2]]+Tabla[[#This Row],[P1]]</f>
        <v>2618000</v>
      </c>
      <c r="AD241" s="34" t="n">
        <f aca="false">+W241-AC241</f>
        <v>0</v>
      </c>
      <c r="AE241" s="21" t="str">
        <f aca="false">IF(AB241&lt;1,"PAGADA","PENDIENTE")</f>
        <v>PAGADA</v>
      </c>
      <c r="AF241" s="21"/>
      <c r="AG241" s="29" t="s">
        <v>77</v>
      </c>
      <c r="AH241" s="39" t="s">
        <v>259</v>
      </c>
      <c r="AI241" s="40" t="e">
        <f aca="false">+IF(Tabla[[#This Row],[FECHA PAGO / ABONO]]&lt;1,0,(MONTH(Tabla[[#This Row],[FECHA PAGO / ABONO]])))</f>
        <v>#VALUE!</v>
      </c>
      <c r="AJ241" s="40" t="e">
        <f aca="false">+IF(Tabla[[#This Row],[FECHA PAGO / ABONO]]&lt;1,0,(YEAR(Tabla[[#This Row],[FECHA PAGO / ABONO]])))</f>
        <v>#VALUE!</v>
      </c>
      <c r="AK241" s="41"/>
    </row>
    <row r="242" customFormat="false" ht="14.25" hidden="false" customHeight="false" outlineLevel="0" collapsed="false">
      <c r="A242" s="28" t="s">
        <v>90</v>
      </c>
      <c r="B242" s="29" t="s">
        <v>91</v>
      </c>
      <c r="C242" s="29" t="s">
        <v>69</v>
      </c>
      <c r="D242" s="21" t="n">
        <v>402</v>
      </c>
      <c r="E242" s="21" t="str">
        <f aca="false">+CONCATENATE(Tabla[[#This Row],[RUT]],Tabla[[#This Row],[PROVEEDOR]],Tabla[[#This Row],[FACTURA]])</f>
        <v>76984948-3CONECCIONLINEAL PUBLICIDAD Y MARKETING SPA402</v>
      </c>
      <c r="F242" s="57" t="n">
        <v>46066</v>
      </c>
      <c r="G242" s="31" t="n">
        <f aca="false">+F242+30</f>
        <v>46096</v>
      </c>
      <c r="H242" s="29" t="n">
        <f aca="true">+IF(AE242="PAGADA",0,TODAY()-G242)</f>
        <v>0</v>
      </c>
      <c r="I242" s="29" t="str">
        <f aca="false">+IF(H242&gt;180,"Atrasada",IF(H242&gt;150,"150 dias",IF(H242&gt;120,"120 dias",IF(H242&gt;90,"90 dias",IF(H242&gt;60,"60 dias",IF(H242&gt;30,"30 dias","Al Día"))))))</f>
        <v>Al Día</v>
      </c>
      <c r="J242" s="32" t="s">
        <v>80</v>
      </c>
      <c r="K242" s="29" t="s">
        <v>81</v>
      </c>
      <c r="L242" s="33" t="s">
        <v>248</v>
      </c>
      <c r="M242" s="29" t="n">
        <f aca="false">+YEAR(F242)</f>
        <v>2026</v>
      </c>
      <c r="N242" s="29" t="n">
        <v>2026</v>
      </c>
      <c r="O242" s="29" t="n">
        <v>1</v>
      </c>
      <c r="P242" s="29" t="str">
        <f aca="false">+CONCATENATE(Tabla[[#This Row],[MES CAMPAÑA]],"/",Tabla[[#This Row],[AÑO CAMPAÑA]])</f>
        <v>1/2026</v>
      </c>
      <c r="Q242" s="29" t="s">
        <v>92</v>
      </c>
      <c r="R242" s="29"/>
      <c r="S242" s="34" t="n">
        <v>0</v>
      </c>
      <c r="T242" s="34" t="n">
        <v>465400</v>
      </c>
      <c r="U242" s="34" t="n">
        <v>88426</v>
      </c>
      <c r="V242" s="29"/>
      <c r="W242" s="35" t="n">
        <v>553826</v>
      </c>
      <c r="X242" s="36" t="n">
        <f aca="false">+Tabla[[#This Row],[TOTAL]]</f>
        <v>553826</v>
      </c>
      <c r="Y242" s="37"/>
      <c r="Z242" s="37"/>
      <c r="AA242" s="37"/>
      <c r="AB242" s="38" t="n">
        <f aca="false">+W242-AC242</f>
        <v>0</v>
      </c>
      <c r="AC242" s="34" t="n">
        <f aca="false">+Tabla[[#This Row],[P4]]+Tabla[[#This Row],[P3]]+Tabla[[#This Row],[P2]]+Tabla[[#This Row],[P1]]</f>
        <v>553826</v>
      </c>
      <c r="AD242" s="34" t="n">
        <f aca="false">+W242-AC242</f>
        <v>0</v>
      </c>
      <c r="AE242" s="21" t="str">
        <f aca="false">IF(AB242&lt;1,"PAGADA","PENDIENTE")</f>
        <v>PAGADA</v>
      </c>
      <c r="AF242" s="21"/>
      <c r="AG242" s="21" t="s">
        <v>77</v>
      </c>
      <c r="AH242" s="39" t="n">
        <v>46100</v>
      </c>
      <c r="AI242" s="40" t="n">
        <f aca="false">+IF(Tabla[[#This Row],[FECHA PAGO / ABONO]]&lt;1,0,(MONTH(Tabla[[#This Row],[FECHA PAGO / ABONO]])))</f>
        <v>3</v>
      </c>
      <c r="AJ242" s="40" t="n">
        <f aca="false">+IF(Tabla[[#This Row],[FECHA PAGO / ABONO]]&lt;1,0,(YEAR(Tabla[[#This Row],[FECHA PAGO / ABONO]])))</f>
        <v>2026</v>
      </c>
      <c r="AK242" s="41"/>
    </row>
    <row r="243" customFormat="false" ht="14.25" hidden="false" customHeight="false" outlineLevel="0" collapsed="false">
      <c r="A243" s="28" t="s">
        <v>90</v>
      </c>
      <c r="B243" s="29" t="s">
        <v>91</v>
      </c>
      <c r="C243" s="29" t="s">
        <v>69</v>
      </c>
      <c r="D243" s="21" t="n">
        <v>403</v>
      </c>
      <c r="E243" s="21" t="str">
        <f aca="false">+CONCATENATE(Tabla[[#This Row],[RUT]],Tabla[[#This Row],[PROVEEDOR]],Tabla[[#This Row],[FACTURA]])</f>
        <v>76984948-3CONECCIONLINEAL PUBLICIDAD Y MARKETING SPA403</v>
      </c>
      <c r="F243" s="57" t="n">
        <v>46066</v>
      </c>
      <c r="G243" s="31" t="n">
        <f aca="false">+F243+30</f>
        <v>46096</v>
      </c>
      <c r="H243" s="29" t="n">
        <f aca="true">+IF(AE243="PAGADA",0,TODAY()-G243)</f>
        <v>0</v>
      </c>
      <c r="I243" s="29" t="str">
        <f aca="false">+IF(H243&gt;180,"Atrasada",IF(H243&gt;150,"150 dias",IF(H243&gt;120,"120 dias",IF(H243&gt;90,"90 dias",IF(H243&gt;60,"60 dias",IF(H243&gt;30,"30 dias","Al Día"))))))</f>
        <v>Al Día</v>
      </c>
      <c r="J243" s="32" t="s">
        <v>80</v>
      </c>
      <c r="K243" s="29" t="s">
        <v>81</v>
      </c>
      <c r="L243" s="33" t="s">
        <v>248</v>
      </c>
      <c r="M243" s="29" t="n">
        <f aca="false">+YEAR(F243)</f>
        <v>2026</v>
      </c>
      <c r="N243" s="29" t="n">
        <v>2026</v>
      </c>
      <c r="O243" s="29" t="n">
        <v>1</v>
      </c>
      <c r="P243" s="29" t="str">
        <f aca="false">+CONCATENATE(Tabla[[#This Row],[MES CAMPAÑA]],"/",Tabla[[#This Row],[AÑO CAMPAÑA]])</f>
        <v>1/2026</v>
      </c>
      <c r="Q243" s="29" t="s">
        <v>92</v>
      </c>
      <c r="R243" s="29"/>
      <c r="S243" s="34" t="n">
        <v>0</v>
      </c>
      <c r="T243" s="34" t="n">
        <v>465400</v>
      </c>
      <c r="U243" s="34" t="n">
        <v>88426</v>
      </c>
      <c r="V243" s="29"/>
      <c r="W243" s="35" t="n">
        <v>553826</v>
      </c>
      <c r="X243" s="36" t="n">
        <f aca="false">+Tabla[[#This Row],[TOTAL]]</f>
        <v>553826</v>
      </c>
      <c r="Y243" s="37"/>
      <c r="Z243" s="37"/>
      <c r="AA243" s="37"/>
      <c r="AB243" s="38" t="n">
        <f aca="false">+W243-AC243</f>
        <v>0</v>
      </c>
      <c r="AC243" s="34" t="n">
        <f aca="false">+Tabla[[#This Row],[P4]]+Tabla[[#This Row],[P3]]+Tabla[[#This Row],[P2]]+Tabla[[#This Row],[P1]]</f>
        <v>553826</v>
      </c>
      <c r="AD243" s="34" t="n">
        <f aca="false">+W243-AC243</f>
        <v>0</v>
      </c>
      <c r="AE243" s="21" t="str">
        <f aca="false">IF(AB243&lt;1,"PAGADA","PENDIENTE")</f>
        <v>PAGADA</v>
      </c>
      <c r="AF243" s="21"/>
      <c r="AG243" s="21" t="s">
        <v>77</v>
      </c>
      <c r="AH243" s="39" t="n">
        <v>46100</v>
      </c>
      <c r="AI243" s="40" t="n">
        <f aca="false">+IF(Tabla[[#This Row],[FECHA PAGO / ABONO]]&lt;1,0,(MONTH(Tabla[[#This Row],[FECHA PAGO / ABONO]])))</f>
        <v>3</v>
      </c>
      <c r="AJ243" s="40" t="n">
        <f aca="false">+IF(Tabla[[#This Row],[FECHA PAGO / ABONO]]&lt;1,0,(YEAR(Tabla[[#This Row],[FECHA PAGO / ABONO]])))</f>
        <v>2026</v>
      </c>
      <c r="AK243" s="41"/>
    </row>
    <row r="244" customFormat="false" ht="14.25" hidden="false" customHeight="false" outlineLevel="0" collapsed="false">
      <c r="A244" s="28" t="s">
        <v>249</v>
      </c>
      <c r="B244" s="29" t="s">
        <v>250</v>
      </c>
      <c r="C244" s="29" t="s">
        <v>69</v>
      </c>
      <c r="D244" s="21" t="n">
        <v>361360</v>
      </c>
      <c r="E244" s="21" t="str">
        <f aca="false">+CONCATENATE(Tabla[[#This Row],[RUT]],Tabla[[#This Row],[PROVEEDOR]],Tabla[[#This Row],[FACTURA]])</f>
        <v>84295700-1Empresa Periodistica El Norte S.A.361360</v>
      </c>
      <c r="F244" s="57" t="n">
        <v>46069</v>
      </c>
      <c r="G244" s="31" t="n">
        <f aca="false">+F244+30</f>
        <v>46099</v>
      </c>
      <c r="H244" s="29" t="n">
        <f aca="true">+IF(AE244="PAGADA",0,TODAY()-G244)</f>
        <v>0</v>
      </c>
      <c r="I244" s="29" t="str">
        <f aca="false">+IF(H244&gt;180,"Atrasada",IF(H244&gt;150,"150 dias",IF(H244&gt;120,"120 dias",IF(H244&gt;90,"90 dias",IF(H244&gt;60,"60 dias",IF(H244&gt;30,"30 dias","Al Día"))))))</f>
        <v>Al Día</v>
      </c>
      <c r="J244" s="32" t="s">
        <v>80</v>
      </c>
      <c r="K244" s="29" t="s">
        <v>81</v>
      </c>
      <c r="L244" s="33" t="s">
        <v>248</v>
      </c>
      <c r="M244" s="29" t="n">
        <f aca="false">+YEAR(F244)</f>
        <v>2026</v>
      </c>
      <c r="N244" s="29" t="n">
        <v>2026</v>
      </c>
      <c r="O244" s="29" t="n">
        <v>1</v>
      </c>
      <c r="P244" s="29" t="str">
        <f aca="false">+CONCATENATE(Tabla[[#This Row],[MES CAMPAÑA]],"/",Tabla[[#This Row],[AÑO CAMPAÑA]])</f>
        <v>1/2026</v>
      </c>
      <c r="Q244" s="29" t="s">
        <v>108</v>
      </c>
      <c r="R244" s="29"/>
      <c r="S244" s="34" t="n">
        <v>0</v>
      </c>
      <c r="T244" s="34" t="n">
        <v>698000</v>
      </c>
      <c r="U244" s="34" t="n">
        <v>132620</v>
      </c>
      <c r="V244" s="29"/>
      <c r="W244" s="35" t="n">
        <v>830620</v>
      </c>
      <c r="X244" s="36" t="n">
        <f aca="false">+Tabla[[#This Row],[TOTAL]]</f>
        <v>830620</v>
      </c>
      <c r="Y244" s="37"/>
      <c r="Z244" s="37"/>
      <c r="AA244" s="37"/>
      <c r="AB244" s="38" t="n">
        <f aca="false">+W244-AC244</f>
        <v>0</v>
      </c>
      <c r="AC244" s="34" t="n">
        <f aca="false">+Tabla[[#This Row],[P4]]+Tabla[[#This Row],[P3]]+Tabla[[#This Row],[P2]]+Tabla[[#This Row],[P1]]</f>
        <v>830620</v>
      </c>
      <c r="AD244" s="34" t="n">
        <f aca="false">+W244-AC244</f>
        <v>0</v>
      </c>
      <c r="AE244" s="21" t="str">
        <f aca="false">IF(AB244&lt;1,"PAGADA","PENDIENTE")</f>
        <v>PAGADA</v>
      </c>
      <c r="AF244" s="21" t="s">
        <v>251</v>
      </c>
      <c r="AG244" s="29" t="s">
        <v>77</v>
      </c>
      <c r="AH244" s="39" t="n">
        <v>46146</v>
      </c>
      <c r="AI244" s="40" t="n">
        <f aca="false">+IF(Tabla[[#This Row],[FECHA PAGO / ABONO]]&lt;1,0,(MONTH(Tabla[[#This Row],[FECHA PAGO / ABONO]])))</f>
        <v>5</v>
      </c>
      <c r="AJ244" s="40" t="n">
        <f aca="false">+IF(Tabla[[#This Row],[FECHA PAGO / ABONO]]&lt;1,0,(YEAR(Tabla[[#This Row],[FECHA PAGO / ABONO]])))</f>
        <v>2026</v>
      </c>
      <c r="AK244" s="41"/>
    </row>
    <row r="245" customFormat="false" ht="14.25" hidden="false" customHeight="false" outlineLevel="0" collapsed="false">
      <c r="A245" s="28" t="s">
        <v>249</v>
      </c>
      <c r="B245" s="29" t="s">
        <v>250</v>
      </c>
      <c r="C245" s="29" t="s">
        <v>69</v>
      </c>
      <c r="D245" s="21" t="n">
        <v>361358</v>
      </c>
      <c r="E245" s="21" t="str">
        <f aca="false">+CONCATENATE(Tabla[[#This Row],[RUT]],Tabla[[#This Row],[PROVEEDOR]],Tabla[[#This Row],[FACTURA]])</f>
        <v>84295700-1Empresa Periodistica El Norte S.A.361358</v>
      </c>
      <c r="F245" s="57" t="n">
        <v>46069</v>
      </c>
      <c r="G245" s="31" t="n">
        <f aca="false">+F245+30</f>
        <v>46099</v>
      </c>
      <c r="H245" s="29" t="n">
        <f aca="true">+IF(AE245="PAGADA",0,TODAY()-G245)</f>
        <v>0</v>
      </c>
      <c r="I245" s="29" t="str">
        <f aca="false">+IF(H245&gt;180,"Atrasada",IF(H245&gt;150,"150 dias",IF(H245&gt;120,"120 dias",IF(H245&gt;90,"90 dias",IF(H245&gt;60,"60 dias",IF(H245&gt;30,"30 dias","Al Día"))))))</f>
        <v>Al Día</v>
      </c>
      <c r="J245" s="32" t="s">
        <v>80</v>
      </c>
      <c r="K245" s="29" t="s">
        <v>81</v>
      </c>
      <c r="L245" s="33" t="s">
        <v>248</v>
      </c>
      <c r="M245" s="29" t="n">
        <f aca="false">+YEAR(F245)</f>
        <v>2026</v>
      </c>
      <c r="N245" s="29" t="n">
        <v>2026</v>
      </c>
      <c r="O245" s="29" t="n">
        <v>1</v>
      </c>
      <c r="P245" s="29" t="str">
        <f aca="false">+CONCATENATE(Tabla[[#This Row],[MES CAMPAÑA]],"/",Tabla[[#This Row],[AÑO CAMPAÑA]])</f>
        <v>1/2026</v>
      </c>
      <c r="Q245" s="29" t="s">
        <v>108</v>
      </c>
      <c r="R245" s="29"/>
      <c r="S245" s="34" t="n">
        <v>0</v>
      </c>
      <c r="T245" s="34" t="n">
        <v>1000000</v>
      </c>
      <c r="U245" s="34" t="n">
        <v>190000</v>
      </c>
      <c r="V245" s="29"/>
      <c r="W245" s="35" t="n">
        <v>1190000</v>
      </c>
      <c r="X245" s="36" t="n">
        <f aca="false">+Tabla[[#This Row],[TOTAL]]</f>
        <v>1190000</v>
      </c>
      <c r="Y245" s="37"/>
      <c r="Z245" s="37"/>
      <c r="AA245" s="37"/>
      <c r="AB245" s="38" t="n">
        <f aca="false">+W245-AC245</f>
        <v>0</v>
      </c>
      <c r="AC245" s="34" t="n">
        <f aca="false">+Tabla[[#This Row],[P4]]+Tabla[[#This Row],[P3]]+Tabla[[#This Row],[P2]]+Tabla[[#This Row],[P1]]</f>
        <v>1190000</v>
      </c>
      <c r="AD245" s="34" t="n">
        <f aca="false">+W245-AC245</f>
        <v>0</v>
      </c>
      <c r="AE245" s="21" t="str">
        <f aca="false">IF(AB245&lt;1,"PAGADA","PENDIENTE")</f>
        <v>PAGADA</v>
      </c>
      <c r="AF245" s="21" t="s">
        <v>251</v>
      </c>
      <c r="AG245" s="29" t="s">
        <v>77</v>
      </c>
      <c r="AH245" s="39" t="n">
        <v>46169</v>
      </c>
      <c r="AI245" s="40" t="n">
        <f aca="false">+IF(Tabla[[#This Row],[FECHA PAGO / ABONO]]&lt;1,0,(MONTH(Tabla[[#This Row],[FECHA PAGO / ABONO]])))</f>
        <v>5</v>
      </c>
      <c r="AJ245" s="40" t="n">
        <f aca="false">+IF(Tabla[[#This Row],[FECHA PAGO / ABONO]]&lt;1,0,(YEAR(Tabla[[#This Row],[FECHA PAGO / ABONO]])))</f>
        <v>2026</v>
      </c>
      <c r="AK245" s="41"/>
    </row>
    <row r="246" customFormat="false" ht="14.25" hidden="false" customHeight="false" outlineLevel="0" collapsed="false">
      <c r="A246" s="28" t="s">
        <v>249</v>
      </c>
      <c r="B246" s="29" t="s">
        <v>250</v>
      </c>
      <c r="C246" s="29" t="s">
        <v>69</v>
      </c>
      <c r="D246" s="21" t="n">
        <v>361359</v>
      </c>
      <c r="E246" s="21" t="str">
        <f aca="false">+CONCATENATE(Tabla[[#This Row],[RUT]],Tabla[[#This Row],[PROVEEDOR]],Tabla[[#This Row],[FACTURA]])</f>
        <v>84295700-1Empresa Periodistica El Norte S.A.361359</v>
      </c>
      <c r="F246" s="57" t="n">
        <v>46069</v>
      </c>
      <c r="G246" s="31" t="n">
        <f aca="false">+F246+30</f>
        <v>46099</v>
      </c>
      <c r="H246" s="29" t="n">
        <f aca="true">+IF(AE246="PAGADA",0,TODAY()-G246)</f>
        <v>0</v>
      </c>
      <c r="I246" s="29" t="str">
        <f aca="false">+IF(H246&gt;180,"Atrasada",IF(H246&gt;150,"150 dias",IF(H246&gt;120,"120 dias",IF(H246&gt;90,"90 dias",IF(H246&gt;60,"60 dias",IF(H246&gt;30,"30 dias","Al Día"))))))</f>
        <v>Al Día</v>
      </c>
      <c r="J246" s="32" t="s">
        <v>80</v>
      </c>
      <c r="K246" s="29" t="s">
        <v>81</v>
      </c>
      <c r="L246" s="33" t="s">
        <v>248</v>
      </c>
      <c r="M246" s="29" t="n">
        <f aca="false">+YEAR(F246)</f>
        <v>2026</v>
      </c>
      <c r="N246" s="29" t="n">
        <v>2026</v>
      </c>
      <c r="O246" s="29" t="n">
        <v>1</v>
      </c>
      <c r="P246" s="29" t="str">
        <f aca="false">+CONCATENATE(Tabla[[#This Row],[MES CAMPAÑA]],"/",Tabla[[#This Row],[AÑO CAMPAÑA]])</f>
        <v>1/2026</v>
      </c>
      <c r="Q246" s="29" t="s">
        <v>108</v>
      </c>
      <c r="R246" s="29"/>
      <c r="S246" s="34" t="n">
        <v>0</v>
      </c>
      <c r="T246" s="34" t="n">
        <v>1800000</v>
      </c>
      <c r="U246" s="34" t="n">
        <v>342000</v>
      </c>
      <c r="V246" s="29"/>
      <c r="W246" s="35" t="n">
        <v>2142000</v>
      </c>
      <c r="X246" s="36" t="n">
        <f aca="false">+Tabla[[#This Row],[TOTAL]]</f>
        <v>2142000</v>
      </c>
      <c r="Y246" s="37"/>
      <c r="Z246" s="37"/>
      <c r="AA246" s="37"/>
      <c r="AB246" s="38" t="n">
        <f aca="false">+W246-AC246</f>
        <v>0</v>
      </c>
      <c r="AC246" s="34" t="n">
        <f aca="false">+Tabla[[#This Row],[P4]]+Tabla[[#This Row],[P3]]+Tabla[[#This Row],[P2]]+Tabla[[#This Row],[P1]]</f>
        <v>2142000</v>
      </c>
      <c r="AD246" s="34" t="n">
        <f aca="false">+W246-AC246</f>
        <v>0</v>
      </c>
      <c r="AE246" s="21" t="str">
        <f aca="false">IF(AB246&lt;1,"PAGADA","PENDIENTE")</f>
        <v>PAGADA</v>
      </c>
      <c r="AF246" s="21" t="s">
        <v>251</v>
      </c>
      <c r="AG246" s="29" t="s">
        <v>77</v>
      </c>
      <c r="AH246" s="39" t="n">
        <v>46146</v>
      </c>
      <c r="AI246" s="40" t="n">
        <f aca="false">+IF(Tabla[[#This Row],[FECHA PAGO / ABONO]]&lt;1,0,(MONTH(Tabla[[#This Row],[FECHA PAGO / ABONO]])))</f>
        <v>5</v>
      </c>
      <c r="AJ246" s="40" t="n">
        <f aca="false">+IF(Tabla[[#This Row],[FECHA PAGO / ABONO]]&lt;1,0,(YEAR(Tabla[[#This Row],[FECHA PAGO / ABONO]])))</f>
        <v>2026</v>
      </c>
      <c r="AK246" s="41"/>
    </row>
    <row r="247" customFormat="false" ht="14.25" hidden="false" customHeight="false" outlineLevel="0" collapsed="false">
      <c r="A247" s="28" t="s">
        <v>131</v>
      </c>
      <c r="B247" s="29" t="s">
        <v>132</v>
      </c>
      <c r="C247" s="29" t="s">
        <v>69</v>
      </c>
      <c r="D247" s="21" t="n">
        <v>17644385</v>
      </c>
      <c r="E247" s="21" t="str">
        <f aca="false">+CONCATENATE(Tabla[[#This Row],[RUT]],Tabla[[#This Row],[PROVEEDOR]],Tabla[[#This Row],[FACTURA]])</f>
        <v>78921690-8WOM S.A.17644385</v>
      </c>
      <c r="F247" s="57" t="n">
        <v>46069</v>
      </c>
      <c r="G247" s="31" t="n">
        <f aca="false">+F247+30</f>
        <v>46099</v>
      </c>
      <c r="H247" s="29" t="n">
        <f aca="true">+IF(AE247="PAGADA",0,TODAY()-G247)</f>
        <v>0</v>
      </c>
      <c r="I247" s="29" t="str">
        <f aca="false">+IF(H247&gt;180,"Atrasada",IF(H247&gt;150,"150 dias",IF(H247&gt;120,"120 dias",IF(H247&gt;90,"90 dias",IF(H247&gt;60,"60 dias",IF(H247&gt;30,"30 dias","Al Día"))))))</f>
        <v>Al Día</v>
      </c>
      <c r="J247" s="32" t="s">
        <v>31</v>
      </c>
      <c r="K247" s="29" t="s">
        <v>81</v>
      </c>
      <c r="L247" s="33" t="s">
        <v>248</v>
      </c>
      <c r="M247" s="29" t="n">
        <f aca="false">+YEAR(F247)</f>
        <v>2026</v>
      </c>
      <c r="N247" s="29" t="n">
        <v>2026</v>
      </c>
      <c r="O247" s="29" t="n">
        <v>1</v>
      </c>
      <c r="P247" s="29" t="str">
        <f aca="false">+CONCATENATE(Tabla[[#This Row],[MES CAMPAÑA]],"/",Tabla[[#This Row],[AÑO CAMPAÑA]])</f>
        <v>1/2026</v>
      </c>
      <c r="Q247" s="29" t="s">
        <v>73</v>
      </c>
      <c r="R247" s="29"/>
      <c r="S247" s="34" t="n">
        <v>0</v>
      </c>
      <c r="T247" s="34" t="n">
        <v>13104</v>
      </c>
      <c r="U247" s="34" t="n">
        <v>2490</v>
      </c>
      <c r="V247" s="29"/>
      <c r="W247" s="35" t="n">
        <v>15594</v>
      </c>
      <c r="X247" s="36" t="n">
        <f aca="false">+Tabla[[#This Row],[TOTAL]]</f>
        <v>15594</v>
      </c>
      <c r="Y247" s="37"/>
      <c r="Z247" s="37"/>
      <c r="AA247" s="37"/>
      <c r="AB247" s="38" t="n">
        <f aca="false">+W247-AC247</f>
        <v>0</v>
      </c>
      <c r="AC247" s="34" t="n">
        <f aca="false">+Tabla[[#This Row],[P4]]+Tabla[[#This Row],[P3]]+Tabla[[#This Row],[P2]]+Tabla[[#This Row],[P1]]</f>
        <v>15594</v>
      </c>
      <c r="AD247" s="34" t="n">
        <f aca="false">+W247-AC247</f>
        <v>0</v>
      </c>
      <c r="AE247" s="21" t="str">
        <f aca="false">IF(AB247&lt;1,"PAGADA","PENDIENTE")</f>
        <v>PAGADA</v>
      </c>
      <c r="AF247" s="21"/>
      <c r="AG247" s="29"/>
      <c r="AH247" s="40"/>
      <c r="AI247" s="40" t="n">
        <f aca="false">+IF(Tabla[[#This Row],[FECHA PAGO / ABONO]]&lt;1,0,(MONTH(Tabla[[#This Row],[FECHA PAGO / ABONO]])))</f>
        <v>0</v>
      </c>
      <c r="AJ247" s="40" t="n">
        <f aca="false">+IF(Tabla[[#This Row],[FECHA PAGO / ABONO]]&lt;1,0,(YEAR(Tabla[[#This Row],[FECHA PAGO / ABONO]])))</f>
        <v>0</v>
      </c>
      <c r="AK247" s="41"/>
    </row>
    <row r="248" customFormat="false" ht="14.25" hidden="false" customHeight="false" outlineLevel="0" collapsed="false">
      <c r="A248" s="28" t="s">
        <v>133</v>
      </c>
      <c r="B248" s="29" t="s">
        <v>134</v>
      </c>
      <c r="C248" s="29" t="s">
        <v>69</v>
      </c>
      <c r="D248" s="21" t="n">
        <v>1710</v>
      </c>
      <c r="E248" s="21" t="str">
        <f aca="false">+CONCATENATE(Tabla[[#This Row],[RUT]],Tabla[[#This Row],[PROVEEDOR]],Tabla[[#This Row],[FACTURA]])</f>
        <v>52004666-6IQUIQUE TELEVISION PRODUCCIONES TELEVISIVAS Y EVENTOS LIMITADA1710</v>
      </c>
      <c r="F248" s="57" t="n">
        <v>46070</v>
      </c>
      <c r="G248" s="31" t="n">
        <f aca="false">+F248+30</f>
        <v>46100</v>
      </c>
      <c r="H248" s="29" t="n">
        <f aca="true">+IF(AE248="PAGADA",0,TODAY()-G248)</f>
        <v>0</v>
      </c>
      <c r="I248" s="29" t="str">
        <f aca="false">+IF(H248&gt;180,"Atrasada",IF(H248&gt;150,"150 dias",IF(H248&gt;120,"120 dias",IF(H248&gt;90,"90 dias",IF(H248&gt;60,"60 dias",IF(H248&gt;30,"30 dias","Al Día"))))))</f>
        <v>Al Día</v>
      </c>
      <c r="J248" s="32" t="s">
        <v>80</v>
      </c>
      <c r="K248" s="29" t="s">
        <v>81</v>
      </c>
      <c r="L248" s="33" t="s">
        <v>248</v>
      </c>
      <c r="M248" s="29" t="n">
        <f aca="false">+YEAR(F248)</f>
        <v>2026</v>
      </c>
      <c r="N248" s="29" t="n">
        <v>2026</v>
      </c>
      <c r="O248" s="29" t="n">
        <v>1</v>
      </c>
      <c r="P248" s="29" t="str">
        <f aca="false">+CONCATENATE(Tabla[[#This Row],[MES CAMPAÑA]],"/",Tabla[[#This Row],[AÑO CAMPAÑA]])</f>
        <v>1/2026</v>
      </c>
      <c r="Q248" s="29" t="s">
        <v>108</v>
      </c>
      <c r="R248" s="29"/>
      <c r="S248" s="34" t="n">
        <v>0</v>
      </c>
      <c r="T248" s="34" t="n">
        <v>500000</v>
      </c>
      <c r="U248" s="34" t="n">
        <v>95000</v>
      </c>
      <c r="V248" s="29"/>
      <c r="W248" s="35" t="n">
        <v>595000</v>
      </c>
      <c r="X248" s="36" t="n">
        <f aca="false">+Tabla[[#This Row],[TOTAL]]</f>
        <v>595000</v>
      </c>
      <c r="Y248" s="37"/>
      <c r="Z248" s="37"/>
      <c r="AA248" s="37"/>
      <c r="AB248" s="38" t="n">
        <f aca="false">+W248-AC248</f>
        <v>0</v>
      </c>
      <c r="AC248" s="34" t="n">
        <f aca="false">+Tabla[[#This Row],[P4]]+Tabla[[#This Row],[P3]]+Tabla[[#This Row],[P2]]+Tabla[[#This Row],[P1]]</f>
        <v>595000</v>
      </c>
      <c r="AD248" s="34" t="n">
        <f aca="false">+W248-AC248</f>
        <v>0</v>
      </c>
      <c r="AE248" s="21" t="str">
        <f aca="false">IF(AB248&lt;1,"PAGADA","PENDIENTE")</f>
        <v>PAGADA</v>
      </c>
      <c r="AF248" s="21"/>
      <c r="AG248" s="29" t="s">
        <v>77</v>
      </c>
      <c r="AH248" s="39" t="n">
        <v>46108</v>
      </c>
      <c r="AI248" s="40" t="n">
        <f aca="false">+IF(Tabla[[#This Row],[FECHA PAGO / ABONO]]&lt;1,0,(MONTH(Tabla[[#This Row],[FECHA PAGO / ABONO]])))</f>
        <v>3</v>
      </c>
      <c r="AJ248" s="40" t="n">
        <f aca="false">+IF(Tabla[[#This Row],[FECHA PAGO / ABONO]]&lt;1,0,(YEAR(Tabla[[#This Row],[FECHA PAGO / ABONO]])))</f>
        <v>2026</v>
      </c>
      <c r="AK248" s="41"/>
    </row>
    <row r="249" customFormat="false" ht="14.25" hidden="false" customHeight="false" outlineLevel="0" collapsed="false">
      <c r="A249" s="28" t="s">
        <v>139</v>
      </c>
      <c r="B249" s="29" t="s">
        <v>140</v>
      </c>
      <c r="C249" s="29" t="s">
        <v>69</v>
      </c>
      <c r="D249" s="21" t="n">
        <v>2580</v>
      </c>
      <c r="E249" s="21" t="str">
        <f aca="false">+CONCATENATE(Tabla[[#This Row],[RUT]],Tabla[[#This Row],[PROVEEDOR]],Tabla[[#This Row],[FACTURA]])</f>
        <v>76126782-5VISUAL MEDIA LTDA.2580</v>
      </c>
      <c r="F249" s="57" t="n">
        <v>46070</v>
      </c>
      <c r="G249" s="31" t="n">
        <f aca="false">+F249+30</f>
        <v>46100</v>
      </c>
      <c r="H249" s="29" t="n">
        <f aca="true">+IF(AE249="PAGADA",0,TODAY()-G249)</f>
        <v>0</v>
      </c>
      <c r="I249" s="29" t="str">
        <f aca="false">+IF(H249&gt;180,"Atrasada",IF(H249&gt;150,"150 dias",IF(H249&gt;120,"120 dias",IF(H249&gt;90,"90 dias",IF(H249&gt;60,"60 dias",IF(H249&gt;30,"30 dias","Al Día"))))))</f>
        <v>Al Día</v>
      </c>
      <c r="J249" s="32" t="s">
        <v>80</v>
      </c>
      <c r="K249" s="29" t="s">
        <v>81</v>
      </c>
      <c r="L249" s="33" t="s">
        <v>248</v>
      </c>
      <c r="M249" s="29" t="n">
        <f aca="false">+YEAR(F249)</f>
        <v>2026</v>
      </c>
      <c r="N249" s="29" t="n">
        <v>2026</v>
      </c>
      <c r="O249" s="29" t="n">
        <v>1</v>
      </c>
      <c r="P249" s="29" t="str">
        <f aca="false">+CONCATENATE(Tabla[[#This Row],[MES CAMPAÑA]],"/",Tabla[[#This Row],[AÑO CAMPAÑA]])</f>
        <v>1/2026</v>
      </c>
      <c r="Q249" s="29" t="s">
        <v>92</v>
      </c>
      <c r="R249" s="29"/>
      <c r="S249" s="34" t="n">
        <v>0</v>
      </c>
      <c r="T249" s="34" t="n">
        <v>350000</v>
      </c>
      <c r="U249" s="34" t="n">
        <v>66500</v>
      </c>
      <c r="V249" s="29"/>
      <c r="W249" s="35" t="n">
        <v>416500</v>
      </c>
      <c r="X249" s="36" t="n">
        <f aca="false">+Tabla[[#This Row],[TOTAL]]</f>
        <v>416500</v>
      </c>
      <c r="Y249" s="37"/>
      <c r="Z249" s="37"/>
      <c r="AA249" s="37"/>
      <c r="AB249" s="38" t="n">
        <f aca="false">+W249-AC249</f>
        <v>0</v>
      </c>
      <c r="AC249" s="34" t="n">
        <f aca="false">+Tabla[[#This Row],[P4]]+Tabla[[#This Row],[P3]]+Tabla[[#This Row],[P2]]+Tabla[[#This Row],[P1]]</f>
        <v>416500</v>
      </c>
      <c r="AD249" s="34" t="n">
        <f aca="false">+W249-AC249</f>
        <v>0</v>
      </c>
      <c r="AE249" s="21" t="str">
        <f aca="false">IF(AB249&lt;1,"PAGADA","PENDIENTE")</f>
        <v>PAGADA</v>
      </c>
      <c r="AF249" s="21"/>
      <c r="AG249" s="29" t="s">
        <v>77</v>
      </c>
      <c r="AH249" s="39" t="n">
        <v>46160</v>
      </c>
      <c r="AI249" s="40" t="n">
        <f aca="false">+IF(Tabla[[#This Row],[FECHA PAGO / ABONO]]&lt;1,0,(MONTH(Tabla[[#This Row],[FECHA PAGO / ABONO]])))</f>
        <v>5</v>
      </c>
      <c r="AJ249" s="40" t="n">
        <f aca="false">+IF(Tabla[[#This Row],[FECHA PAGO / ABONO]]&lt;1,0,(YEAR(Tabla[[#This Row],[FECHA PAGO / ABONO]])))</f>
        <v>2026</v>
      </c>
      <c r="AK249" s="41"/>
    </row>
    <row r="250" customFormat="false" ht="14.25" hidden="false" customHeight="false" outlineLevel="0" collapsed="false">
      <c r="A250" s="28" t="s">
        <v>157</v>
      </c>
      <c r="B250" s="29" t="s">
        <v>158</v>
      </c>
      <c r="C250" s="29" t="s">
        <v>69</v>
      </c>
      <c r="D250" s="21" t="n">
        <v>4302</v>
      </c>
      <c r="E250" s="21" t="str">
        <f aca="false">+CONCATENATE(Tabla[[#This Row],[RUT]],Tabla[[#This Row],[PROVEEDOR]],Tabla[[#This Row],[FACTURA]])</f>
        <v>76617260-1IMPORTADORA Y COMERCIALIZADORA GREPSA LTDA4302</v>
      </c>
      <c r="F250" s="57" t="n">
        <v>46070</v>
      </c>
      <c r="G250" s="31" t="n">
        <f aca="false">+F250+30</f>
        <v>46100</v>
      </c>
      <c r="H250" s="29" t="n">
        <f aca="true">+IF(AE250="PAGADA",0,TODAY()-G250)</f>
        <v>0</v>
      </c>
      <c r="I250" s="29" t="str">
        <f aca="false">+IF(H250&gt;180,"Atrasada",IF(H250&gt;150,"150 dias",IF(H250&gt;120,"120 dias",IF(H250&gt;90,"90 dias",IF(H250&gt;60,"60 dias",IF(H250&gt;30,"30 dias","Al Día"))))))</f>
        <v>Al Día</v>
      </c>
      <c r="J250" s="32" t="s">
        <v>80</v>
      </c>
      <c r="K250" s="29" t="s">
        <v>81</v>
      </c>
      <c r="L250" s="33" t="s">
        <v>248</v>
      </c>
      <c r="M250" s="29" t="n">
        <f aca="false">+YEAR(F250)</f>
        <v>2026</v>
      </c>
      <c r="N250" s="29" t="n">
        <v>2026</v>
      </c>
      <c r="O250" s="29" t="n">
        <v>1</v>
      </c>
      <c r="P250" s="29" t="str">
        <f aca="false">+CONCATENATE(Tabla[[#This Row],[MES CAMPAÑA]],"/",Tabla[[#This Row],[AÑO CAMPAÑA]])</f>
        <v>1/2026</v>
      </c>
      <c r="Q250" s="29" t="s">
        <v>92</v>
      </c>
      <c r="R250" s="29"/>
      <c r="S250" s="34" t="n">
        <v>0</v>
      </c>
      <c r="T250" s="34" t="n">
        <v>790000</v>
      </c>
      <c r="U250" s="34" t="n">
        <v>150100</v>
      </c>
      <c r="V250" s="29"/>
      <c r="W250" s="35" t="n">
        <v>940100</v>
      </c>
      <c r="X250" s="36" t="n">
        <f aca="false">+Tabla[[#This Row],[TOTAL]]</f>
        <v>940100</v>
      </c>
      <c r="Y250" s="37"/>
      <c r="Z250" s="37"/>
      <c r="AA250" s="37"/>
      <c r="AB250" s="38" t="n">
        <f aca="false">+W250-AC250</f>
        <v>0</v>
      </c>
      <c r="AC250" s="34" t="n">
        <f aca="false">+Tabla[[#This Row],[P4]]+Tabla[[#This Row],[P3]]+Tabla[[#This Row],[P2]]+Tabla[[#This Row],[P1]]</f>
        <v>940100</v>
      </c>
      <c r="AD250" s="34" t="n">
        <f aca="false">+W250-AC250</f>
        <v>0</v>
      </c>
      <c r="AE250" s="21" t="str">
        <f aca="false">IF(AB250&lt;1,"PAGADA","PENDIENTE")</f>
        <v>PAGADA</v>
      </c>
      <c r="AF250" s="21"/>
      <c r="AG250" s="29" t="s">
        <v>77</v>
      </c>
      <c r="AH250" s="39" t="n">
        <v>46100</v>
      </c>
      <c r="AI250" s="40" t="n">
        <f aca="false">+IF(Tabla[[#This Row],[FECHA PAGO / ABONO]]&lt;1,0,(MONTH(Tabla[[#This Row],[FECHA PAGO / ABONO]])))</f>
        <v>3</v>
      </c>
      <c r="AJ250" s="40" t="n">
        <f aca="false">+IF(Tabla[[#This Row],[FECHA PAGO / ABONO]]&lt;1,0,(YEAR(Tabla[[#This Row],[FECHA PAGO / ABONO]])))</f>
        <v>2026</v>
      </c>
      <c r="AK250" s="41"/>
    </row>
    <row r="251" customFormat="false" ht="14.25" hidden="false" customHeight="false" outlineLevel="0" collapsed="false">
      <c r="A251" s="28" t="s">
        <v>116</v>
      </c>
      <c r="B251" s="29" t="s">
        <v>117</v>
      </c>
      <c r="C251" s="29" t="s">
        <v>69</v>
      </c>
      <c r="D251" s="21" t="n">
        <v>1299</v>
      </c>
      <c r="E251" s="21" t="str">
        <f aca="false">+CONCATENATE(Tabla[[#This Row],[RUT]],Tabla[[#This Row],[PROVEEDOR]],Tabla[[#This Row],[FACTURA]])</f>
        <v>77954644-6WAPA MARKETING Y COMUNICACIONES LIMITADA.1299</v>
      </c>
      <c r="F251" s="57" t="n">
        <v>46070</v>
      </c>
      <c r="G251" s="31" t="n">
        <f aca="false">+F251+30</f>
        <v>46100</v>
      </c>
      <c r="H251" s="29" t="n">
        <f aca="true">+IF(AE251="PAGADA",0,TODAY()-G251)</f>
        <v>0</v>
      </c>
      <c r="I251" s="29" t="str">
        <f aca="false">+IF(H251&gt;180,"Atrasada",IF(H251&gt;150,"150 dias",IF(H251&gt;120,"120 dias",IF(H251&gt;90,"90 dias",IF(H251&gt;60,"60 dias",IF(H251&gt;30,"30 dias","Al Día"))))))</f>
        <v>Al Día</v>
      </c>
      <c r="J251" s="32" t="s">
        <v>80</v>
      </c>
      <c r="K251" s="29" t="s">
        <v>81</v>
      </c>
      <c r="L251" s="33" t="s">
        <v>248</v>
      </c>
      <c r="M251" s="29" t="n">
        <f aca="false">+YEAR(F251)</f>
        <v>2026</v>
      </c>
      <c r="N251" s="29" t="n">
        <v>2026</v>
      </c>
      <c r="O251" s="29" t="n">
        <v>1</v>
      </c>
      <c r="P251" s="29" t="str">
        <f aca="false">+CONCATENATE(Tabla[[#This Row],[MES CAMPAÑA]],"/",Tabla[[#This Row],[AÑO CAMPAÑA]])</f>
        <v>1/2026</v>
      </c>
      <c r="Q251" s="29" t="s">
        <v>92</v>
      </c>
      <c r="R251" s="29"/>
      <c r="S251" s="34" t="n">
        <v>0</v>
      </c>
      <c r="T251" s="34" t="n">
        <v>430000</v>
      </c>
      <c r="U251" s="34" t="n">
        <v>81700</v>
      </c>
      <c r="V251" s="29"/>
      <c r="W251" s="35" t="n">
        <v>511700</v>
      </c>
      <c r="X251" s="36" t="n">
        <f aca="false">+Tabla[[#This Row],[TOTAL]]</f>
        <v>511700</v>
      </c>
      <c r="Y251" s="37"/>
      <c r="Z251" s="37"/>
      <c r="AA251" s="37"/>
      <c r="AB251" s="38" t="n">
        <f aca="false">+W251-AC251</f>
        <v>0</v>
      </c>
      <c r="AC251" s="34" t="n">
        <f aca="false">+Tabla[[#This Row],[P4]]+Tabla[[#This Row],[P3]]+Tabla[[#This Row],[P2]]+Tabla[[#This Row],[P1]]</f>
        <v>511700</v>
      </c>
      <c r="AD251" s="34" t="n">
        <f aca="false">+W251-AC251</f>
        <v>0</v>
      </c>
      <c r="AE251" s="21" t="str">
        <f aca="false">IF(AB251&lt;1,"PAGADA","PENDIENTE")</f>
        <v>PAGADA</v>
      </c>
      <c r="AF251" s="21"/>
      <c r="AG251" s="21" t="s">
        <v>77</v>
      </c>
      <c r="AH251" s="39" t="n">
        <v>46108</v>
      </c>
      <c r="AI251" s="40" t="n">
        <f aca="false">+IF(Tabla[[#This Row],[FECHA PAGO / ABONO]]&lt;1,0,(MONTH(Tabla[[#This Row],[FECHA PAGO / ABONO]])))</f>
        <v>3</v>
      </c>
      <c r="AJ251" s="40" t="n">
        <f aca="false">+IF(Tabla[[#This Row],[FECHA PAGO / ABONO]]&lt;1,0,(YEAR(Tabla[[#This Row],[FECHA PAGO / ABONO]])))</f>
        <v>2026</v>
      </c>
      <c r="AK251" s="41"/>
    </row>
    <row r="252" customFormat="false" ht="14.25" hidden="false" customHeight="false" outlineLevel="0" collapsed="false">
      <c r="A252" s="28" t="s">
        <v>162</v>
      </c>
      <c r="B252" s="29" t="s">
        <v>163</v>
      </c>
      <c r="C252" s="29" t="s">
        <v>69</v>
      </c>
      <c r="D252" s="21" t="n">
        <v>13102</v>
      </c>
      <c r="E252" s="21" t="str">
        <f aca="false">+CONCATENATE(Tabla[[#This Row],[RUT]],Tabla[[#This Row],[PROVEEDOR]],Tabla[[#This Row],[FACTURA]])</f>
        <v>76808030-5MEDIASTREAM SPA13102</v>
      </c>
      <c r="F252" s="57" t="n">
        <v>46070</v>
      </c>
      <c r="G252" s="31" t="n">
        <f aca="false">+F252+30</f>
        <v>46100</v>
      </c>
      <c r="H252" s="29" t="n">
        <f aca="true">+IF(AE252="PAGADA",0,TODAY()-G252)</f>
        <v>104</v>
      </c>
      <c r="I252" s="29" t="str">
        <f aca="false">+IF(H252&gt;180,"Atrasada",IF(H252&gt;150,"150 dias",IF(H252&gt;120,"120 dias",IF(H252&gt;90,"90 dias",IF(H252&gt;60,"60 dias",IF(H252&gt;30,"30 dias","Al Día"))))))</f>
        <v>90 dias</v>
      </c>
      <c r="J252" s="32" t="s">
        <v>80</v>
      </c>
      <c r="K252" s="29" t="s">
        <v>81</v>
      </c>
      <c r="L252" s="33" t="s">
        <v>248</v>
      </c>
      <c r="M252" s="29" t="n">
        <f aca="false">+YEAR(F252)</f>
        <v>2026</v>
      </c>
      <c r="N252" s="29" t="n">
        <v>2026</v>
      </c>
      <c r="O252" s="29" t="n">
        <v>1</v>
      </c>
      <c r="P252" s="29" t="str">
        <f aca="false">+CONCATENATE(Tabla[[#This Row],[MES CAMPAÑA]],"/",Tabla[[#This Row],[AÑO CAMPAÑA]])</f>
        <v>1/2026</v>
      </c>
      <c r="Q252" s="29" t="s">
        <v>168</v>
      </c>
      <c r="R252" s="29"/>
      <c r="S252" s="34" t="n">
        <v>0</v>
      </c>
      <c r="T252" s="34" t="n">
        <v>1500000</v>
      </c>
      <c r="U252" s="34" t="n">
        <v>285000</v>
      </c>
      <c r="V252" s="29"/>
      <c r="W252" s="35" t="n">
        <v>1785000</v>
      </c>
      <c r="X252" s="36"/>
      <c r="Y252" s="37"/>
      <c r="Z252" s="37"/>
      <c r="AA252" s="37"/>
      <c r="AB252" s="38" t="n">
        <f aca="false">+W252-AC252</f>
        <v>1785000</v>
      </c>
      <c r="AC252" s="34" t="n">
        <f aca="false">+Tabla[[#This Row],[P4]]+Tabla[[#This Row],[P3]]+Tabla[[#This Row],[P2]]+Tabla[[#This Row],[P1]]</f>
        <v>0</v>
      </c>
      <c r="AD252" s="34" t="n">
        <f aca="false">+W252-AC252</f>
        <v>1785000</v>
      </c>
      <c r="AE252" s="21" t="str">
        <f aca="false">IF(AB252&lt;1,"PAGADA","PENDIENTE")</f>
        <v>PENDIENTE</v>
      </c>
      <c r="AF252" s="21"/>
      <c r="AG252" s="29"/>
      <c r="AH252" s="40"/>
      <c r="AI252" s="40" t="n">
        <f aca="false">+IF(Tabla[[#This Row],[FECHA PAGO / ABONO]]&lt;1,0,(MONTH(Tabla[[#This Row],[FECHA PAGO / ABONO]])))</f>
        <v>0</v>
      </c>
      <c r="AJ252" s="40" t="n">
        <f aca="false">+IF(Tabla[[#This Row],[FECHA PAGO / ABONO]]&lt;1,0,(YEAR(Tabla[[#This Row],[FECHA PAGO / ABONO]])))</f>
        <v>0</v>
      </c>
      <c r="AK252" s="41"/>
    </row>
    <row r="253" customFormat="false" ht="14.25" hidden="false" customHeight="false" outlineLevel="0" collapsed="false">
      <c r="A253" s="28" t="s">
        <v>166</v>
      </c>
      <c r="B253" s="29" t="s">
        <v>167</v>
      </c>
      <c r="C253" s="29" t="s">
        <v>69</v>
      </c>
      <c r="D253" s="21" t="n">
        <v>1165</v>
      </c>
      <c r="E253" s="21" t="str">
        <f aca="false">+CONCATENATE(Tabla[[#This Row],[RUT]],Tabla[[#This Row],[PROVEEDOR]],Tabla[[#This Row],[FACTURA]])</f>
        <v>76564873-4SERVICIOS DE PRODUCCIÃ“N CRISTIAN MARCELO LABBÃ‰ VENEGAS E.I.R.L.1165</v>
      </c>
      <c r="F253" s="57" t="n">
        <v>46070</v>
      </c>
      <c r="G253" s="31" t="n">
        <f aca="false">+F253+30</f>
        <v>46100</v>
      </c>
      <c r="H253" s="29" t="n">
        <f aca="true">+IF(AE253="PAGADA",0,TODAY()-G253)</f>
        <v>0</v>
      </c>
      <c r="I253" s="29" t="str">
        <f aca="false">+IF(H253&gt;180,"Atrasada",IF(H253&gt;150,"150 dias",IF(H253&gt;120,"120 dias",IF(H253&gt;90,"90 dias",IF(H253&gt;60,"60 dias",IF(H253&gt;30,"30 dias","Al Día"))))))</f>
        <v>Al Día</v>
      </c>
      <c r="J253" s="32" t="s">
        <v>80</v>
      </c>
      <c r="K253" s="29" t="s">
        <v>81</v>
      </c>
      <c r="L253" s="33" t="s">
        <v>248</v>
      </c>
      <c r="M253" s="29" t="n">
        <f aca="false">+YEAR(F253)</f>
        <v>2026</v>
      </c>
      <c r="N253" s="29" t="n">
        <v>2026</v>
      </c>
      <c r="O253" s="29" t="n">
        <v>1</v>
      </c>
      <c r="P253" s="29" t="str">
        <f aca="false">+CONCATENATE(Tabla[[#This Row],[MES CAMPAÑA]],"/",Tabla[[#This Row],[AÑO CAMPAÑA]])</f>
        <v>1/2026</v>
      </c>
      <c r="Q253" s="29" t="s">
        <v>108</v>
      </c>
      <c r="R253" s="29"/>
      <c r="S253" s="34" t="n">
        <v>0</v>
      </c>
      <c r="T253" s="34" t="n">
        <v>607200</v>
      </c>
      <c r="U253" s="34" t="n">
        <v>115368</v>
      </c>
      <c r="V253" s="29"/>
      <c r="W253" s="35" t="n">
        <v>722568</v>
      </c>
      <c r="X253" s="36" t="n">
        <f aca="false">+Tabla[[#This Row],[TOTAL]]</f>
        <v>722568</v>
      </c>
      <c r="Y253" s="37"/>
      <c r="Z253" s="37"/>
      <c r="AA253" s="37"/>
      <c r="AB253" s="38" t="n">
        <f aca="false">+W253-AC253</f>
        <v>0</v>
      </c>
      <c r="AC253" s="34" t="n">
        <f aca="false">+Tabla[[#This Row],[P4]]+Tabla[[#This Row],[P3]]+Tabla[[#This Row],[P2]]+Tabla[[#This Row],[P1]]</f>
        <v>722568</v>
      </c>
      <c r="AD253" s="34" t="n">
        <f aca="false">+W253-AC253</f>
        <v>0</v>
      </c>
      <c r="AE253" s="21" t="str">
        <f aca="false">IF(AB253&lt;1,"PAGADA","PENDIENTE")</f>
        <v>PAGADA</v>
      </c>
      <c r="AF253" s="21"/>
      <c r="AG253" s="29" t="s">
        <v>77</v>
      </c>
      <c r="AH253" s="39" t="n">
        <v>46120</v>
      </c>
      <c r="AI253" s="40" t="n">
        <f aca="false">+IF(Tabla[[#This Row],[FECHA PAGO / ABONO]]&lt;1,0,(MONTH(Tabla[[#This Row],[FECHA PAGO / ABONO]])))</f>
        <v>4</v>
      </c>
      <c r="AJ253" s="40" t="n">
        <f aca="false">+IF(Tabla[[#This Row],[FECHA PAGO / ABONO]]&lt;1,0,(YEAR(Tabla[[#This Row],[FECHA PAGO / ABONO]])))</f>
        <v>2026</v>
      </c>
      <c r="AK253" s="41"/>
    </row>
    <row r="254" customFormat="false" ht="14.25" hidden="false" customHeight="false" outlineLevel="0" collapsed="false">
      <c r="A254" s="28" t="s">
        <v>207</v>
      </c>
      <c r="B254" s="29" t="s">
        <v>208</v>
      </c>
      <c r="C254" s="29" t="s">
        <v>69</v>
      </c>
      <c r="D254" s="21" t="n">
        <v>581</v>
      </c>
      <c r="E254" s="21" t="str">
        <f aca="false">+CONCATENATE(Tabla[[#This Row],[RUT]],Tabla[[#This Row],[PROVEEDOR]],Tabla[[#This Row],[FACTURA]])</f>
        <v>76503821-9COOL PUBLICIDAD SPA581</v>
      </c>
      <c r="F254" s="57" t="n">
        <v>46071</v>
      </c>
      <c r="G254" s="31" t="n">
        <f aca="false">+F254+30</f>
        <v>46101</v>
      </c>
      <c r="H254" s="29" t="n">
        <f aca="true">+IF(AE254="PAGADA",0,TODAY()-G254)</f>
        <v>103</v>
      </c>
      <c r="I254" s="29" t="str">
        <f aca="false">+IF(H254&gt;180,"Atrasada",IF(H254&gt;150,"150 dias",IF(H254&gt;120,"120 dias",IF(H254&gt;90,"90 dias",IF(H254&gt;60,"60 dias",IF(H254&gt;30,"30 dias","Al Día"))))))</f>
        <v>90 dias</v>
      </c>
      <c r="J254" s="32" t="s">
        <v>80</v>
      </c>
      <c r="K254" s="29" t="s">
        <v>81</v>
      </c>
      <c r="L254" s="33" t="s">
        <v>248</v>
      </c>
      <c r="M254" s="29" t="n">
        <f aca="false">+YEAR(F254)</f>
        <v>2026</v>
      </c>
      <c r="N254" s="29" t="n">
        <v>2026</v>
      </c>
      <c r="O254" s="29" t="n">
        <v>1</v>
      </c>
      <c r="P254" s="29" t="str">
        <f aca="false">+CONCATENATE(Tabla[[#This Row],[MES CAMPAÑA]],"/",Tabla[[#This Row],[AÑO CAMPAÑA]])</f>
        <v>1/2026</v>
      </c>
      <c r="Q254" s="29" t="s">
        <v>92</v>
      </c>
      <c r="R254" s="29"/>
      <c r="S254" s="34" t="n">
        <v>0</v>
      </c>
      <c r="T254" s="34" t="n">
        <v>394820</v>
      </c>
      <c r="U254" s="34" t="n">
        <v>75016</v>
      </c>
      <c r="V254" s="29"/>
      <c r="W254" s="35" t="n">
        <v>469836</v>
      </c>
      <c r="X254" s="36"/>
      <c r="Y254" s="37"/>
      <c r="Z254" s="37"/>
      <c r="AA254" s="37"/>
      <c r="AB254" s="38" t="n">
        <f aca="false">+W254-AC254</f>
        <v>469836</v>
      </c>
      <c r="AC254" s="34" t="n">
        <f aca="false">+Tabla[[#This Row],[P4]]+Tabla[[#This Row],[P3]]+Tabla[[#This Row],[P2]]+Tabla[[#This Row],[P1]]</f>
        <v>0</v>
      </c>
      <c r="AD254" s="34" t="n">
        <f aca="false">+W254-AC254</f>
        <v>469836</v>
      </c>
      <c r="AE254" s="21" t="str">
        <f aca="false">IF(AB254&lt;1,"PAGADA","PENDIENTE")</f>
        <v>PENDIENTE</v>
      </c>
      <c r="AF254" s="21"/>
      <c r="AG254" s="29"/>
      <c r="AH254" s="40"/>
      <c r="AI254" s="40" t="n">
        <f aca="false">+IF(Tabla[[#This Row],[FECHA PAGO / ABONO]]&lt;1,0,(MONTH(Tabla[[#This Row],[FECHA PAGO / ABONO]])))</f>
        <v>0</v>
      </c>
      <c r="AJ254" s="40" t="n">
        <f aca="false">+IF(Tabla[[#This Row],[FECHA PAGO / ABONO]]&lt;1,0,(YEAR(Tabla[[#This Row],[FECHA PAGO / ABONO]])))</f>
        <v>0</v>
      </c>
      <c r="AK254" s="41"/>
    </row>
    <row r="255" customFormat="false" ht="14.25" hidden="false" customHeight="false" outlineLevel="0" collapsed="false">
      <c r="A255" s="28" t="s">
        <v>191</v>
      </c>
      <c r="B255" s="29" t="s">
        <v>192</v>
      </c>
      <c r="C255" s="29" t="s">
        <v>69</v>
      </c>
      <c r="D255" s="21" t="n">
        <v>40697</v>
      </c>
      <c r="E255" s="21" t="str">
        <f aca="false">+CONCATENATE(Tabla[[#This Row],[RUT]],Tabla[[#This Row],[PROVEEDOR]],Tabla[[#This Row],[FACTURA]])</f>
        <v>94795000-2CIA.CHILENA DE COMUNICACIONES S.A.40697</v>
      </c>
      <c r="F255" s="57" t="n">
        <v>46071</v>
      </c>
      <c r="G255" s="31" t="n">
        <f aca="false">+F255+30</f>
        <v>46101</v>
      </c>
      <c r="H255" s="29" t="n">
        <f aca="true">+IF(AE255="PAGADA",0,TODAY()-G255)</f>
        <v>0</v>
      </c>
      <c r="I255" s="29" t="str">
        <f aca="false">+IF(H255&gt;180,"Atrasada",IF(H255&gt;150,"150 dias",IF(H255&gt;120,"120 dias",IF(H255&gt;90,"90 dias",IF(H255&gt;60,"60 dias",IF(H255&gt;30,"30 dias","Al Día"))))))</f>
        <v>Al Día</v>
      </c>
      <c r="J255" s="32" t="s">
        <v>80</v>
      </c>
      <c r="K255" s="29" t="s">
        <v>81</v>
      </c>
      <c r="L255" s="33" t="s">
        <v>248</v>
      </c>
      <c r="M255" s="29" t="n">
        <f aca="false">+YEAR(F255)</f>
        <v>2026</v>
      </c>
      <c r="N255" s="29" t="n">
        <v>2026</v>
      </c>
      <c r="O255" s="29" t="n">
        <v>1</v>
      </c>
      <c r="P255" s="29" t="str">
        <f aca="false">+CONCATENATE(Tabla[[#This Row],[MES CAMPAÑA]],"/",Tabla[[#This Row],[AÑO CAMPAÑA]])</f>
        <v>1/2026</v>
      </c>
      <c r="Q255" s="29" t="s">
        <v>194</v>
      </c>
      <c r="R255" s="29"/>
      <c r="S255" s="34" t="n">
        <v>0</v>
      </c>
      <c r="T255" s="34" t="n">
        <v>475000</v>
      </c>
      <c r="U255" s="34" t="n">
        <v>90250</v>
      </c>
      <c r="V255" s="29"/>
      <c r="W255" s="35" t="n">
        <v>565250</v>
      </c>
      <c r="X255" s="36" t="n">
        <f aca="false">+Tabla[[#This Row],[TOTAL]]</f>
        <v>565250</v>
      </c>
      <c r="Y255" s="37"/>
      <c r="Z255" s="37"/>
      <c r="AA255" s="37"/>
      <c r="AB255" s="38" t="n">
        <f aca="false">+W255-AC255</f>
        <v>0</v>
      </c>
      <c r="AC255" s="34" t="n">
        <f aca="false">+Tabla[[#This Row],[P4]]+Tabla[[#This Row],[P3]]+Tabla[[#This Row],[P2]]+Tabla[[#This Row],[P1]]</f>
        <v>565250</v>
      </c>
      <c r="AD255" s="34" t="n">
        <f aca="false">+W255-AC255</f>
        <v>0</v>
      </c>
      <c r="AE255" s="21" t="str">
        <f aca="false">IF(AB255&lt;1,"PAGADA","PENDIENTE")</f>
        <v>PAGADA</v>
      </c>
      <c r="AF255" s="21"/>
      <c r="AG255" s="29" t="s">
        <v>260</v>
      </c>
      <c r="AH255" s="40"/>
      <c r="AI255" s="40" t="n">
        <f aca="false">+IF(Tabla[[#This Row],[FECHA PAGO / ABONO]]&lt;1,0,(MONTH(Tabla[[#This Row],[FECHA PAGO / ABONO]])))</f>
        <v>0</v>
      </c>
      <c r="AJ255" s="40" t="n">
        <f aca="false">+IF(Tabla[[#This Row],[FECHA PAGO / ABONO]]&lt;1,0,(YEAR(Tabla[[#This Row],[FECHA PAGO / ABONO]])))</f>
        <v>0</v>
      </c>
      <c r="AK255" s="41"/>
    </row>
    <row r="256" customFormat="false" ht="14.25" hidden="false" customHeight="false" outlineLevel="0" collapsed="false">
      <c r="A256" s="28" t="s">
        <v>191</v>
      </c>
      <c r="B256" s="29" t="s">
        <v>192</v>
      </c>
      <c r="C256" s="29" t="s">
        <v>69</v>
      </c>
      <c r="D256" s="21" t="n">
        <v>40696</v>
      </c>
      <c r="E256" s="21" t="str">
        <f aca="false">+CONCATENATE(Tabla[[#This Row],[RUT]],Tabla[[#This Row],[PROVEEDOR]],Tabla[[#This Row],[FACTURA]])</f>
        <v>94795000-2CIA.CHILENA DE COMUNICACIONES S.A.40696</v>
      </c>
      <c r="F256" s="57" t="n">
        <v>46071</v>
      </c>
      <c r="G256" s="31" t="n">
        <f aca="false">+F256+30</f>
        <v>46101</v>
      </c>
      <c r="H256" s="29" t="n">
        <f aca="true">+IF(AE256="PAGADA",0,TODAY()-G256)</f>
        <v>0</v>
      </c>
      <c r="I256" s="29" t="str">
        <f aca="false">+IF(H256&gt;180,"Atrasada",IF(H256&gt;150,"150 dias",IF(H256&gt;120,"120 dias",IF(H256&gt;90,"90 dias",IF(H256&gt;60,"60 dias",IF(H256&gt;30,"30 dias","Al Día"))))))</f>
        <v>Al Día</v>
      </c>
      <c r="J256" s="32" t="s">
        <v>80</v>
      </c>
      <c r="K256" s="29" t="s">
        <v>81</v>
      </c>
      <c r="L256" s="33" t="s">
        <v>248</v>
      </c>
      <c r="M256" s="29" t="n">
        <f aca="false">+YEAR(F256)</f>
        <v>2026</v>
      </c>
      <c r="N256" s="29" t="n">
        <v>2026</v>
      </c>
      <c r="O256" s="29" t="n">
        <v>1</v>
      </c>
      <c r="P256" s="29" t="str">
        <f aca="false">+CONCATENATE(Tabla[[#This Row],[MES CAMPAÑA]],"/",Tabla[[#This Row],[AÑO CAMPAÑA]])</f>
        <v>1/2026</v>
      </c>
      <c r="Q256" s="29" t="s">
        <v>194</v>
      </c>
      <c r="R256" s="29"/>
      <c r="S256" s="34" t="n">
        <v>0</v>
      </c>
      <c r="T256" s="34" t="n">
        <v>3100000</v>
      </c>
      <c r="U256" s="34" t="n">
        <v>589000</v>
      </c>
      <c r="V256" s="29"/>
      <c r="W256" s="35" t="n">
        <v>3689000</v>
      </c>
      <c r="X256" s="36" t="n">
        <f aca="false">+Tabla[[#This Row],[TOTAL]]</f>
        <v>3689000</v>
      </c>
      <c r="Y256" s="37"/>
      <c r="Z256" s="37"/>
      <c r="AA256" s="37"/>
      <c r="AB256" s="38" t="n">
        <f aca="false">+W256-AC256</f>
        <v>0</v>
      </c>
      <c r="AC256" s="34" t="n">
        <f aca="false">+Tabla[[#This Row],[P4]]+Tabla[[#This Row],[P3]]+Tabla[[#This Row],[P2]]+Tabla[[#This Row],[P1]]</f>
        <v>3689000</v>
      </c>
      <c r="AD256" s="34" t="n">
        <f aca="false">+W256-AC256</f>
        <v>0</v>
      </c>
      <c r="AE256" s="21" t="str">
        <f aca="false">IF(AB256&lt;1,"PAGADA","PENDIENTE")</f>
        <v>PAGADA</v>
      </c>
      <c r="AF256" s="21" t="s">
        <v>261</v>
      </c>
      <c r="AG256" s="29" t="s">
        <v>77</v>
      </c>
      <c r="AH256" s="39" t="n">
        <v>46197</v>
      </c>
      <c r="AI256" s="40" t="n">
        <f aca="false">+IF(Tabla[[#This Row],[FECHA PAGO / ABONO]]&lt;1,0,(MONTH(Tabla[[#This Row],[FECHA PAGO / ABONO]])))</f>
        <v>6</v>
      </c>
      <c r="AJ256" s="40" t="n">
        <f aca="false">+IF(Tabla[[#This Row],[FECHA PAGO / ABONO]]&lt;1,0,(YEAR(Tabla[[#This Row],[FECHA PAGO / ABONO]])))</f>
        <v>2026</v>
      </c>
      <c r="AK256" s="41"/>
    </row>
    <row r="257" customFormat="false" ht="14.25" hidden="false" customHeight="false" outlineLevel="0" collapsed="false">
      <c r="A257" s="28" t="s">
        <v>78</v>
      </c>
      <c r="B257" s="29" t="s">
        <v>79</v>
      </c>
      <c r="C257" s="29" t="s">
        <v>69</v>
      </c>
      <c r="D257" s="21" t="n">
        <v>108602</v>
      </c>
      <c r="E257" s="21" t="str">
        <f aca="false">+CONCATENATE(Tabla[[#This Row],[RUT]],Tabla[[#This Row],[PROVEEDOR]],Tabla[[#This Row],[FACTURA]])</f>
        <v>96516560-6BIO BIO COMUNICACIONES S.A.108602</v>
      </c>
      <c r="F257" s="57" t="n">
        <v>46071</v>
      </c>
      <c r="G257" s="31" t="n">
        <f aca="false">+F257+30</f>
        <v>46101</v>
      </c>
      <c r="H257" s="29" t="n">
        <f aca="true">+IF(AE257="PAGADA",0,TODAY()-G257)</f>
        <v>103</v>
      </c>
      <c r="I257" s="29" t="str">
        <f aca="false">+IF(H257&gt;180,"Atrasada",IF(H257&gt;150,"150 dias",IF(H257&gt;120,"120 dias",IF(H257&gt;90,"90 dias",IF(H257&gt;60,"60 dias",IF(H257&gt;30,"30 dias","Al Día"))))))</f>
        <v>90 dias</v>
      </c>
      <c r="J257" s="32" t="s">
        <v>80</v>
      </c>
      <c r="K257" s="29" t="s">
        <v>81</v>
      </c>
      <c r="L257" s="33" t="s">
        <v>248</v>
      </c>
      <c r="M257" s="29" t="n">
        <f aca="false">+YEAR(F257)</f>
        <v>2026</v>
      </c>
      <c r="N257" s="29" t="n">
        <v>2026</v>
      </c>
      <c r="O257" s="29" t="n">
        <v>1</v>
      </c>
      <c r="P257" s="29" t="str">
        <f aca="false">+CONCATENATE(Tabla[[#This Row],[MES CAMPAÑA]],"/",Tabla[[#This Row],[AÑO CAMPAÑA]])</f>
        <v>1/2026</v>
      </c>
      <c r="Q257" s="29" t="s">
        <v>105</v>
      </c>
      <c r="R257" s="29"/>
      <c r="S257" s="34" t="n">
        <v>0</v>
      </c>
      <c r="T257" s="34" t="n">
        <v>5700000</v>
      </c>
      <c r="U257" s="34" t="n">
        <v>1083000</v>
      </c>
      <c r="V257" s="29"/>
      <c r="W257" s="35" t="n">
        <v>6783000</v>
      </c>
      <c r="X257" s="36"/>
      <c r="Y257" s="37"/>
      <c r="Z257" s="37"/>
      <c r="AA257" s="37"/>
      <c r="AB257" s="38" t="n">
        <f aca="false">+W257-AC257</f>
        <v>6783000</v>
      </c>
      <c r="AC257" s="34" t="n">
        <f aca="false">+Tabla[[#This Row],[P4]]+Tabla[[#This Row],[P3]]+Tabla[[#This Row],[P2]]+Tabla[[#This Row],[P1]]</f>
        <v>0</v>
      </c>
      <c r="AD257" s="34" t="n">
        <f aca="false">+W257-AC257</f>
        <v>6783000</v>
      </c>
      <c r="AE257" s="21" t="str">
        <f aca="false">IF(AB257&lt;1,"PAGADA","PENDIENTE")</f>
        <v>PENDIENTE</v>
      </c>
      <c r="AF257" s="21"/>
      <c r="AG257" s="29"/>
      <c r="AH257" s="40"/>
      <c r="AI257" s="40" t="n">
        <f aca="false">+IF(Tabla[[#This Row],[FECHA PAGO / ABONO]]&lt;1,0,(MONTH(Tabla[[#This Row],[FECHA PAGO / ABONO]])))</f>
        <v>0</v>
      </c>
      <c r="AJ257" s="40" t="n">
        <f aca="false">+IF(Tabla[[#This Row],[FECHA PAGO / ABONO]]&lt;1,0,(YEAR(Tabla[[#This Row],[FECHA PAGO / ABONO]])))</f>
        <v>0</v>
      </c>
      <c r="AK257" s="41"/>
    </row>
    <row r="258" customFormat="false" ht="14.25" hidden="false" customHeight="false" outlineLevel="0" collapsed="false">
      <c r="A258" s="28" t="s">
        <v>127</v>
      </c>
      <c r="B258" s="29" t="s">
        <v>128</v>
      </c>
      <c r="C258" s="29" t="s">
        <v>69</v>
      </c>
      <c r="D258" s="21" t="n">
        <v>46724</v>
      </c>
      <c r="E258" s="21" t="str">
        <f aca="false">+CONCATENATE(Tabla[[#This Row],[RUT]],Tabla[[#This Row],[PROVEEDOR]],Tabla[[#This Row],[FACTURA]])</f>
        <v>84364100-8Publicidad Exterior Publivia SpA46724</v>
      </c>
      <c r="F258" s="57" t="n">
        <v>46072</v>
      </c>
      <c r="G258" s="31" t="n">
        <f aca="false">+F258+30</f>
        <v>46102</v>
      </c>
      <c r="H258" s="29" t="n">
        <f aca="true">+IF(AE258="PAGADA",0,TODAY()-G258)</f>
        <v>102</v>
      </c>
      <c r="I258" s="29" t="str">
        <f aca="false">+IF(H258&gt;180,"Atrasada",IF(H258&gt;150,"150 dias",IF(H258&gt;120,"120 dias",IF(H258&gt;90,"90 dias",IF(H258&gt;60,"60 dias",IF(H258&gt;30,"30 dias","Al Día"))))))</f>
        <v>90 dias</v>
      </c>
      <c r="J258" s="32" t="s">
        <v>80</v>
      </c>
      <c r="K258" s="29" t="s">
        <v>81</v>
      </c>
      <c r="L258" s="33" t="s">
        <v>248</v>
      </c>
      <c r="M258" s="29" t="n">
        <f aca="false">+YEAR(F258)</f>
        <v>2026</v>
      </c>
      <c r="N258" s="29" t="n">
        <v>2026</v>
      </c>
      <c r="O258" s="29" t="n">
        <v>1</v>
      </c>
      <c r="P258" s="29" t="str">
        <f aca="false">+CONCATENATE(Tabla[[#This Row],[MES CAMPAÑA]],"/",Tabla[[#This Row],[AÑO CAMPAÑA]])</f>
        <v>1/2026</v>
      </c>
      <c r="Q258" s="29" t="s">
        <v>97</v>
      </c>
      <c r="R258" s="29"/>
      <c r="S258" s="34" t="n">
        <v>0</v>
      </c>
      <c r="T258" s="34" t="n">
        <v>1000000</v>
      </c>
      <c r="U258" s="34" t="n">
        <v>190000</v>
      </c>
      <c r="V258" s="29"/>
      <c r="W258" s="35" t="n">
        <v>1190000</v>
      </c>
      <c r="X258" s="36"/>
      <c r="Y258" s="37"/>
      <c r="Z258" s="37"/>
      <c r="AA258" s="37"/>
      <c r="AB258" s="38" t="n">
        <f aca="false">+W258-AC258</f>
        <v>1190000</v>
      </c>
      <c r="AC258" s="34" t="n">
        <f aca="false">+Tabla[[#This Row],[P4]]+Tabla[[#This Row],[P3]]+Tabla[[#This Row],[P2]]+Tabla[[#This Row],[P1]]</f>
        <v>0</v>
      </c>
      <c r="AD258" s="34" t="n">
        <f aca="false">+W258-AC258</f>
        <v>1190000</v>
      </c>
      <c r="AE258" s="21" t="str">
        <f aca="false">IF(AB258&lt;1,"PAGADA","PENDIENTE")</f>
        <v>PENDIENTE</v>
      </c>
      <c r="AF258" s="21"/>
      <c r="AG258" s="29"/>
      <c r="AH258" s="40"/>
      <c r="AI258" s="40" t="n">
        <f aca="false">+IF(Tabla[[#This Row],[FECHA PAGO / ABONO]]&lt;1,0,(MONTH(Tabla[[#This Row],[FECHA PAGO / ABONO]])))</f>
        <v>0</v>
      </c>
      <c r="AJ258" s="40" t="n">
        <f aca="false">+IF(Tabla[[#This Row],[FECHA PAGO / ABONO]]&lt;1,0,(YEAR(Tabla[[#This Row],[FECHA PAGO / ABONO]])))</f>
        <v>0</v>
      </c>
      <c r="AK258" s="41"/>
    </row>
    <row r="259" customFormat="false" ht="14.25" hidden="false" customHeight="false" outlineLevel="0" collapsed="false">
      <c r="A259" s="28" t="s">
        <v>127</v>
      </c>
      <c r="B259" s="29" t="s">
        <v>128</v>
      </c>
      <c r="C259" s="29" t="s">
        <v>69</v>
      </c>
      <c r="D259" s="21" t="n">
        <v>46725</v>
      </c>
      <c r="E259" s="21" t="str">
        <f aca="false">+CONCATENATE(Tabla[[#This Row],[RUT]],Tabla[[#This Row],[PROVEEDOR]],Tabla[[#This Row],[FACTURA]])</f>
        <v>84364100-8Publicidad Exterior Publivia SpA46725</v>
      </c>
      <c r="F259" s="57" t="n">
        <v>46072</v>
      </c>
      <c r="G259" s="31" t="n">
        <f aca="false">+F259+30</f>
        <v>46102</v>
      </c>
      <c r="H259" s="29" t="n">
        <f aca="true">+IF(AE259="PAGADA",0,TODAY()-G259)</f>
        <v>0</v>
      </c>
      <c r="I259" s="29" t="str">
        <f aca="false">+IF(H259&gt;180,"Atrasada",IF(H259&gt;150,"150 dias",IF(H259&gt;120,"120 dias",IF(H259&gt;90,"90 dias",IF(H259&gt;60,"60 dias",IF(H259&gt;30,"30 dias","Al Día"))))))</f>
        <v>Al Día</v>
      </c>
      <c r="J259" s="32" t="s">
        <v>80</v>
      </c>
      <c r="K259" s="29" t="s">
        <v>81</v>
      </c>
      <c r="L259" s="33" t="s">
        <v>248</v>
      </c>
      <c r="M259" s="29" t="n">
        <f aca="false">+YEAR(F259)</f>
        <v>2026</v>
      </c>
      <c r="N259" s="29" t="n">
        <v>2026</v>
      </c>
      <c r="O259" s="29" t="n">
        <v>1</v>
      </c>
      <c r="P259" s="29" t="str">
        <f aca="false">+CONCATENATE(Tabla[[#This Row],[MES CAMPAÑA]],"/",Tabla[[#This Row],[AÑO CAMPAÑA]])</f>
        <v>1/2026</v>
      </c>
      <c r="Q259" s="29" t="s">
        <v>92</v>
      </c>
      <c r="R259" s="29"/>
      <c r="S259" s="34" t="n">
        <v>0</v>
      </c>
      <c r="T259" s="34" t="n">
        <v>597095</v>
      </c>
      <c r="U259" s="34" t="n">
        <v>113448</v>
      </c>
      <c r="V259" s="29"/>
      <c r="W259" s="35" t="n">
        <v>710543</v>
      </c>
      <c r="X259" s="36" t="n">
        <f aca="false">+Tabla[[#This Row],[TOTAL]]</f>
        <v>710543</v>
      </c>
      <c r="Y259" s="37"/>
      <c r="Z259" s="37"/>
      <c r="AA259" s="37"/>
      <c r="AB259" s="38" t="n">
        <f aca="false">+W259-AC259</f>
        <v>0</v>
      </c>
      <c r="AC259" s="34" t="n">
        <f aca="false">+Tabla[[#This Row],[P4]]+Tabla[[#This Row],[P3]]+Tabla[[#This Row],[P2]]+Tabla[[#This Row],[P1]]</f>
        <v>710543</v>
      </c>
      <c r="AD259" s="34" t="n">
        <f aca="false">+W259-AC259</f>
        <v>0</v>
      </c>
      <c r="AE259" s="21" t="str">
        <f aca="false">IF(AB259&lt;1,"PAGADA","PENDIENTE")</f>
        <v>PAGADA</v>
      </c>
      <c r="AF259" s="21"/>
      <c r="AG259" s="29" t="s">
        <v>77</v>
      </c>
      <c r="AH259" s="39" t="n">
        <v>46190</v>
      </c>
      <c r="AI259" s="40" t="n">
        <f aca="false">+IF(Tabla[[#This Row],[FECHA PAGO / ABONO]]&lt;1,0,(MONTH(Tabla[[#This Row],[FECHA PAGO / ABONO]])))</f>
        <v>6</v>
      </c>
      <c r="AJ259" s="40" t="n">
        <f aca="false">+IF(Tabla[[#This Row],[FECHA PAGO / ABONO]]&lt;1,0,(YEAR(Tabla[[#This Row],[FECHA PAGO / ABONO]])))</f>
        <v>2026</v>
      </c>
      <c r="AK259" s="41"/>
    </row>
    <row r="260" customFormat="false" ht="14.25" hidden="false" customHeight="false" outlineLevel="0" collapsed="false">
      <c r="A260" s="28" t="s">
        <v>127</v>
      </c>
      <c r="B260" s="29" t="s">
        <v>128</v>
      </c>
      <c r="C260" s="29" t="s">
        <v>69</v>
      </c>
      <c r="D260" s="21" t="n">
        <v>46726</v>
      </c>
      <c r="E260" s="21" t="str">
        <f aca="false">+CONCATENATE(Tabla[[#This Row],[RUT]],Tabla[[#This Row],[PROVEEDOR]],Tabla[[#This Row],[FACTURA]])</f>
        <v>84364100-8Publicidad Exterior Publivia SpA46726</v>
      </c>
      <c r="F260" s="57" t="n">
        <v>46072</v>
      </c>
      <c r="G260" s="31" t="n">
        <f aca="false">+F260+30</f>
        <v>46102</v>
      </c>
      <c r="H260" s="29" t="n">
        <f aca="true">+IF(AE260="PAGADA",0,TODAY()-G260)</f>
        <v>0</v>
      </c>
      <c r="I260" s="29" t="str">
        <f aca="false">+IF(H260&gt;180,"Atrasada",IF(H260&gt;150,"150 dias",IF(H260&gt;120,"120 dias",IF(H260&gt;90,"90 dias",IF(H260&gt;60,"60 dias",IF(H260&gt;30,"30 dias","Al Día"))))))</f>
        <v>Al Día</v>
      </c>
      <c r="J260" s="32" t="s">
        <v>80</v>
      </c>
      <c r="K260" s="29" t="s">
        <v>81</v>
      </c>
      <c r="L260" s="33" t="s">
        <v>248</v>
      </c>
      <c r="M260" s="29" t="n">
        <f aca="false">+YEAR(F260)</f>
        <v>2026</v>
      </c>
      <c r="N260" s="29" t="n">
        <v>2026</v>
      </c>
      <c r="O260" s="29" t="n">
        <v>1</v>
      </c>
      <c r="P260" s="29" t="str">
        <f aca="false">+CONCATENATE(Tabla[[#This Row],[MES CAMPAÑA]],"/",Tabla[[#This Row],[AÑO CAMPAÑA]])</f>
        <v>1/2026</v>
      </c>
      <c r="Q260" s="29" t="s">
        <v>92</v>
      </c>
      <c r="R260" s="29"/>
      <c r="S260" s="34" t="n">
        <v>0</v>
      </c>
      <c r="T260" s="34" t="n">
        <v>429411</v>
      </c>
      <c r="U260" s="34" t="n">
        <v>81588</v>
      </c>
      <c r="V260" s="29"/>
      <c r="W260" s="35" t="n">
        <v>510999</v>
      </c>
      <c r="X260" s="36" t="n">
        <f aca="false">+Tabla[[#This Row],[TOTAL]]</f>
        <v>510999</v>
      </c>
      <c r="Y260" s="37"/>
      <c r="Z260" s="37"/>
      <c r="AA260" s="37"/>
      <c r="AB260" s="38" t="n">
        <f aca="false">+W260-AC260</f>
        <v>0</v>
      </c>
      <c r="AC260" s="34" t="n">
        <f aca="false">+Tabla[[#This Row],[P4]]+Tabla[[#This Row],[P3]]+Tabla[[#This Row],[P2]]+Tabla[[#This Row],[P1]]</f>
        <v>510999</v>
      </c>
      <c r="AD260" s="34" t="n">
        <f aca="false">+W260-AC260</f>
        <v>0</v>
      </c>
      <c r="AE260" s="21" t="str">
        <f aca="false">IF(AB260&lt;1,"PAGADA","PENDIENTE")</f>
        <v>PAGADA</v>
      </c>
      <c r="AF260" s="21"/>
      <c r="AG260" s="29" t="s">
        <v>77</v>
      </c>
      <c r="AH260" s="39" t="n">
        <v>46190</v>
      </c>
      <c r="AI260" s="40" t="n">
        <f aca="false">+IF(Tabla[[#This Row],[FECHA PAGO / ABONO]]&lt;1,0,(MONTH(Tabla[[#This Row],[FECHA PAGO / ABONO]])))</f>
        <v>6</v>
      </c>
      <c r="AJ260" s="40" t="n">
        <f aca="false">+IF(Tabla[[#This Row],[FECHA PAGO / ABONO]]&lt;1,0,(YEAR(Tabla[[#This Row],[FECHA PAGO / ABONO]])))</f>
        <v>2026</v>
      </c>
      <c r="AK260" s="41"/>
    </row>
    <row r="261" customFormat="false" ht="14.25" hidden="false" customHeight="false" outlineLevel="0" collapsed="false">
      <c r="A261" s="28" t="s">
        <v>197</v>
      </c>
      <c r="B261" s="29" t="s">
        <v>198</v>
      </c>
      <c r="C261" s="29" t="s">
        <v>69</v>
      </c>
      <c r="D261" s="21" t="n">
        <v>34131964</v>
      </c>
      <c r="E261" s="21" t="str">
        <f aca="false">+CONCATENATE(Tabla[[#This Row],[RUT]],Tabla[[#This Row],[PROVEEDOR]],Tabla[[#This Row],[FACTURA]])</f>
        <v>96800570-7ENEL DISTRIBUCIÃ“N CHILE S.A34131964</v>
      </c>
      <c r="F261" s="57" t="n">
        <v>46072</v>
      </c>
      <c r="G261" s="31" t="n">
        <f aca="false">+F261+30</f>
        <v>46102</v>
      </c>
      <c r="H261" s="29" t="n">
        <f aca="true">+IF(AE261="PAGADA",0,TODAY()-G261)</f>
        <v>0</v>
      </c>
      <c r="I261" s="29" t="str">
        <f aca="false">+IF(H261&gt;180,"Atrasada",IF(H261&gt;150,"150 dias",IF(H261&gt;120,"120 dias",IF(H261&gt;90,"90 dias",IF(H261&gt;60,"60 dias",IF(H261&gt;30,"30 dias","Al Día"))))))</f>
        <v>Al Día</v>
      </c>
      <c r="J261" s="32" t="s">
        <v>31</v>
      </c>
      <c r="K261" s="29" t="s">
        <v>81</v>
      </c>
      <c r="L261" s="33" t="s">
        <v>248</v>
      </c>
      <c r="M261" s="29" t="n">
        <f aca="false">+YEAR(F261)</f>
        <v>2026</v>
      </c>
      <c r="N261" s="29" t="n">
        <v>2026</v>
      </c>
      <c r="O261" s="29" t="n">
        <v>1</v>
      </c>
      <c r="P261" s="29" t="str">
        <f aca="false">+CONCATENATE(Tabla[[#This Row],[MES CAMPAÑA]],"/",Tabla[[#This Row],[AÑO CAMPAÑA]])</f>
        <v>1/2026</v>
      </c>
      <c r="Q261" s="29" t="s">
        <v>73</v>
      </c>
      <c r="R261" s="29"/>
      <c r="S261" s="34" t="n">
        <v>20</v>
      </c>
      <c r="T261" s="34" t="n">
        <v>5485</v>
      </c>
      <c r="U261" s="34" t="n">
        <v>1042</v>
      </c>
      <c r="V261" s="29"/>
      <c r="W261" s="35" t="n">
        <v>6547</v>
      </c>
      <c r="X261" s="36" t="n">
        <f aca="false">+Tabla[[#This Row],[TOTAL]]</f>
        <v>6547</v>
      </c>
      <c r="Y261" s="37"/>
      <c r="Z261" s="37"/>
      <c r="AA261" s="37"/>
      <c r="AB261" s="38" t="n">
        <f aca="false">+W261-AC261</f>
        <v>0</v>
      </c>
      <c r="AC261" s="34" t="n">
        <f aca="false">+Tabla[[#This Row],[P4]]+Tabla[[#This Row],[P3]]+Tabla[[#This Row],[P2]]+Tabla[[#This Row],[P1]]</f>
        <v>6547</v>
      </c>
      <c r="AD261" s="34" t="n">
        <f aca="false">+W261-AC261</f>
        <v>0</v>
      </c>
      <c r="AE261" s="21" t="str">
        <f aca="false">IF(AB261&lt;1,"PAGADA","PENDIENTE")</f>
        <v>PAGADA</v>
      </c>
      <c r="AF261" s="21"/>
      <c r="AG261" s="29"/>
      <c r="AH261" s="40"/>
      <c r="AI261" s="40" t="n">
        <f aca="false">+IF(Tabla[[#This Row],[FECHA PAGO / ABONO]]&lt;1,0,(MONTH(Tabla[[#This Row],[FECHA PAGO / ABONO]])))</f>
        <v>0</v>
      </c>
      <c r="AJ261" s="40" t="n">
        <f aca="false">+IF(Tabla[[#This Row],[FECHA PAGO / ABONO]]&lt;1,0,(YEAR(Tabla[[#This Row],[FECHA PAGO / ABONO]])))</f>
        <v>0</v>
      </c>
      <c r="AK261" s="41"/>
    </row>
    <row r="262" customFormat="false" ht="14.25" hidden="false" customHeight="false" outlineLevel="0" collapsed="false">
      <c r="A262" s="28" t="s">
        <v>127</v>
      </c>
      <c r="B262" s="29" t="s">
        <v>128</v>
      </c>
      <c r="C262" s="29" t="s">
        <v>69</v>
      </c>
      <c r="D262" s="21" t="n">
        <v>46727</v>
      </c>
      <c r="E262" s="21" t="str">
        <f aca="false">+CONCATENATE(Tabla[[#This Row],[RUT]],Tabla[[#This Row],[PROVEEDOR]],Tabla[[#This Row],[FACTURA]])</f>
        <v>84364100-8Publicidad Exterior Publivia SpA46727</v>
      </c>
      <c r="F262" s="57" t="n">
        <v>46072</v>
      </c>
      <c r="G262" s="31" t="n">
        <f aca="false">+F262+30</f>
        <v>46102</v>
      </c>
      <c r="H262" s="29" t="n">
        <f aca="true">+IF(AE262="PAGADA",0,TODAY()-G262)</f>
        <v>0</v>
      </c>
      <c r="I262" s="29" t="str">
        <f aca="false">+IF(H262&gt;180,"Atrasada",IF(H262&gt;150,"150 dias",IF(H262&gt;120,"120 dias",IF(H262&gt;90,"90 dias",IF(H262&gt;60,"60 dias",IF(H262&gt;30,"30 dias","Al Día"))))))</f>
        <v>Al Día</v>
      </c>
      <c r="J262" s="32" t="s">
        <v>80</v>
      </c>
      <c r="K262" s="29" t="s">
        <v>81</v>
      </c>
      <c r="L262" s="33" t="s">
        <v>248</v>
      </c>
      <c r="M262" s="29" t="n">
        <f aca="false">+YEAR(F262)</f>
        <v>2026</v>
      </c>
      <c r="N262" s="29" t="n">
        <v>2026</v>
      </c>
      <c r="O262" s="29" t="n">
        <v>1</v>
      </c>
      <c r="P262" s="29" t="str">
        <f aca="false">+CONCATENATE(Tabla[[#This Row],[MES CAMPAÑA]],"/",Tabla[[#This Row],[AÑO CAMPAÑA]])</f>
        <v>1/2026</v>
      </c>
      <c r="Q262" s="29" t="s">
        <v>92</v>
      </c>
      <c r="R262" s="29"/>
      <c r="S262" s="34" t="n">
        <v>0</v>
      </c>
      <c r="T262" s="34" t="n">
        <v>361254</v>
      </c>
      <c r="U262" s="34" t="n">
        <v>68638</v>
      </c>
      <c r="V262" s="29"/>
      <c r="W262" s="35" t="n">
        <v>429892</v>
      </c>
      <c r="X262" s="36" t="n">
        <f aca="false">+Tabla[[#This Row],[TOTAL]]</f>
        <v>429892</v>
      </c>
      <c r="Y262" s="37"/>
      <c r="Z262" s="37"/>
      <c r="AA262" s="37"/>
      <c r="AB262" s="38" t="n">
        <f aca="false">+W262-AC262</f>
        <v>0</v>
      </c>
      <c r="AC262" s="34" t="n">
        <f aca="false">+Tabla[[#This Row],[P4]]+Tabla[[#This Row],[P3]]+Tabla[[#This Row],[P2]]+Tabla[[#This Row],[P1]]</f>
        <v>429892</v>
      </c>
      <c r="AD262" s="34" t="n">
        <f aca="false">+W262-AC262</f>
        <v>0</v>
      </c>
      <c r="AE262" s="21" t="str">
        <f aca="false">IF(AB262&lt;1,"PAGADA","PENDIENTE")</f>
        <v>PAGADA</v>
      </c>
      <c r="AF262" s="21"/>
      <c r="AG262" s="29" t="s">
        <v>77</v>
      </c>
      <c r="AH262" s="39" t="n">
        <v>46190</v>
      </c>
      <c r="AI262" s="40" t="n">
        <f aca="false">+IF(Tabla[[#This Row],[FECHA PAGO / ABONO]]&lt;1,0,(MONTH(Tabla[[#This Row],[FECHA PAGO / ABONO]])))</f>
        <v>6</v>
      </c>
      <c r="AJ262" s="40" t="n">
        <f aca="false">+IF(Tabla[[#This Row],[FECHA PAGO / ABONO]]&lt;1,0,(YEAR(Tabla[[#This Row],[FECHA PAGO / ABONO]])))</f>
        <v>2026</v>
      </c>
      <c r="AK262" s="41"/>
    </row>
    <row r="263" customFormat="false" ht="14.25" hidden="false" customHeight="false" outlineLevel="0" collapsed="false">
      <c r="A263" s="28" t="s">
        <v>127</v>
      </c>
      <c r="B263" s="29" t="s">
        <v>128</v>
      </c>
      <c r="C263" s="29" t="s">
        <v>69</v>
      </c>
      <c r="D263" s="21" t="n">
        <v>46728</v>
      </c>
      <c r="E263" s="21" t="str">
        <f aca="false">+CONCATENATE(Tabla[[#This Row],[RUT]],Tabla[[#This Row],[PROVEEDOR]],Tabla[[#This Row],[FACTURA]])</f>
        <v>84364100-8Publicidad Exterior Publivia SpA46728</v>
      </c>
      <c r="F263" s="57" t="n">
        <v>46072</v>
      </c>
      <c r="G263" s="31" t="n">
        <f aca="false">+F263+30</f>
        <v>46102</v>
      </c>
      <c r="H263" s="29" t="n">
        <f aca="true">+IF(AE263="PAGADA",0,TODAY()-G263)</f>
        <v>0</v>
      </c>
      <c r="I263" s="29" t="str">
        <f aca="false">+IF(H263&gt;180,"Atrasada",IF(H263&gt;150,"150 dias",IF(H263&gt;120,"120 dias",IF(H263&gt;90,"90 dias",IF(H263&gt;60,"60 dias",IF(H263&gt;30,"30 dias","Al Día"))))))</f>
        <v>Al Día</v>
      </c>
      <c r="J263" s="32" t="s">
        <v>80</v>
      </c>
      <c r="K263" s="29" t="s">
        <v>81</v>
      </c>
      <c r="L263" s="33" t="s">
        <v>248</v>
      </c>
      <c r="M263" s="29" t="n">
        <f aca="false">+YEAR(F263)</f>
        <v>2026</v>
      </c>
      <c r="N263" s="29" t="n">
        <v>2026</v>
      </c>
      <c r="O263" s="29" t="n">
        <v>1</v>
      </c>
      <c r="P263" s="29" t="str">
        <f aca="false">+CONCATENATE(Tabla[[#This Row],[MES CAMPAÑA]],"/",Tabla[[#This Row],[AÑO CAMPAÑA]])</f>
        <v>1/2026</v>
      </c>
      <c r="Q263" s="29" t="s">
        <v>92</v>
      </c>
      <c r="R263" s="29"/>
      <c r="S263" s="34" t="n">
        <v>0</v>
      </c>
      <c r="T263" s="34" t="n">
        <v>489257</v>
      </c>
      <c r="U263" s="34" t="n">
        <v>92959</v>
      </c>
      <c r="V263" s="29"/>
      <c r="W263" s="35" t="n">
        <v>582216</v>
      </c>
      <c r="X263" s="36" t="n">
        <f aca="false">+Tabla[[#This Row],[TOTAL]]</f>
        <v>582216</v>
      </c>
      <c r="Y263" s="37"/>
      <c r="Z263" s="37"/>
      <c r="AA263" s="37"/>
      <c r="AB263" s="38" t="n">
        <f aca="false">+W263-AC263</f>
        <v>0</v>
      </c>
      <c r="AC263" s="34" t="n">
        <f aca="false">+Tabla[[#This Row],[P4]]+Tabla[[#This Row],[P3]]+Tabla[[#This Row],[P2]]+Tabla[[#This Row],[P1]]</f>
        <v>582216</v>
      </c>
      <c r="AD263" s="34" t="n">
        <f aca="false">+W263-AC263</f>
        <v>0</v>
      </c>
      <c r="AE263" s="21" t="str">
        <f aca="false">IF(AB263&lt;1,"PAGADA","PENDIENTE")</f>
        <v>PAGADA</v>
      </c>
      <c r="AF263" s="21"/>
      <c r="AG263" s="29" t="s">
        <v>77</v>
      </c>
      <c r="AH263" s="39" t="n">
        <v>46190</v>
      </c>
      <c r="AI263" s="40" t="n">
        <f aca="false">+IF(Tabla[[#This Row],[FECHA PAGO / ABONO]]&lt;1,0,(MONTH(Tabla[[#This Row],[FECHA PAGO / ABONO]])))</f>
        <v>6</v>
      </c>
      <c r="AJ263" s="40" t="n">
        <f aca="false">+IF(Tabla[[#This Row],[FECHA PAGO / ABONO]]&lt;1,0,(YEAR(Tabla[[#This Row],[FECHA PAGO / ABONO]])))</f>
        <v>2026</v>
      </c>
      <c r="AK263" s="41"/>
    </row>
    <row r="264" customFormat="false" ht="14.25" hidden="false" customHeight="false" outlineLevel="0" collapsed="false">
      <c r="A264" s="28" t="s">
        <v>127</v>
      </c>
      <c r="B264" s="29" t="s">
        <v>128</v>
      </c>
      <c r="C264" s="29" t="s">
        <v>69</v>
      </c>
      <c r="D264" s="21" t="n">
        <v>46729</v>
      </c>
      <c r="E264" s="21" t="str">
        <f aca="false">+CONCATENATE(Tabla[[#This Row],[RUT]],Tabla[[#This Row],[PROVEEDOR]],Tabla[[#This Row],[FACTURA]])</f>
        <v>84364100-8Publicidad Exterior Publivia SpA46729</v>
      </c>
      <c r="F264" s="57" t="n">
        <v>46072</v>
      </c>
      <c r="G264" s="31" t="n">
        <f aca="false">+F264+30</f>
        <v>46102</v>
      </c>
      <c r="H264" s="29" t="n">
        <f aca="true">+IF(AE264="PAGADA",0,TODAY()-G264)</f>
        <v>0</v>
      </c>
      <c r="I264" s="29" t="str">
        <f aca="false">+IF(H264&gt;180,"Atrasada",IF(H264&gt;150,"150 dias",IF(H264&gt;120,"120 dias",IF(H264&gt;90,"90 dias",IF(H264&gt;60,"60 dias",IF(H264&gt;30,"30 dias","Al Día"))))))</f>
        <v>Al Día</v>
      </c>
      <c r="J264" s="32" t="s">
        <v>80</v>
      </c>
      <c r="K264" s="29" t="s">
        <v>81</v>
      </c>
      <c r="L264" s="33" t="s">
        <v>248</v>
      </c>
      <c r="M264" s="29" t="n">
        <f aca="false">+YEAR(F264)</f>
        <v>2026</v>
      </c>
      <c r="N264" s="29" t="n">
        <v>2026</v>
      </c>
      <c r="O264" s="29" t="n">
        <v>1</v>
      </c>
      <c r="P264" s="29" t="str">
        <f aca="false">+CONCATENATE(Tabla[[#This Row],[MES CAMPAÑA]],"/",Tabla[[#This Row],[AÑO CAMPAÑA]])</f>
        <v>1/2026</v>
      </c>
      <c r="Q264" s="29" t="s">
        <v>92</v>
      </c>
      <c r="R264" s="29"/>
      <c r="S264" s="34" t="n">
        <v>0</v>
      </c>
      <c r="T264" s="34" t="n">
        <v>515199</v>
      </c>
      <c r="U264" s="34" t="n">
        <v>97888</v>
      </c>
      <c r="V264" s="29"/>
      <c r="W264" s="35" t="n">
        <v>613087</v>
      </c>
      <c r="X264" s="36" t="n">
        <f aca="false">+Tabla[[#This Row],[TOTAL]]</f>
        <v>613087</v>
      </c>
      <c r="Y264" s="37"/>
      <c r="Z264" s="37"/>
      <c r="AA264" s="37"/>
      <c r="AB264" s="38" t="n">
        <f aca="false">+W264-AC264</f>
        <v>0</v>
      </c>
      <c r="AC264" s="34" t="n">
        <f aca="false">+Tabla[[#This Row],[P4]]+Tabla[[#This Row],[P3]]+Tabla[[#This Row],[P2]]+Tabla[[#This Row],[P1]]</f>
        <v>613087</v>
      </c>
      <c r="AD264" s="34" t="n">
        <f aca="false">+W264-AC264</f>
        <v>0</v>
      </c>
      <c r="AE264" s="21" t="str">
        <f aca="false">IF(AB264&lt;1,"PAGADA","PENDIENTE")</f>
        <v>PAGADA</v>
      </c>
      <c r="AF264" s="21"/>
      <c r="AG264" s="29" t="s">
        <v>77</v>
      </c>
      <c r="AH264" s="39" t="n">
        <v>46190</v>
      </c>
      <c r="AI264" s="40" t="n">
        <f aca="false">+IF(Tabla[[#This Row],[FECHA PAGO / ABONO]]&lt;1,0,(MONTH(Tabla[[#This Row],[FECHA PAGO / ABONO]])))</f>
        <v>6</v>
      </c>
      <c r="AJ264" s="40" t="n">
        <f aca="false">+IF(Tabla[[#This Row],[FECHA PAGO / ABONO]]&lt;1,0,(YEAR(Tabla[[#This Row],[FECHA PAGO / ABONO]])))</f>
        <v>2026</v>
      </c>
      <c r="AK264" s="41"/>
    </row>
    <row r="265" customFormat="false" ht="14.25" hidden="false" customHeight="false" outlineLevel="0" collapsed="false">
      <c r="A265" s="28" t="s">
        <v>127</v>
      </c>
      <c r="B265" s="29" t="s">
        <v>128</v>
      </c>
      <c r="C265" s="29" t="s">
        <v>69</v>
      </c>
      <c r="D265" s="21" t="n">
        <v>46730</v>
      </c>
      <c r="E265" s="21" t="str">
        <f aca="false">+CONCATENATE(Tabla[[#This Row],[RUT]],Tabla[[#This Row],[PROVEEDOR]],Tabla[[#This Row],[FACTURA]])</f>
        <v>84364100-8Publicidad Exterior Publivia SpA46730</v>
      </c>
      <c r="F265" s="57" t="n">
        <v>46072</v>
      </c>
      <c r="G265" s="31" t="n">
        <f aca="false">+F265+30</f>
        <v>46102</v>
      </c>
      <c r="H265" s="29" t="n">
        <f aca="true">+IF(AE265="PAGADA",0,TODAY()-G265)</f>
        <v>0</v>
      </c>
      <c r="I265" s="29" t="str">
        <f aca="false">+IF(H265&gt;180,"Atrasada",IF(H265&gt;150,"150 dias",IF(H265&gt;120,"120 dias",IF(H265&gt;90,"90 dias",IF(H265&gt;60,"60 dias",IF(H265&gt;30,"30 dias","Al Día"))))))</f>
        <v>Al Día</v>
      </c>
      <c r="J265" s="32" t="s">
        <v>80</v>
      </c>
      <c r="K265" s="29" t="s">
        <v>81</v>
      </c>
      <c r="L265" s="33" t="s">
        <v>248</v>
      </c>
      <c r="M265" s="29" t="n">
        <f aca="false">+YEAR(F265)</f>
        <v>2026</v>
      </c>
      <c r="N265" s="29" t="n">
        <v>2026</v>
      </c>
      <c r="O265" s="29" t="n">
        <v>1</v>
      </c>
      <c r="P265" s="29" t="str">
        <f aca="false">+CONCATENATE(Tabla[[#This Row],[MES CAMPAÑA]],"/",Tabla[[#This Row],[AÑO CAMPAÑA]])</f>
        <v>1/2026</v>
      </c>
      <c r="Q265" s="29" t="s">
        <v>92</v>
      </c>
      <c r="R265" s="29"/>
      <c r="S265" s="34" t="n">
        <v>0</v>
      </c>
      <c r="T265" s="34" t="n">
        <v>641156</v>
      </c>
      <c r="U265" s="34" t="n">
        <v>121820</v>
      </c>
      <c r="V265" s="29"/>
      <c r="W265" s="35" t="n">
        <v>762976</v>
      </c>
      <c r="X265" s="36" t="n">
        <f aca="false">+Tabla[[#This Row],[TOTAL]]</f>
        <v>762976</v>
      </c>
      <c r="Y265" s="37"/>
      <c r="Z265" s="37"/>
      <c r="AA265" s="37"/>
      <c r="AB265" s="38" t="n">
        <f aca="false">+W265-AC265</f>
        <v>0</v>
      </c>
      <c r="AC265" s="34" t="n">
        <f aca="false">+Tabla[[#This Row],[P4]]+Tabla[[#This Row],[P3]]+Tabla[[#This Row],[P2]]+Tabla[[#This Row],[P1]]</f>
        <v>762976</v>
      </c>
      <c r="AD265" s="34" t="n">
        <f aca="false">+W265-AC265</f>
        <v>0</v>
      </c>
      <c r="AE265" s="21" t="str">
        <f aca="false">IF(AB265&lt;1,"PAGADA","PENDIENTE")</f>
        <v>PAGADA</v>
      </c>
      <c r="AF265" s="21"/>
      <c r="AG265" s="29" t="s">
        <v>77</v>
      </c>
      <c r="AH265" s="39" t="n">
        <v>46190</v>
      </c>
      <c r="AI265" s="40" t="n">
        <f aca="false">+IF(Tabla[[#This Row],[FECHA PAGO / ABONO]]&lt;1,0,(MONTH(Tabla[[#This Row],[FECHA PAGO / ABONO]])))</f>
        <v>6</v>
      </c>
      <c r="AJ265" s="40" t="n">
        <f aca="false">+IF(Tabla[[#This Row],[FECHA PAGO / ABONO]]&lt;1,0,(YEAR(Tabla[[#This Row],[FECHA PAGO / ABONO]])))</f>
        <v>2026</v>
      </c>
      <c r="AK265" s="41"/>
    </row>
    <row r="266" customFormat="false" ht="14.25" hidden="false" customHeight="false" outlineLevel="0" collapsed="false">
      <c r="A266" s="28" t="s">
        <v>127</v>
      </c>
      <c r="B266" s="29" t="s">
        <v>128</v>
      </c>
      <c r="C266" s="29" t="s">
        <v>69</v>
      </c>
      <c r="D266" s="21" t="n">
        <v>46731</v>
      </c>
      <c r="E266" s="21" t="str">
        <f aca="false">+CONCATENATE(Tabla[[#This Row],[RUT]],Tabla[[#This Row],[PROVEEDOR]],Tabla[[#This Row],[FACTURA]])</f>
        <v>84364100-8Publicidad Exterior Publivia SpA46731</v>
      </c>
      <c r="F266" s="57" t="n">
        <v>46072</v>
      </c>
      <c r="G266" s="31" t="n">
        <f aca="false">+F266+30</f>
        <v>46102</v>
      </c>
      <c r="H266" s="29" t="n">
        <f aca="true">+IF(AE266="PAGADA",0,TODAY()-G266)</f>
        <v>0</v>
      </c>
      <c r="I266" s="29" t="str">
        <f aca="false">+IF(H266&gt;180,"Atrasada",IF(H266&gt;150,"150 dias",IF(H266&gt;120,"120 dias",IF(H266&gt;90,"90 dias",IF(H266&gt;60,"60 dias",IF(H266&gt;30,"30 dias","Al Día"))))))</f>
        <v>Al Día</v>
      </c>
      <c r="J266" s="32" t="s">
        <v>80</v>
      </c>
      <c r="K266" s="29" t="s">
        <v>81</v>
      </c>
      <c r="L266" s="33" t="s">
        <v>248</v>
      </c>
      <c r="M266" s="29" t="n">
        <f aca="false">+YEAR(F266)</f>
        <v>2026</v>
      </c>
      <c r="N266" s="29" t="n">
        <v>2026</v>
      </c>
      <c r="O266" s="29" t="n">
        <v>1</v>
      </c>
      <c r="P266" s="29" t="str">
        <f aca="false">+CONCATENATE(Tabla[[#This Row],[MES CAMPAÑA]],"/",Tabla[[#This Row],[AÑO CAMPAÑA]])</f>
        <v>1/2026</v>
      </c>
      <c r="Q266" s="29" t="s">
        <v>92</v>
      </c>
      <c r="R266" s="29"/>
      <c r="S266" s="34" t="n">
        <v>0</v>
      </c>
      <c r="T266" s="34" t="n">
        <v>361254</v>
      </c>
      <c r="U266" s="34" t="n">
        <v>68638</v>
      </c>
      <c r="V266" s="29"/>
      <c r="W266" s="35" t="n">
        <v>429892</v>
      </c>
      <c r="X266" s="36" t="n">
        <f aca="false">+Tabla[[#This Row],[TOTAL]]</f>
        <v>429892</v>
      </c>
      <c r="Y266" s="37"/>
      <c r="Z266" s="37"/>
      <c r="AA266" s="37"/>
      <c r="AB266" s="38" t="n">
        <f aca="false">+W266-AC266</f>
        <v>0</v>
      </c>
      <c r="AC266" s="34" t="n">
        <f aca="false">+Tabla[[#This Row],[P4]]+Tabla[[#This Row],[P3]]+Tabla[[#This Row],[P2]]+Tabla[[#This Row],[P1]]</f>
        <v>429892</v>
      </c>
      <c r="AD266" s="34" t="n">
        <f aca="false">+W266-AC266</f>
        <v>0</v>
      </c>
      <c r="AE266" s="21" t="str">
        <f aca="false">IF(AB266&lt;1,"PAGADA","PENDIENTE")</f>
        <v>PAGADA</v>
      </c>
      <c r="AF266" s="21"/>
      <c r="AG266" s="29" t="s">
        <v>77</v>
      </c>
      <c r="AH266" s="39" t="n">
        <v>46190</v>
      </c>
      <c r="AI266" s="40" t="n">
        <f aca="false">+IF(Tabla[[#This Row],[FECHA PAGO / ABONO]]&lt;1,0,(MONTH(Tabla[[#This Row],[FECHA PAGO / ABONO]])))</f>
        <v>6</v>
      </c>
      <c r="AJ266" s="40" t="n">
        <f aca="false">+IF(Tabla[[#This Row],[FECHA PAGO / ABONO]]&lt;1,0,(YEAR(Tabla[[#This Row],[FECHA PAGO / ABONO]])))</f>
        <v>2026</v>
      </c>
      <c r="AK266" s="41"/>
    </row>
    <row r="267" customFormat="false" ht="14.25" hidden="false" customHeight="false" outlineLevel="0" collapsed="false">
      <c r="A267" s="28" t="s">
        <v>127</v>
      </c>
      <c r="B267" s="29" t="s">
        <v>128</v>
      </c>
      <c r="C267" s="29" t="s">
        <v>69</v>
      </c>
      <c r="D267" s="21" t="n">
        <v>46732</v>
      </c>
      <c r="E267" s="21" t="str">
        <f aca="false">+CONCATENATE(Tabla[[#This Row],[RUT]],Tabla[[#This Row],[PROVEEDOR]],Tabla[[#This Row],[FACTURA]])</f>
        <v>84364100-8Publicidad Exterior Publivia SpA46732</v>
      </c>
      <c r="F267" s="57" t="n">
        <v>46072</v>
      </c>
      <c r="G267" s="31" t="n">
        <f aca="false">+F267+30</f>
        <v>46102</v>
      </c>
      <c r="H267" s="29" t="n">
        <f aca="true">+IF(AE267="PAGADA",0,TODAY()-G267)</f>
        <v>0</v>
      </c>
      <c r="I267" s="29" t="str">
        <f aca="false">+IF(H267&gt;180,"Atrasada",IF(H267&gt;150,"150 dias",IF(H267&gt;120,"120 dias",IF(H267&gt;90,"90 dias",IF(H267&gt;60,"60 dias",IF(H267&gt;30,"30 dias","Al Día"))))))</f>
        <v>Al Día</v>
      </c>
      <c r="J267" s="32" t="s">
        <v>80</v>
      </c>
      <c r="K267" s="29" t="s">
        <v>81</v>
      </c>
      <c r="L267" s="33" t="s">
        <v>248</v>
      </c>
      <c r="M267" s="29" t="n">
        <f aca="false">+YEAR(F267)</f>
        <v>2026</v>
      </c>
      <c r="N267" s="29" t="n">
        <v>2026</v>
      </c>
      <c r="O267" s="29" t="n">
        <v>1</v>
      </c>
      <c r="P267" s="29" t="str">
        <f aca="false">+CONCATENATE(Tabla[[#This Row],[MES CAMPAÑA]],"/",Tabla[[#This Row],[AÑO CAMPAÑA]])</f>
        <v>1/2026</v>
      </c>
      <c r="Q267" s="29" t="s">
        <v>92</v>
      </c>
      <c r="R267" s="29"/>
      <c r="S267" s="34" t="n">
        <v>0</v>
      </c>
      <c r="T267" s="34" t="n">
        <v>412738</v>
      </c>
      <c r="U267" s="34" t="n">
        <v>78420</v>
      </c>
      <c r="V267" s="29"/>
      <c r="W267" s="35" t="n">
        <v>491158</v>
      </c>
      <c r="X267" s="36" t="n">
        <f aca="false">+Tabla[[#This Row],[TOTAL]]</f>
        <v>491158</v>
      </c>
      <c r="Y267" s="37"/>
      <c r="Z267" s="37"/>
      <c r="AA267" s="37"/>
      <c r="AB267" s="38" t="n">
        <f aca="false">+W267-AC267</f>
        <v>0</v>
      </c>
      <c r="AC267" s="34" t="n">
        <f aca="false">+Tabla[[#This Row],[P4]]+Tabla[[#This Row],[P3]]+Tabla[[#This Row],[P2]]+Tabla[[#This Row],[P1]]</f>
        <v>491158</v>
      </c>
      <c r="AD267" s="34" t="n">
        <f aca="false">+W267-AC267</f>
        <v>0</v>
      </c>
      <c r="AE267" s="21" t="str">
        <f aca="false">IF(AB267&lt;1,"PAGADA","PENDIENTE")</f>
        <v>PAGADA</v>
      </c>
      <c r="AF267" s="21"/>
      <c r="AG267" s="29" t="s">
        <v>77</v>
      </c>
      <c r="AH267" s="39" t="n">
        <v>46190</v>
      </c>
      <c r="AI267" s="40" t="n">
        <f aca="false">+IF(Tabla[[#This Row],[FECHA PAGO / ABONO]]&lt;1,0,(MONTH(Tabla[[#This Row],[FECHA PAGO / ABONO]])))</f>
        <v>6</v>
      </c>
      <c r="AJ267" s="40" t="n">
        <f aca="false">+IF(Tabla[[#This Row],[FECHA PAGO / ABONO]]&lt;1,0,(YEAR(Tabla[[#This Row],[FECHA PAGO / ABONO]])))</f>
        <v>2026</v>
      </c>
      <c r="AK267" s="41"/>
    </row>
    <row r="268" customFormat="false" ht="14.25" hidden="false" customHeight="false" outlineLevel="0" collapsed="false">
      <c r="A268" s="28" t="s">
        <v>127</v>
      </c>
      <c r="B268" s="29" t="s">
        <v>128</v>
      </c>
      <c r="C268" s="29" t="s">
        <v>69</v>
      </c>
      <c r="D268" s="21" t="n">
        <v>46733</v>
      </c>
      <c r="E268" s="21" t="str">
        <f aca="false">+CONCATENATE(Tabla[[#This Row],[RUT]],Tabla[[#This Row],[PROVEEDOR]],Tabla[[#This Row],[FACTURA]])</f>
        <v>84364100-8Publicidad Exterior Publivia SpA46733</v>
      </c>
      <c r="F268" s="57" t="n">
        <v>46072</v>
      </c>
      <c r="G268" s="31" t="n">
        <f aca="false">+F268+30</f>
        <v>46102</v>
      </c>
      <c r="H268" s="29" t="n">
        <f aca="true">+IF(AE268="PAGADA",0,TODAY()-G268)</f>
        <v>0</v>
      </c>
      <c r="I268" s="29" t="str">
        <f aca="false">+IF(H268&gt;180,"Atrasada",IF(H268&gt;150,"150 dias",IF(H268&gt;120,"120 dias",IF(H268&gt;90,"90 dias",IF(H268&gt;60,"60 dias",IF(H268&gt;30,"30 dias","Al Día"))))))</f>
        <v>Al Día</v>
      </c>
      <c r="J268" s="32" t="s">
        <v>80</v>
      </c>
      <c r="K268" s="29" t="s">
        <v>81</v>
      </c>
      <c r="L268" s="33" t="s">
        <v>248</v>
      </c>
      <c r="M268" s="29" t="n">
        <f aca="false">+YEAR(F268)</f>
        <v>2026</v>
      </c>
      <c r="N268" s="29" t="n">
        <v>2026</v>
      </c>
      <c r="O268" s="29" t="n">
        <v>1</v>
      </c>
      <c r="P268" s="29" t="str">
        <f aca="false">+CONCATENATE(Tabla[[#This Row],[MES CAMPAÑA]],"/",Tabla[[#This Row],[AÑO CAMPAÑA]])</f>
        <v>1/2026</v>
      </c>
      <c r="Q268" s="29" t="s">
        <v>92</v>
      </c>
      <c r="R268" s="29"/>
      <c r="S268" s="34" t="n">
        <v>0</v>
      </c>
      <c r="T268" s="34" t="n">
        <v>571179</v>
      </c>
      <c r="U268" s="34" t="n">
        <v>108524</v>
      </c>
      <c r="V268" s="29"/>
      <c r="W268" s="35" t="n">
        <v>679703</v>
      </c>
      <c r="X268" s="36" t="n">
        <f aca="false">+Tabla[[#This Row],[TOTAL]]</f>
        <v>679703</v>
      </c>
      <c r="Y268" s="37"/>
      <c r="Z268" s="37"/>
      <c r="AA268" s="37"/>
      <c r="AB268" s="38" t="n">
        <f aca="false">+W268-AC268</f>
        <v>0</v>
      </c>
      <c r="AC268" s="34" t="n">
        <f aca="false">+Tabla[[#This Row],[P4]]+Tabla[[#This Row],[P3]]+Tabla[[#This Row],[P2]]+Tabla[[#This Row],[P1]]</f>
        <v>679703</v>
      </c>
      <c r="AD268" s="34" t="n">
        <f aca="false">+W268-AC268</f>
        <v>0</v>
      </c>
      <c r="AE268" s="21" t="str">
        <f aca="false">IF(AB268&lt;1,"PAGADA","PENDIENTE")</f>
        <v>PAGADA</v>
      </c>
      <c r="AF268" s="21"/>
      <c r="AG268" s="29" t="s">
        <v>77</v>
      </c>
      <c r="AH268" s="39" t="n">
        <v>46190</v>
      </c>
      <c r="AI268" s="40" t="n">
        <f aca="false">+IF(Tabla[[#This Row],[FECHA PAGO / ABONO]]&lt;1,0,(MONTH(Tabla[[#This Row],[FECHA PAGO / ABONO]])))</f>
        <v>6</v>
      </c>
      <c r="AJ268" s="40" t="n">
        <f aca="false">+IF(Tabla[[#This Row],[FECHA PAGO / ABONO]]&lt;1,0,(YEAR(Tabla[[#This Row],[FECHA PAGO / ABONO]])))</f>
        <v>2026</v>
      </c>
      <c r="AK268" s="41"/>
    </row>
    <row r="269" customFormat="false" ht="14.25" hidden="false" customHeight="false" outlineLevel="0" collapsed="false">
      <c r="A269" s="28" t="s">
        <v>127</v>
      </c>
      <c r="B269" s="29" t="s">
        <v>128</v>
      </c>
      <c r="C269" s="29" t="s">
        <v>69</v>
      </c>
      <c r="D269" s="21" t="n">
        <v>46734</v>
      </c>
      <c r="E269" s="21" t="str">
        <f aca="false">+CONCATENATE(Tabla[[#This Row],[RUT]],Tabla[[#This Row],[PROVEEDOR]],Tabla[[#This Row],[FACTURA]])</f>
        <v>84364100-8Publicidad Exterior Publivia SpA46734</v>
      </c>
      <c r="F269" s="57" t="n">
        <v>46072</v>
      </c>
      <c r="G269" s="31" t="n">
        <f aca="false">+F269+30</f>
        <v>46102</v>
      </c>
      <c r="H269" s="29" t="n">
        <f aca="true">+IF(AE269="PAGADA",0,TODAY()-G269)</f>
        <v>0</v>
      </c>
      <c r="I269" s="29" t="str">
        <f aca="false">+IF(H269&gt;180,"Atrasada",IF(H269&gt;150,"150 dias",IF(H269&gt;120,"120 dias",IF(H269&gt;90,"90 dias",IF(H269&gt;60,"60 dias",IF(H269&gt;30,"30 dias","Al Día"))))))</f>
        <v>Al Día</v>
      </c>
      <c r="J269" s="32" t="s">
        <v>80</v>
      </c>
      <c r="K269" s="29" t="s">
        <v>81</v>
      </c>
      <c r="L269" s="33" t="s">
        <v>248</v>
      </c>
      <c r="M269" s="29" t="n">
        <f aca="false">+YEAR(F269)</f>
        <v>2026</v>
      </c>
      <c r="N269" s="29" t="n">
        <v>2026</v>
      </c>
      <c r="O269" s="29" t="n">
        <v>1</v>
      </c>
      <c r="P269" s="29" t="str">
        <f aca="false">+CONCATENATE(Tabla[[#This Row],[MES CAMPAÑA]],"/",Tabla[[#This Row],[AÑO CAMPAÑA]])</f>
        <v>1/2026</v>
      </c>
      <c r="Q269" s="29" t="s">
        <v>92</v>
      </c>
      <c r="R269" s="29"/>
      <c r="S269" s="34" t="n">
        <v>0</v>
      </c>
      <c r="T269" s="34" t="n">
        <v>393133</v>
      </c>
      <c r="U269" s="34" t="n">
        <v>74695</v>
      </c>
      <c r="V269" s="29"/>
      <c r="W269" s="35" t="n">
        <v>467828</v>
      </c>
      <c r="X269" s="36" t="n">
        <f aca="false">+Tabla[[#This Row],[TOTAL]]</f>
        <v>467828</v>
      </c>
      <c r="Y269" s="37"/>
      <c r="Z269" s="37"/>
      <c r="AA269" s="37"/>
      <c r="AB269" s="38" t="n">
        <f aca="false">+W269-AC269</f>
        <v>0</v>
      </c>
      <c r="AC269" s="34" t="n">
        <f aca="false">+Tabla[[#This Row],[P4]]+Tabla[[#This Row],[P3]]+Tabla[[#This Row],[P2]]+Tabla[[#This Row],[P1]]</f>
        <v>467828</v>
      </c>
      <c r="AD269" s="34" t="n">
        <f aca="false">+W269-AC269</f>
        <v>0</v>
      </c>
      <c r="AE269" s="21" t="str">
        <f aca="false">IF(AB269&lt;1,"PAGADA","PENDIENTE")</f>
        <v>PAGADA</v>
      </c>
      <c r="AF269" s="21"/>
      <c r="AG269" s="29" t="s">
        <v>77</v>
      </c>
      <c r="AH269" s="39" t="n">
        <v>46190</v>
      </c>
      <c r="AI269" s="40" t="n">
        <f aca="false">+IF(Tabla[[#This Row],[FECHA PAGO / ABONO]]&lt;1,0,(MONTH(Tabla[[#This Row],[FECHA PAGO / ABONO]])))</f>
        <v>6</v>
      </c>
      <c r="AJ269" s="40" t="n">
        <f aca="false">+IF(Tabla[[#This Row],[FECHA PAGO / ABONO]]&lt;1,0,(YEAR(Tabla[[#This Row],[FECHA PAGO / ABONO]])))</f>
        <v>2026</v>
      </c>
      <c r="AK269" s="41"/>
    </row>
    <row r="270" customFormat="false" ht="14.25" hidden="false" customHeight="false" outlineLevel="0" collapsed="false">
      <c r="A270" s="28" t="s">
        <v>127</v>
      </c>
      <c r="B270" s="29" t="s">
        <v>128</v>
      </c>
      <c r="C270" s="29" t="s">
        <v>69</v>
      </c>
      <c r="D270" s="21" t="n">
        <v>46735</v>
      </c>
      <c r="E270" s="21" t="str">
        <f aca="false">+CONCATENATE(Tabla[[#This Row],[RUT]],Tabla[[#This Row],[PROVEEDOR]],Tabla[[#This Row],[FACTURA]])</f>
        <v>84364100-8Publicidad Exterior Publivia SpA46735</v>
      </c>
      <c r="F270" s="57" t="n">
        <v>46072</v>
      </c>
      <c r="G270" s="31" t="n">
        <f aca="false">+F270+30</f>
        <v>46102</v>
      </c>
      <c r="H270" s="29" t="n">
        <f aca="true">+IF(AE270="PAGADA",0,TODAY()-G270)</f>
        <v>0</v>
      </c>
      <c r="I270" s="29" t="str">
        <f aca="false">+IF(H270&gt;180,"Atrasada",IF(H270&gt;150,"150 dias",IF(H270&gt;120,"120 dias",IF(H270&gt;90,"90 dias",IF(H270&gt;60,"60 dias",IF(H270&gt;30,"30 dias","Al Día"))))))</f>
        <v>Al Día</v>
      </c>
      <c r="J270" s="32" t="s">
        <v>80</v>
      </c>
      <c r="K270" s="29" t="s">
        <v>81</v>
      </c>
      <c r="L270" s="33" t="s">
        <v>248</v>
      </c>
      <c r="M270" s="29" t="n">
        <f aca="false">+YEAR(F270)</f>
        <v>2026</v>
      </c>
      <c r="N270" s="29" t="n">
        <v>2026</v>
      </c>
      <c r="O270" s="29" t="n">
        <v>1</v>
      </c>
      <c r="P270" s="29" t="str">
        <f aca="false">+CONCATENATE(Tabla[[#This Row],[MES CAMPAÑA]],"/",Tabla[[#This Row],[AÑO CAMPAÑA]])</f>
        <v>1/2026</v>
      </c>
      <c r="Q270" s="29" t="s">
        <v>92</v>
      </c>
      <c r="R270" s="29"/>
      <c r="S270" s="34" t="n">
        <v>0</v>
      </c>
      <c r="T270" s="34" t="n">
        <v>364110</v>
      </c>
      <c r="U270" s="34" t="n">
        <v>69181</v>
      </c>
      <c r="V270" s="29"/>
      <c r="W270" s="35" t="n">
        <v>433291</v>
      </c>
      <c r="X270" s="36" t="n">
        <f aca="false">+Tabla[[#This Row],[TOTAL]]</f>
        <v>433291</v>
      </c>
      <c r="Y270" s="37"/>
      <c r="Z270" s="37"/>
      <c r="AA270" s="37"/>
      <c r="AB270" s="38" t="n">
        <f aca="false">+W270-AC270</f>
        <v>0</v>
      </c>
      <c r="AC270" s="34" t="n">
        <f aca="false">+Tabla[[#This Row],[P4]]+Tabla[[#This Row],[P3]]+Tabla[[#This Row],[P2]]+Tabla[[#This Row],[P1]]</f>
        <v>433291</v>
      </c>
      <c r="AD270" s="34" t="n">
        <f aca="false">+W270-AC270</f>
        <v>0</v>
      </c>
      <c r="AE270" s="21" t="str">
        <f aca="false">IF(AB270&lt;1,"PAGADA","PENDIENTE")</f>
        <v>PAGADA</v>
      </c>
      <c r="AF270" s="21"/>
      <c r="AG270" s="29" t="s">
        <v>77</v>
      </c>
      <c r="AH270" s="39" t="n">
        <v>46190</v>
      </c>
      <c r="AI270" s="40" t="n">
        <f aca="false">+IF(Tabla[[#This Row],[FECHA PAGO / ABONO]]&lt;1,0,(MONTH(Tabla[[#This Row],[FECHA PAGO / ABONO]])))</f>
        <v>6</v>
      </c>
      <c r="AJ270" s="40" t="n">
        <f aca="false">+IF(Tabla[[#This Row],[FECHA PAGO / ABONO]]&lt;1,0,(YEAR(Tabla[[#This Row],[FECHA PAGO / ABONO]])))</f>
        <v>2026</v>
      </c>
      <c r="AK270" s="41"/>
    </row>
    <row r="271" customFormat="false" ht="14.25" hidden="false" customHeight="false" outlineLevel="0" collapsed="false">
      <c r="A271" s="28" t="s">
        <v>127</v>
      </c>
      <c r="B271" s="29" t="s">
        <v>128</v>
      </c>
      <c r="C271" s="29" t="s">
        <v>69</v>
      </c>
      <c r="D271" s="21" t="n">
        <v>46736</v>
      </c>
      <c r="E271" s="21" t="str">
        <f aca="false">+CONCATENATE(Tabla[[#This Row],[RUT]],Tabla[[#This Row],[PROVEEDOR]],Tabla[[#This Row],[FACTURA]])</f>
        <v>84364100-8Publicidad Exterior Publivia SpA46736</v>
      </c>
      <c r="F271" s="57" t="n">
        <v>46072</v>
      </c>
      <c r="G271" s="31" t="n">
        <f aca="false">+F271+30</f>
        <v>46102</v>
      </c>
      <c r="H271" s="29" t="n">
        <f aca="true">+IF(AE271="PAGADA",0,TODAY()-G271)</f>
        <v>0</v>
      </c>
      <c r="I271" s="29" t="str">
        <f aca="false">+IF(H271&gt;180,"Atrasada",IF(H271&gt;150,"150 dias",IF(H271&gt;120,"120 dias",IF(H271&gt;90,"90 dias",IF(H271&gt;60,"60 dias",IF(H271&gt;30,"30 dias","Al Día"))))))</f>
        <v>Al Día</v>
      </c>
      <c r="J271" s="32" t="s">
        <v>80</v>
      </c>
      <c r="K271" s="29" t="s">
        <v>81</v>
      </c>
      <c r="L271" s="33" t="s">
        <v>248</v>
      </c>
      <c r="M271" s="29" t="n">
        <f aca="false">+YEAR(F271)</f>
        <v>2026</v>
      </c>
      <c r="N271" s="29" t="n">
        <v>2026</v>
      </c>
      <c r="O271" s="29" t="n">
        <v>1</v>
      </c>
      <c r="P271" s="29" t="str">
        <f aca="false">+CONCATENATE(Tabla[[#This Row],[MES CAMPAÑA]],"/",Tabla[[#This Row],[AÑO CAMPAÑA]])</f>
        <v>1/2026</v>
      </c>
      <c r="Q271" s="29" t="s">
        <v>92</v>
      </c>
      <c r="R271" s="29"/>
      <c r="S271" s="34" t="n">
        <v>0</v>
      </c>
      <c r="T271" s="34" t="n">
        <v>432640</v>
      </c>
      <c r="U271" s="34" t="n">
        <v>82202</v>
      </c>
      <c r="V271" s="29"/>
      <c r="W271" s="35" t="n">
        <v>514842</v>
      </c>
      <c r="X271" s="36" t="n">
        <f aca="false">+Tabla[[#This Row],[TOTAL]]</f>
        <v>514842</v>
      </c>
      <c r="Y271" s="37"/>
      <c r="Z271" s="37"/>
      <c r="AA271" s="37"/>
      <c r="AB271" s="38" t="n">
        <f aca="false">+W271-AC271</f>
        <v>0</v>
      </c>
      <c r="AC271" s="34" t="n">
        <f aca="false">+Tabla[[#This Row],[P4]]+Tabla[[#This Row],[P3]]+Tabla[[#This Row],[P2]]+Tabla[[#This Row],[P1]]</f>
        <v>514842</v>
      </c>
      <c r="AD271" s="34" t="n">
        <f aca="false">+W271-AC271</f>
        <v>0</v>
      </c>
      <c r="AE271" s="21" t="str">
        <f aca="false">IF(AB271&lt;1,"PAGADA","PENDIENTE")</f>
        <v>PAGADA</v>
      </c>
      <c r="AF271" s="21"/>
      <c r="AG271" s="29" t="s">
        <v>77</v>
      </c>
      <c r="AH271" s="39" t="n">
        <v>46190</v>
      </c>
      <c r="AI271" s="40" t="n">
        <f aca="false">+IF(Tabla[[#This Row],[FECHA PAGO / ABONO]]&lt;1,0,(MONTH(Tabla[[#This Row],[FECHA PAGO / ABONO]])))</f>
        <v>6</v>
      </c>
      <c r="AJ271" s="40" t="n">
        <f aca="false">+IF(Tabla[[#This Row],[FECHA PAGO / ABONO]]&lt;1,0,(YEAR(Tabla[[#This Row],[FECHA PAGO / ABONO]])))</f>
        <v>2026</v>
      </c>
      <c r="AK271" s="41"/>
    </row>
    <row r="272" customFormat="false" ht="14.25" hidden="false" customHeight="false" outlineLevel="0" collapsed="false">
      <c r="A272" s="28" t="s">
        <v>127</v>
      </c>
      <c r="B272" s="29" t="s">
        <v>128</v>
      </c>
      <c r="C272" s="29" t="s">
        <v>69</v>
      </c>
      <c r="D272" s="21" t="n">
        <v>46737</v>
      </c>
      <c r="E272" s="21" t="str">
        <f aca="false">+CONCATENATE(Tabla[[#This Row],[RUT]],Tabla[[#This Row],[PROVEEDOR]],Tabla[[#This Row],[FACTURA]])</f>
        <v>84364100-8Publicidad Exterior Publivia SpA46737</v>
      </c>
      <c r="F272" s="57" t="n">
        <v>46072</v>
      </c>
      <c r="G272" s="31" t="n">
        <f aca="false">+F272+30</f>
        <v>46102</v>
      </c>
      <c r="H272" s="29" t="n">
        <f aca="true">+IF(AE272="PAGADA",0,TODAY()-G272)</f>
        <v>0</v>
      </c>
      <c r="I272" s="29" t="str">
        <f aca="false">+IF(H272&gt;180,"Atrasada",IF(H272&gt;150,"150 dias",IF(H272&gt;120,"120 dias",IF(H272&gt;90,"90 dias",IF(H272&gt;60,"60 dias",IF(H272&gt;30,"30 dias","Al Día"))))))</f>
        <v>Al Día</v>
      </c>
      <c r="J272" s="32" t="s">
        <v>80</v>
      </c>
      <c r="K272" s="29" t="s">
        <v>81</v>
      </c>
      <c r="L272" s="33" t="s">
        <v>248</v>
      </c>
      <c r="M272" s="29" t="n">
        <f aca="false">+YEAR(F272)</f>
        <v>2026</v>
      </c>
      <c r="N272" s="29" t="n">
        <v>2026</v>
      </c>
      <c r="O272" s="29" t="n">
        <v>1</v>
      </c>
      <c r="P272" s="29" t="str">
        <f aca="false">+CONCATENATE(Tabla[[#This Row],[MES CAMPAÑA]],"/",Tabla[[#This Row],[AÑO CAMPAÑA]])</f>
        <v>1/2026</v>
      </c>
      <c r="Q272" s="29" t="s">
        <v>92</v>
      </c>
      <c r="R272" s="29"/>
      <c r="S272" s="34" t="n">
        <v>0</v>
      </c>
      <c r="T272" s="34" t="n">
        <v>1095995</v>
      </c>
      <c r="U272" s="34" t="n">
        <v>208239</v>
      </c>
      <c r="V272" s="29"/>
      <c r="W272" s="35" t="n">
        <v>1304234</v>
      </c>
      <c r="X272" s="36" t="n">
        <f aca="false">+Tabla[[#This Row],[TOTAL]]</f>
        <v>1304234</v>
      </c>
      <c r="Y272" s="37"/>
      <c r="Z272" s="37"/>
      <c r="AA272" s="37"/>
      <c r="AB272" s="38" t="n">
        <f aca="false">+W272-AC272</f>
        <v>0</v>
      </c>
      <c r="AC272" s="34" t="n">
        <f aca="false">+Tabla[[#This Row],[P4]]+Tabla[[#This Row],[P3]]+Tabla[[#This Row],[P2]]+Tabla[[#This Row],[P1]]</f>
        <v>1304234</v>
      </c>
      <c r="AD272" s="34" t="n">
        <f aca="false">+W272-AC272</f>
        <v>0</v>
      </c>
      <c r="AE272" s="21" t="str">
        <f aca="false">IF(AB272&lt;1,"PAGADA","PENDIENTE")</f>
        <v>PAGADA</v>
      </c>
      <c r="AF272" s="21"/>
      <c r="AG272" s="29" t="s">
        <v>77</v>
      </c>
      <c r="AH272" s="39" t="n">
        <v>46190</v>
      </c>
      <c r="AI272" s="40" t="n">
        <f aca="false">+IF(Tabla[[#This Row],[FECHA PAGO / ABONO]]&lt;1,0,(MONTH(Tabla[[#This Row],[FECHA PAGO / ABONO]])))</f>
        <v>6</v>
      </c>
      <c r="AJ272" s="40" t="n">
        <f aca="false">+IF(Tabla[[#This Row],[FECHA PAGO / ABONO]]&lt;1,0,(YEAR(Tabla[[#This Row],[FECHA PAGO / ABONO]])))</f>
        <v>2026</v>
      </c>
      <c r="AK272" s="41"/>
    </row>
    <row r="273" customFormat="false" ht="14.25" hidden="false" customHeight="false" outlineLevel="0" collapsed="false">
      <c r="A273" s="28" t="s">
        <v>127</v>
      </c>
      <c r="B273" s="29" t="s">
        <v>128</v>
      </c>
      <c r="C273" s="29" t="s">
        <v>69</v>
      </c>
      <c r="D273" s="21" t="n">
        <v>46738</v>
      </c>
      <c r="E273" s="21" t="str">
        <f aca="false">+CONCATENATE(Tabla[[#This Row],[RUT]],Tabla[[#This Row],[PROVEEDOR]],Tabla[[#This Row],[FACTURA]])</f>
        <v>84364100-8Publicidad Exterior Publivia SpA46738</v>
      </c>
      <c r="F273" s="57" t="n">
        <v>46072</v>
      </c>
      <c r="G273" s="31" t="n">
        <f aca="false">+F273+30</f>
        <v>46102</v>
      </c>
      <c r="H273" s="29" t="n">
        <f aca="true">+IF(AE273="PAGADA",0,TODAY()-G273)</f>
        <v>0</v>
      </c>
      <c r="I273" s="29" t="str">
        <f aca="false">+IF(H273&gt;180,"Atrasada",IF(H273&gt;150,"150 dias",IF(H273&gt;120,"120 dias",IF(H273&gt;90,"90 dias",IF(H273&gt;60,"60 dias",IF(H273&gt;30,"30 dias","Al Día"))))))</f>
        <v>Al Día</v>
      </c>
      <c r="J273" s="32" t="s">
        <v>80</v>
      </c>
      <c r="K273" s="29" t="s">
        <v>81</v>
      </c>
      <c r="L273" s="33" t="s">
        <v>248</v>
      </c>
      <c r="M273" s="29" t="n">
        <f aca="false">+YEAR(F273)</f>
        <v>2026</v>
      </c>
      <c r="N273" s="29" t="n">
        <v>2026</v>
      </c>
      <c r="O273" s="29" t="n">
        <v>1</v>
      </c>
      <c r="P273" s="29" t="str">
        <f aca="false">+CONCATENATE(Tabla[[#This Row],[MES CAMPAÑA]],"/",Tabla[[#This Row],[AÑO CAMPAÑA]])</f>
        <v>1/2026</v>
      </c>
      <c r="Q273" s="29" t="s">
        <v>92</v>
      </c>
      <c r="R273" s="29"/>
      <c r="S273" s="34" t="n">
        <v>0</v>
      </c>
      <c r="T273" s="34" t="n">
        <v>544034</v>
      </c>
      <c r="U273" s="34" t="n">
        <v>103366</v>
      </c>
      <c r="V273" s="29"/>
      <c r="W273" s="35" t="n">
        <v>647400</v>
      </c>
      <c r="X273" s="36" t="n">
        <f aca="false">+Tabla[[#This Row],[TOTAL]]</f>
        <v>647400</v>
      </c>
      <c r="Y273" s="37"/>
      <c r="Z273" s="37"/>
      <c r="AA273" s="37"/>
      <c r="AB273" s="38" t="n">
        <f aca="false">+W273-AC273</f>
        <v>0</v>
      </c>
      <c r="AC273" s="34" t="n">
        <f aca="false">+Tabla[[#This Row],[P4]]+Tabla[[#This Row],[P3]]+Tabla[[#This Row],[P2]]+Tabla[[#This Row],[P1]]</f>
        <v>647400</v>
      </c>
      <c r="AD273" s="34" t="n">
        <f aca="false">+W273-AC273</f>
        <v>0</v>
      </c>
      <c r="AE273" s="21" t="str">
        <f aca="false">IF(AB273&lt;1,"PAGADA","PENDIENTE")</f>
        <v>PAGADA</v>
      </c>
      <c r="AF273" s="21"/>
      <c r="AG273" s="29" t="s">
        <v>77</v>
      </c>
      <c r="AH273" s="39" t="n">
        <v>46190</v>
      </c>
      <c r="AI273" s="40" t="n">
        <f aca="false">+IF(Tabla[[#This Row],[FECHA PAGO / ABONO]]&lt;1,0,(MONTH(Tabla[[#This Row],[FECHA PAGO / ABONO]])))</f>
        <v>6</v>
      </c>
      <c r="AJ273" s="40" t="n">
        <f aca="false">+IF(Tabla[[#This Row],[FECHA PAGO / ABONO]]&lt;1,0,(YEAR(Tabla[[#This Row],[FECHA PAGO / ABONO]])))</f>
        <v>2026</v>
      </c>
      <c r="AK273" s="41"/>
    </row>
    <row r="274" customFormat="false" ht="14.25" hidden="false" customHeight="false" outlineLevel="0" collapsed="false">
      <c r="A274" s="28" t="s">
        <v>127</v>
      </c>
      <c r="B274" s="29" t="s">
        <v>128</v>
      </c>
      <c r="C274" s="29" t="s">
        <v>69</v>
      </c>
      <c r="D274" s="21" t="n">
        <v>46739</v>
      </c>
      <c r="E274" s="21" t="str">
        <f aca="false">+CONCATENATE(Tabla[[#This Row],[RUT]],Tabla[[#This Row],[PROVEEDOR]],Tabla[[#This Row],[FACTURA]])</f>
        <v>84364100-8Publicidad Exterior Publivia SpA46739</v>
      </c>
      <c r="F274" s="57" t="n">
        <v>46072</v>
      </c>
      <c r="G274" s="31" t="n">
        <f aca="false">+F274+30</f>
        <v>46102</v>
      </c>
      <c r="H274" s="29" t="n">
        <f aca="true">+IF(AE274="PAGADA",0,TODAY()-G274)</f>
        <v>0</v>
      </c>
      <c r="I274" s="29" t="str">
        <f aca="false">+IF(H274&gt;180,"Atrasada",IF(H274&gt;150,"150 dias",IF(H274&gt;120,"120 dias",IF(H274&gt;90,"90 dias",IF(H274&gt;60,"60 dias",IF(H274&gt;30,"30 dias","Al Día"))))))</f>
        <v>Al Día</v>
      </c>
      <c r="J274" s="32" t="s">
        <v>80</v>
      </c>
      <c r="K274" s="29" t="s">
        <v>81</v>
      </c>
      <c r="L274" s="33" t="s">
        <v>248</v>
      </c>
      <c r="M274" s="29" t="n">
        <f aca="false">+YEAR(F274)</f>
        <v>2026</v>
      </c>
      <c r="N274" s="29" t="n">
        <v>2026</v>
      </c>
      <c r="O274" s="29" t="n">
        <v>1</v>
      </c>
      <c r="P274" s="29" t="str">
        <f aca="false">+CONCATENATE(Tabla[[#This Row],[MES CAMPAÑA]],"/",Tabla[[#This Row],[AÑO CAMPAÑA]])</f>
        <v>1/2026</v>
      </c>
      <c r="Q274" s="29" t="s">
        <v>92</v>
      </c>
      <c r="R274" s="29"/>
      <c r="S274" s="34" t="n">
        <v>0</v>
      </c>
      <c r="T274" s="34" t="n">
        <v>378343</v>
      </c>
      <c r="U274" s="34" t="n">
        <v>71885</v>
      </c>
      <c r="V274" s="29"/>
      <c r="W274" s="35" t="n">
        <v>450228</v>
      </c>
      <c r="X274" s="36" t="n">
        <f aca="false">+Tabla[[#This Row],[TOTAL]]</f>
        <v>450228</v>
      </c>
      <c r="Y274" s="37"/>
      <c r="Z274" s="37"/>
      <c r="AA274" s="37"/>
      <c r="AB274" s="38" t="n">
        <f aca="false">+W274-AC274</f>
        <v>0</v>
      </c>
      <c r="AC274" s="34" t="n">
        <f aca="false">+Tabla[[#This Row],[P4]]+Tabla[[#This Row],[P3]]+Tabla[[#This Row],[P2]]+Tabla[[#This Row],[P1]]</f>
        <v>450228</v>
      </c>
      <c r="AD274" s="34" t="n">
        <f aca="false">+W274-AC274</f>
        <v>0</v>
      </c>
      <c r="AE274" s="21" t="str">
        <f aca="false">IF(AB274&lt;1,"PAGADA","PENDIENTE")</f>
        <v>PAGADA</v>
      </c>
      <c r="AF274" s="21"/>
      <c r="AG274" s="29" t="s">
        <v>77</v>
      </c>
      <c r="AH274" s="39" t="n">
        <v>46190</v>
      </c>
      <c r="AI274" s="40" t="n">
        <f aca="false">+IF(Tabla[[#This Row],[FECHA PAGO / ABONO]]&lt;1,0,(MONTH(Tabla[[#This Row],[FECHA PAGO / ABONO]])))</f>
        <v>6</v>
      </c>
      <c r="AJ274" s="40" t="n">
        <f aca="false">+IF(Tabla[[#This Row],[FECHA PAGO / ABONO]]&lt;1,0,(YEAR(Tabla[[#This Row],[FECHA PAGO / ABONO]])))</f>
        <v>2026</v>
      </c>
      <c r="AK274" s="41"/>
    </row>
    <row r="275" customFormat="false" ht="14.25" hidden="false" customHeight="false" outlineLevel="0" collapsed="false">
      <c r="A275" s="28" t="s">
        <v>127</v>
      </c>
      <c r="B275" s="29" t="s">
        <v>128</v>
      </c>
      <c r="C275" s="29" t="s">
        <v>69</v>
      </c>
      <c r="D275" s="21" t="n">
        <v>46740</v>
      </c>
      <c r="E275" s="21" t="str">
        <f aca="false">+CONCATENATE(Tabla[[#This Row],[RUT]],Tabla[[#This Row],[PROVEEDOR]],Tabla[[#This Row],[FACTURA]])</f>
        <v>84364100-8Publicidad Exterior Publivia SpA46740</v>
      </c>
      <c r="F275" s="57" t="n">
        <v>46072</v>
      </c>
      <c r="G275" s="31" t="n">
        <f aca="false">+F275+30</f>
        <v>46102</v>
      </c>
      <c r="H275" s="29" t="n">
        <f aca="true">+IF(AE275="PAGADA",0,TODAY()-G275)</f>
        <v>0</v>
      </c>
      <c r="I275" s="29" t="str">
        <f aca="false">+IF(H275&gt;180,"Atrasada",IF(H275&gt;150,"150 dias",IF(H275&gt;120,"120 dias",IF(H275&gt;90,"90 dias",IF(H275&gt;60,"60 dias",IF(H275&gt;30,"30 dias","Al Día"))))))</f>
        <v>Al Día</v>
      </c>
      <c r="J275" s="32" t="s">
        <v>80</v>
      </c>
      <c r="K275" s="29" t="s">
        <v>81</v>
      </c>
      <c r="L275" s="33" t="s">
        <v>248</v>
      </c>
      <c r="M275" s="29" t="n">
        <f aca="false">+YEAR(F275)</f>
        <v>2026</v>
      </c>
      <c r="N275" s="29" t="n">
        <v>2026</v>
      </c>
      <c r="O275" s="29" t="n">
        <v>1</v>
      </c>
      <c r="P275" s="29" t="str">
        <f aca="false">+CONCATENATE(Tabla[[#This Row],[MES CAMPAÑA]],"/",Tabla[[#This Row],[AÑO CAMPAÑA]])</f>
        <v>1/2026</v>
      </c>
      <c r="Q275" s="29" t="s">
        <v>92</v>
      </c>
      <c r="R275" s="29"/>
      <c r="S275" s="34" t="n">
        <v>0</v>
      </c>
      <c r="T275" s="34" t="n">
        <v>488041</v>
      </c>
      <c r="U275" s="34" t="n">
        <v>92728</v>
      </c>
      <c r="V275" s="29"/>
      <c r="W275" s="35" t="n">
        <v>580769</v>
      </c>
      <c r="X275" s="36" t="n">
        <f aca="false">+Tabla[[#This Row],[TOTAL]]</f>
        <v>580769</v>
      </c>
      <c r="Y275" s="37"/>
      <c r="Z275" s="37"/>
      <c r="AA275" s="37"/>
      <c r="AB275" s="38" t="n">
        <f aca="false">+W275-AC275</f>
        <v>0</v>
      </c>
      <c r="AC275" s="34" t="n">
        <f aca="false">+Tabla[[#This Row],[P4]]+Tabla[[#This Row],[P3]]+Tabla[[#This Row],[P2]]+Tabla[[#This Row],[P1]]</f>
        <v>580769</v>
      </c>
      <c r="AD275" s="34" t="n">
        <f aca="false">+W275-AC275</f>
        <v>0</v>
      </c>
      <c r="AE275" s="21" t="str">
        <f aca="false">IF(AB275&lt;1,"PAGADA","PENDIENTE")</f>
        <v>PAGADA</v>
      </c>
      <c r="AF275" s="21"/>
      <c r="AG275" s="29" t="s">
        <v>77</v>
      </c>
      <c r="AH275" s="39" t="n">
        <v>46190</v>
      </c>
      <c r="AI275" s="40" t="n">
        <f aca="false">+IF(Tabla[[#This Row],[FECHA PAGO / ABONO]]&lt;1,0,(MONTH(Tabla[[#This Row],[FECHA PAGO / ABONO]])))</f>
        <v>6</v>
      </c>
      <c r="AJ275" s="40" t="n">
        <f aca="false">+IF(Tabla[[#This Row],[FECHA PAGO / ABONO]]&lt;1,0,(YEAR(Tabla[[#This Row],[FECHA PAGO / ABONO]])))</f>
        <v>2026</v>
      </c>
      <c r="AK275" s="41"/>
    </row>
    <row r="276" customFormat="false" ht="14.25" hidden="false" customHeight="false" outlineLevel="0" collapsed="false">
      <c r="A276" s="28" t="s">
        <v>127</v>
      </c>
      <c r="B276" s="29" t="s">
        <v>128</v>
      </c>
      <c r="C276" s="29" t="s">
        <v>69</v>
      </c>
      <c r="D276" s="21" t="n">
        <v>46741</v>
      </c>
      <c r="E276" s="21" t="str">
        <f aca="false">+CONCATENATE(Tabla[[#This Row],[RUT]],Tabla[[#This Row],[PROVEEDOR]],Tabla[[#This Row],[FACTURA]])</f>
        <v>84364100-8Publicidad Exterior Publivia SpA46741</v>
      </c>
      <c r="F276" s="57" t="n">
        <v>46072</v>
      </c>
      <c r="G276" s="31" t="n">
        <f aca="false">+F276+30</f>
        <v>46102</v>
      </c>
      <c r="H276" s="29" t="n">
        <f aca="true">+IF(AE276="PAGADA",0,TODAY()-G276)</f>
        <v>0</v>
      </c>
      <c r="I276" s="29" t="str">
        <f aca="false">+IF(H276&gt;180,"Atrasada",IF(H276&gt;150,"150 dias",IF(H276&gt;120,"120 dias",IF(H276&gt;90,"90 dias",IF(H276&gt;60,"60 dias",IF(H276&gt;30,"30 dias","Al Día"))))))</f>
        <v>Al Día</v>
      </c>
      <c r="J276" s="32" t="s">
        <v>80</v>
      </c>
      <c r="K276" s="29" t="s">
        <v>81</v>
      </c>
      <c r="L276" s="33" t="s">
        <v>248</v>
      </c>
      <c r="M276" s="29" t="n">
        <f aca="false">+YEAR(F276)</f>
        <v>2026</v>
      </c>
      <c r="N276" s="29" t="n">
        <v>2026</v>
      </c>
      <c r="O276" s="29" t="n">
        <v>1</v>
      </c>
      <c r="P276" s="29" t="str">
        <f aca="false">+CONCATENATE(Tabla[[#This Row],[MES CAMPAÑA]],"/",Tabla[[#This Row],[AÑO CAMPAÑA]])</f>
        <v>1/2026</v>
      </c>
      <c r="Q276" s="29" t="s">
        <v>92</v>
      </c>
      <c r="R276" s="29"/>
      <c r="S276" s="34" t="n">
        <v>0</v>
      </c>
      <c r="T276" s="34" t="n">
        <v>1287104</v>
      </c>
      <c r="U276" s="34" t="n">
        <v>244550</v>
      </c>
      <c r="V276" s="29"/>
      <c r="W276" s="35" t="n">
        <v>1531654</v>
      </c>
      <c r="X276" s="36" t="n">
        <f aca="false">+Tabla[[#This Row],[TOTAL]]</f>
        <v>1531654</v>
      </c>
      <c r="Y276" s="37"/>
      <c r="Z276" s="37"/>
      <c r="AA276" s="37"/>
      <c r="AB276" s="38" t="n">
        <f aca="false">+W276-AC276</f>
        <v>0</v>
      </c>
      <c r="AC276" s="34" t="n">
        <f aca="false">+Tabla[[#This Row],[P4]]+Tabla[[#This Row],[P3]]+Tabla[[#This Row],[P2]]+Tabla[[#This Row],[P1]]</f>
        <v>1531654</v>
      </c>
      <c r="AD276" s="34" t="n">
        <f aca="false">+W276-AC276</f>
        <v>0</v>
      </c>
      <c r="AE276" s="21" t="str">
        <f aca="false">IF(AB276&lt;1,"PAGADA","PENDIENTE")</f>
        <v>PAGADA</v>
      </c>
      <c r="AF276" s="21"/>
      <c r="AG276" s="29" t="s">
        <v>77</v>
      </c>
      <c r="AH276" s="39" t="n">
        <v>46190</v>
      </c>
      <c r="AI276" s="40" t="n">
        <f aca="false">+IF(Tabla[[#This Row],[FECHA PAGO / ABONO]]&lt;1,0,(MONTH(Tabla[[#This Row],[FECHA PAGO / ABONO]])))</f>
        <v>6</v>
      </c>
      <c r="AJ276" s="40" t="n">
        <f aca="false">+IF(Tabla[[#This Row],[FECHA PAGO / ABONO]]&lt;1,0,(YEAR(Tabla[[#This Row],[FECHA PAGO / ABONO]])))</f>
        <v>2026</v>
      </c>
      <c r="AK276" s="41"/>
    </row>
    <row r="277" customFormat="false" ht="14.25" hidden="false" customHeight="false" outlineLevel="0" collapsed="false">
      <c r="A277" s="28" t="s">
        <v>127</v>
      </c>
      <c r="B277" s="29" t="s">
        <v>128</v>
      </c>
      <c r="C277" s="29" t="s">
        <v>69</v>
      </c>
      <c r="D277" s="21" t="n">
        <v>46742</v>
      </c>
      <c r="E277" s="21" t="str">
        <f aca="false">+CONCATENATE(Tabla[[#This Row],[RUT]],Tabla[[#This Row],[PROVEEDOR]],Tabla[[#This Row],[FACTURA]])</f>
        <v>84364100-8Publicidad Exterior Publivia SpA46742</v>
      </c>
      <c r="F277" s="57" t="n">
        <v>46072</v>
      </c>
      <c r="G277" s="31" t="n">
        <f aca="false">+F277+30</f>
        <v>46102</v>
      </c>
      <c r="H277" s="29" t="n">
        <f aca="true">+IF(AE277="PAGADA",0,TODAY()-G277)</f>
        <v>0</v>
      </c>
      <c r="I277" s="29" t="str">
        <f aca="false">+IF(H277&gt;180,"Atrasada",IF(H277&gt;150,"150 dias",IF(H277&gt;120,"120 dias",IF(H277&gt;90,"90 dias",IF(H277&gt;60,"60 dias",IF(H277&gt;30,"30 dias","Al Día"))))))</f>
        <v>Al Día</v>
      </c>
      <c r="J277" s="32" t="s">
        <v>80</v>
      </c>
      <c r="K277" s="29" t="s">
        <v>81</v>
      </c>
      <c r="L277" s="33" t="s">
        <v>248</v>
      </c>
      <c r="M277" s="29" t="n">
        <f aca="false">+YEAR(F277)</f>
        <v>2026</v>
      </c>
      <c r="N277" s="29" t="n">
        <v>2026</v>
      </c>
      <c r="O277" s="29" t="n">
        <v>1</v>
      </c>
      <c r="P277" s="29" t="str">
        <f aca="false">+CONCATENATE(Tabla[[#This Row],[MES CAMPAÑA]],"/",Tabla[[#This Row],[AÑO CAMPAÑA]])</f>
        <v>1/2026</v>
      </c>
      <c r="Q277" s="29" t="s">
        <v>92</v>
      </c>
      <c r="R277" s="29"/>
      <c r="S277" s="34" t="n">
        <v>0</v>
      </c>
      <c r="T277" s="34" t="n">
        <v>361254</v>
      </c>
      <c r="U277" s="34" t="n">
        <v>68638</v>
      </c>
      <c r="V277" s="29"/>
      <c r="W277" s="35" t="n">
        <v>429892</v>
      </c>
      <c r="X277" s="36" t="n">
        <f aca="false">+Tabla[[#This Row],[TOTAL]]</f>
        <v>429892</v>
      </c>
      <c r="Y277" s="37"/>
      <c r="Z277" s="37"/>
      <c r="AA277" s="37"/>
      <c r="AB277" s="38" t="n">
        <f aca="false">+W277-AC277</f>
        <v>0</v>
      </c>
      <c r="AC277" s="34" t="n">
        <f aca="false">+Tabla[[#This Row],[P4]]+Tabla[[#This Row],[P3]]+Tabla[[#This Row],[P2]]+Tabla[[#This Row],[P1]]</f>
        <v>429892</v>
      </c>
      <c r="AD277" s="34" t="n">
        <f aca="false">+W277-AC277</f>
        <v>0</v>
      </c>
      <c r="AE277" s="21" t="str">
        <f aca="false">IF(AB277&lt;1,"PAGADA","PENDIENTE")</f>
        <v>PAGADA</v>
      </c>
      <c r="AF277" s="21"/>
      <c r="AG277" s="29" t="s">
        <v>77</v>
      </c>
      <c r="AH277" s="39" t="n">
        <v>46190</v>
      </c>
      <c r="AI277" s="40" t="n">
        <f aca="false">+IF(Tabla[[#This Row],[FECHA PAGO / ABONO]]&lt;1,0,(MONTH(Tabla[[#This Row],[FECHA PAGO / ABONO]])))</f>
        <v>6</v>
      </c>
      <c r="AJ277" s="40" t="n">
        <f aca="false">+IF(Tabla[[#This Row],[FECHA PAGO / ABONO]]&lt;1,0,(YEAR(Tabla[[#This Row],[FECHA PAGO / ABONO]])))</f>
        <v>2026</v>
      </c>
      <c r="AK277" s="41"/>
    </row>
    <row r="278" customFormat="false" ht="14.25" hidden="false" customHeight="false" outlineLevel="0" collapsed="false">
      <c r="A278" s="28" t="s">
        <v>127</v>
      </c>
      <c r="B278" s="29" t="s">
        <v>128</v>
      </c>
      <c r="C278" s="29" t="s">
        <v>69</v>
      </c>
      <c r="D278" s="21" t="n">
        <v>46743</v>
      </c>
      <c r="E278" s="21" t="str">
        <f aca="false">+CONCATENATE(Tabla[[#This Row],[RUT]],Tabla[[#This Row],[PROVEEDOR]],Tabla[[#This Row],[FACTURA]])</f>
        <v>84364100-8Publicidad Exterior Publivia SpA46743</v>
      </c>
      <c r="F278" s="57" t="n">
        <v>46072</v>
      </c>
      <c r="G278" s="31" t="n">
        <f aca="false">+F278+30</f>
        <v>46102</v>
      </c>
      <c r="H278" s="29" t="n">
        <f aca="true">+IF(AE278="PAGADA",0,TODAY()-G278)</f>
        <v>102</v>
      </c>
      <c r="I278" s="29" t="str">
        <f aca="false">+IF(H278&gt;180,"Atrasada",IF(H278&gt;150,"150 dias",IF(H278&gt;120,"120 dias",IF(H278&gt;90,"90 dias",IF(H278&gt;60,"60 dias",IF(H278&gt;30,"30 dias","Al Día"))))))</f>
        <v>90 dias</v>
      </c>
      <c r="J278" s="32" t="s">
        <v>80</v>
      </c>
      <c r="K278" s="29" t="s">
        <v>81</v>
      </c>
      <c r="L278" s="33" t="s">
        <v>248</v>
      </c>
      <c r="M278" s="29" t="n">
        <f aca="false">+YEAR(F278)</f>
        <v>2026</v>
      </c>
      <c r="N278" s="29" t="n">
        <v>2026</v>
      </c>
      <c r="O278" s="29" t="n">
        <v>1</v>
      </c>
      <c r="P278" s="29" t="str">
        <f aca="false">+CONCATENATE(Tabla[[#This Row],[MES CAMPAÑA]],"/",Tabla[[#This Row],[AÑO CAMPAÑA]])</f>
        <v>1/2026</v>
      </c>
      <c r="Q278" s="29" t="s">
        <v>130</v>
      </c>
      <c r="R278" s="29"/>
      <c r="S278" s="34" t="n">
        <v>0</v>
      </c>
      <c r="T278" s="34" t="n">
        <v>220000</v>
      </c>
      <c r="U278" s="34" t="n">
        <v>41800</v>
      </c>
      <c r="V278" s="29"/>
      <c r="W278" s="35" t="n">
        <v>261800</v>
      </c>
      <c r="X278" s="36"/>
      <c r="Y278" s="37"/>
      <c r="Z278" s="37"/>
      <c r="AA278" s="37"/>
      <c r="AB278" s="38" t="n">
        <f aca="false">+W278-AC278</f>
        <v>261800</v>
      </c>
      <c r="AC278" s="34" t="n">
        <f aca="false">+Tabla[[#This Row],[P4]]+Tabla[[#This Row],[P3]]+Tabla[[#This Row],[P2]]+Tabla[[#This Row],[P1]]</f>
        <v>0</v>
      </c>
      <c r="AD278" s="34" t="n">
        <f aca="false">+W278-AC278</f>
        <v>261800</v>
      </c>
      <c r="AE278" s="21" t="str">
        <f aca="false">IF(AB278&lt;1,"PAGADA","PENDIENTE")</f>
        <v>PENDIENTE</v>
      </c>
      <c r="AF278" s="21"/>
      <c r="AG278" s="29"/>
      <c r="AH278" s="40"/>
      <c r="AI278" s="40" t="n">
        <f aca="false">+IF(Tabla[[#This Row],[FECHA PAGO / ABONO]]&lt;1,0,(MONTH(Tabla[[#This Row],[FECHA PAGO / ABONO]])))</f>
        <v>0</v>
      </c>
      <c r="AJ278" s="40" t="n">
        <f aca="false">+IF(Tabla[[#This Row],[FECHA PAGO / ABONO]]&lt;1,0,(YEAR(Tabla[[#This Row],[FECHA PAGO / ABONO]])))</f>
        <v>0</v>
      </c>
      <c r="AK278" s="41"/>
    </row>
    <row r="279" customFormat="false" ht="14.25" hidden="false" customHeight="false" outlineLevel="0" collapsed="false">
      <c r="A279" s="28" t="s">
        <v>127</v>
      </c>
      <c r="B279" s="29" t="s">
        <v>128</v>
      </c>
      <c r="C279" s="29" t="s">
        <v>69</v>
      </c>
      <c r="D279" s="21" t="n">
        <v>46744</v>
      </c>
      <c r="E279" s="21" t="str">
        <f aca="false">+CONCATENATE(Tabla[[#This Row],[RUT]],Tabla[[#This Row],[PROVEEDOR]],Tabla[[#This Row],[FACTURA]])</f>
        <v>84364100-8Publicidad Exterior Publivia SpA46744</v>
      </c>
      <c r="F279" s="57" t="n">
        <v>46072</v>
      </c>
      <c r="G279" s="31" t="n">
        <f aca="false">+F279+30</f>
        <v>46102</v>
      </c>
      <c r="H279" s="29" t="n">
        <f aca="true">+IF(AE279="PAGADA",0,TODAY()-G279)</f>
        <v>102</v>
      </c>
      <c r="I279" s="29" t="str">
        <f aca="false">+IF(H279&gt;180,"Atrasada",IF(H279&gt;150,"150 dias",IF(H279&gt;120,"120 dias",IF(H279&gt;90,"90 dias",IF(H279&gt;60,"60 dias",IF(H279&gt;30,"30 dias","Al Día"))))))</f>
        <v>90 dias</v>
      </c>
      <c r="J279" s="32" t="s">
        <v>80</v>
      </c>
      <c r="K279" s="29" t="s">
        <v>81</v>
      </c>
      <c r="L279" s="33" t="s">
        <v>248</v>
      </c>
      <c r="M279" s="29" t="n">
        <f aca="false">+YEAR(F279)</f>
        <v>2026</v>
      </c>
      <c r="N279" s="29" t="n">
        <v>2026</v>
      </c>
      <c r="O279" s="29" t="n">
        <v>1</v>
      </c>
      <c r="P279" s="29" t="str">
        <f aca="false">+CONCATENATE(Tabla[[#This Row],[MES CAMPAÑA]],"/",Tabla[[#This Row],[AÑO CAMPAÑA]])</f>
        <v>1/2026</v>
      </c>
      <c r="Q279" s="29" t="s">
        <v>130</v>
      </c>
      <c r="R279" s="29"/>
      <c r="S279" s="34" t="n">
        <v>0</v>
      </c>
      <c r="T279" s="34" t="n">
        <v>580000</v>
      </c>
      <c r="U279" s="34" t="n">
        <v>110200</v>
      </c>
      <c r="V279" s="29"/>
      <c r="W279" s="35" t="n">
        <v>690200</v>
      </c>
      <c r="X279" s="36"/>
      <c r="Y279" s="37"/>
      <c r="Z279" s="37"/>
      <c r="AA279" s="37"/>
      <c r="AB279" s="38" t="n">
        <f aca="false">+W279-AC279</f>
        <v>690200</v>
      </c>
      <c r="AC279" s="34" t="n">
        <f aca="false">+Tabla[[#This Row],[P4]]+Tabla[[#This Row],[P3]]+Tabla[[#This Row],[P2]]+Tabla[[#This Row],[P1]]</f>
        <v>0</v>
      </c>
      <c r="AD279" s="34" t="n">
        <f aca="false">+W279-AC279</f>
        <v>690200</v>
      </c>
      <c r="AE279" s="21" t="str">
        <f aca="false">IF(AB279&lt;1,"PAGADA","PENDIENTE")</f>
        <v>PENDIENTE</v>
      </c>
      <c r="AF279" s="21"/>
      <c r="AG279" s="29"/>
      <c r="AH279" s="40"/>
      <c r="AI279" s="40" t="n">
        <f aca="false">+IF(Tabla[[#This Row],[FECHA PAGO / ABONO]]&lt;1,0,(MONTH(Tabla[[#This Row],[FECHA PAGO / ABONO]])))</f>
        <v>0</v>
      </c>
      <c r="AJ279" s="40" t="n">
        <f aca="false">+IF(Tabla[[#This Row],[FECHA PAGO / ABONO]]&lt;1,0,(YEAR(Tabla[[#This Row],[FECHA PAGO / ABONO]])))</f>
        <v>0</v>
      </c>
      <c r="AK279" s="41"/>
    </row>
    <row r="280" customFormat="false" ht="14.25" hidden="false" customHeight="false" outlineLevel="0" collapsed="false">
      <c r="A280" s="28" t="s">
        <v>127</v>
      </c>
      <c r="B280" s="29" t="s">
        <v>128</v>
      </c>
      <c r="C280" s="29" t="s">
        <v>69</v>
      </c>
      <c r="D280" s="21" t="n">
        <v>46745</v>
      </c>
      <c r="E280" s="21" t="str">
        <f aca="false">+CONCATENATE(Tabla[[#This Row],[RUT]],Tabla[[#This Row],[PROVEEDOR]],Tabla[[#This Row],[FACTURA]])</f>
        <v>84364100-8Publicidad Exterior Publivia SpA46745</v>
      </c>
      <c r="F280" s="57" t="n">
        <v>46072</v>
      </c>
      <c r="G280" s="31" t="n">
        <f aca="false">+F280+30</f>
        <v>46102</v>
      </c>
      <c r="H280" s="29" t="n">
        <f aca="true">+IF(AE280="PAGADA",0,TODAY()-G280)</f>
        <v>102</v>
      </c>
      <c r="I280" s="29" t="str">
        <f aca="false">+IF(H280&gt;180,"Atrasada",IF(H280&gt;150,"150 dias",IF(H280&gt;120,"120 dias",IF(H280&gt;90,"90 dias",IF(H280&gt;60,"60 dias",IF(H280&gt;30,"30 dias","Al Día"))))))</f>
        <v>90 dias</v>
      </c>
      <c r="J280" s="32" t="s">
        <v>80</v>
      </c>
      <c r="K280" s="29" t="s">
        <v>81</v>
      </c>
      <c r="L280" s="33" t="s">
        <v>248</v>
      </c>
      <c r="M280" s="29" t="n">
        <f aca="false">+YEAR(F280)</f>
        <v>2026</v>
      </c>
      <c r="N280" s="29" t="n">
        <v>2026</v>
      </c>
      <c r="O280" s="29" t="n">
        <v>1</v>
      </c>
      <c r="P280" s="29" t="str">
        <f aca="false">+CONCATENATE(Tabla[[#This Row],[MES CAMPAÑA]],"/",Tabla[[#This Row],[AÑO CAMPAÑA]])</f>
        <v>1/2026</v>
      </c>
      <c r="Q280" s="29" t="s">
        <v>130</v>
      </c>
      <c r="R280" s="29"/>
      <c r="S280" s="34" t="n">
        <v>0</v>
      </c>
      <c r="T280" s="34" t="n">
        <v>1070000</v>
      </c>
      <c r="U280" s="34" t="n">
        <v>203300</v>
      </c>
      <c r="V280" s="29"/>
      <c r="W280" s="35" t="n">
        <v>1273300</v>
      </c>
      <c r="X280" s="36"/>
      <c r="Y280" s="37"/>
      <c r="Z280" s="37"/>
      <c r="AA280" s="37"/>
      <c r="AB280" s="38" t="n">
        <f aca="false">+W280-AC280</f>
        <v>1273300</v>
      </c>
      <c r="AC280" s="34" t="n">
        <f aca="false">+Tabla[[#This Row],[P4]]+Tabla[[#This Row],[P3]]+Tabla[[#This Row],[P2]]+Tabla[[#This Row],[P1]]</f>
        <v>0</v>
      </c>
      <c r="AD280" s="34" t="n">
        <f aca="false">+W280-AC280</f>
        <v>1273300</v>
      </c>
      <c r="AE280" s="21" t="str">
        <f aca="false">IF(AB280&lt;1,"PAGADA","PENDIENTE")</f>
        <v>PENDIENTE</v>
      </c>
      <c r="AF280" s="21"/>
      <c r="AG280" s="29"/>
      <c r="AH280" s="40"/>
      <c r="AI280" s="40" t="n">
        <f aca="false">+IF(Tabla[[#This Row],[FECHA PAGO / ABONO]]&lt;1,0,(MONTH(Tabla[[#This Row],[FECHA PAGO / ABONO]])))</f>
        <v>0</v>
      </c>
      <c r="AJ280" s="40" t="n">
        <f aca="false">+IF(Tabla[[#This Row],[FECHA PAGO / ABONO]]&lt;1,0,(YEAR(Tabla[[#This Row],[FECHA PAGO / ABONO]])))</f>
        <v>0</v>
      </c>
      <c r="AK280" s="41"/>
    </row>
    <row r="281" customFormat="false" ht="14.25" hidden="false" customHeight="false" outlineLevel="0" collapsed="false">
      <c r="A281" s="28" t="s">
        <v>127</v>
      </c>
      <c r="B281" s="29" t="s">
        <v>128</v>
      </c>
      <c r="C281" s="29" t="s">
        <v>69</v>
      </c>
      <c r="D281" s="21" t="n">
        <v>46746</v>
      </c>
      <c r="E281" s="21" t="str">
        <f aca="false">+CONCATENATE(Tabla[[#This Row],[RUT]],Tabla[[#This Row],[PROVEEDOR]],Tabla[[#This Row],[FACTURA]])</f>
        <v>84364100-8Publicidad Exterior Publivia SpA46746</v>
      </c>
      <c r="F281" s="57" t="n">
        <v>46072</v>
      </c>
      <c r="G281" s="31" t="n">
        <f aca="false">+F281+30</f>
        <v>46102</v>
      </c>
      <c r="H281" s="29" t="n">
        <f aca="true">+IF(AE281="PAGADA",0,TODAY()-G281)</f>
        <v>102</v>
      </c>
      <c r="I281" s="29" t="str">
        <f aca="false">+IF(H281&gt;180,"Atrasada",IF(H281&gt;150,"150 dias",IF(H281&gt;120,"120 dias",IF(H281&gt;90,"90 dias",IF(H281&gt;60,"60 dias",IF(H281&gt;30,"30 dias","Al Día"))))))</f>
        <v>90 dias</v>
      </c>
      <c r="J281" s="32" t="s">
        <v>80</v>
      </c>
      <c r="K281" s="29" t="s">
        <v>81</v>
      </c>
      <c r="L281" s="33" t="s">
        <v>248</v>
      </c>
      <c r="M281" s="29" t="n">
        <f aca="false">+YEAR(F281)</f>
        <v>2026</v>
      </c>
      <c r="N281" s="29" t="n">
        <v>2026</v>
      </c>
      <c r="O281" s="29" t="n">
        <v>1</v>
      </c>
      <c r="P281" s="29" t="str">
        <f aca="false">+CONCATENATE(Tabla[[#This Row],[MES CAMPAÑA]],"/",Tabla[[#This Row],[AÑO CAMPAÑA]])</f>
        <v>1/2026</v>
      </c>
      <c r="Q281" s="29" t="s">
        <v>130</v>
      </c>
      <c r="R281" s="29"/>
      <c r="S281" s="34" t="n">
        <v>0</v>
      </c>
      <c r="T281" s="34" t="n">
        <v>2000000</v>
      </c>
      <c r="U281" s="34" t="n">
        <v>380000</v>
      </c>
      <c r="V281" s="29"/>
      <c r="W281" s="35" t="n">
        <v>2380000</v>
      </c>
      <c r="X281" s="36"/>
      <c r="Y281" s="37"/>
      <c r="Z281" s="37"/>
      <c r="AA281" s="37"/>
      <c r="AB281" s="38" t="n">
        <f aca="false">+W281-AC281</f>
        <v>2380000</v>
      </c>
      <c r="AC281" s="34" t="n">
        <f aca="false">+Tabla[[#This Row],[P4]]+Tabla[[#This Row],[P3]]+Tabla[[#This Row],[P2]]+Tabla[[#This Row],[P1]]</f>
        <v>0</v>
      </c>
      <c r="AD281" s="34" t="n">
        <f aca="false">+W281-AC281</f>
        <v>2380000</v>
      </c>
      <c r="AE281" s="21" t="str">
        <f aca="false">IF(AB281&lt;1,"PAGADA","PENDIENTE")</f>
        <v>PENDIENTE</v>
      </c>
      <c r="AF281" s="21"/>
      <c r="AG281" s="29"/>
      <c r="AH281" s="40"/>
      <c r="AI281" s="40" t="n">
        <f aca="false">+IF(Tabla[[#This Row],[FECHA PAGO / ABONO]]&lt;1,0,(MONTH(Tabla[[#This Row],[FECHA PAGO / ABONO]])))</f>
        <v>0</v>
      </c>
      <c r="AJ281" s="40" t="n">
        <f aca="false">+IF(Tabla[[#This Row],[FECHA PAGO / ABONO]]&lt;1,0,(YEAR(Tabla[[#This Row],[FECHA PAGO / ABONO]])))</f>
        <v>0</v>
      </c>
      <c r="AK281" s="41"/>
    </row>
    <row r="282" customFormat="false" ht="14.25" hidden="false" customHeight="false" outlineLevel="0" collapsed="false">
      <c r="A282" s="28" t="s">
        <v>262</v>
      </c>
      <c r="B282" s="29" t="s">
        <v>263</v>
      </c>
      <c r="C282" s="29" t="s">
        <v>69</v>
      </c>
      <c r="D282" s="21" t="n">
        <v>2682</v>
      </c>
      <c r="E282" s="21" t="str">
        <f aca="false">+CONCATENATE(Tabla[[#This Row],[RUT]],Tabla[[#This Row],[PROVEEDOR]],Tabla[[#This Row],[FACTURA]])</f>
        <v>76215078-6SOCIEDAD COMERCIAL FUTBOL SITES NETWORK CHILE LIMITADA2682</v>
      </c>
      <c r="F282" s="57" t="n">
        <v>46072</v>
      </c>
      <c r="G282" s="31" t="n">
        <f aca="false">+F282+30</f>
        <v>46102</v>
      </c>
      <c r="H282" s="29" t="n">
        <f aca="true">+IF(AE282="PAGADA",0,TODAY()-G282)</f>
        <v>0</v>
      </c>
      <c r="I282" s="29" t="str">
        <f aca="false">+IF(H282&gt;180,"Atrasada",IF(H282&gt;150,"150 dias",IF(H282&gt;120,"120 dias",IF(H282&gt;90,"90 dias",IF(H282&gt;60,"60 dias",IF(H282&gt;30,"30 dias","Al Día"))))))</f>
        <v>Al Día</v>
      </c>
      <c r="J282" s="32" t="s">
        <v>80</v>
      </c>
      <c r="K282" s="29" t="s">
        <v>81</v>
      </c>
      <c r="L282" s="33" t="s">
        <v>248</v>
      </c>
      <c r="M282" s="29" t="n">
        <f aca="false">+YEAR(F282)</f>
        <v>2026</v>
      </c>
      <c r="N282" s="29" t="n">
        <v>2025</v>
      </c>
      <c r="O282" s="29" t="n">
        <v>12</v>
      </c>
      <c r="P282" s="29" t="str">
        <f aca="false">+CONCATENATE(Tabla[[#This Row],[MES CAMPAÑA]],"/",Tabla[[#This Row],[AÑO CAMPAÑA]])</f>
        <v>12/2025</v>
      </c>
      <c r="Q282" s="29" t="s">
        <v>82</v>
      </c>
      <c r="R282" s="29"/>
      <c r="S282" s="34" t="n">
        <v>0</v>
      </c>
      <c r="T282" s="34" t="n">
        <v>947368</v>
      </c>
      <c r="U282" s="34" t="n">
        <v>180000</v>
      </c>
      <c r="V282" s="29"/>
      <c r="W282" s="35" t="n">
        <v>1127368</v>
      </c>
      <c r="X282" s="36" t="n">
        <f aca="false">+Tabla[[#This Row],[TOTAL]]</f>
        <v>1127368</v>
      </c>
      <c r="Y282" s="37"/>
      <c r="Z282" s="37"/>
      <c r="AA282" s="37"/>
      <c r="AB282" s="38" t="n">
        <f aca="false">+W282-AC282</f>
        <v>0</v>
      </c>
      <c r="AC282" s="34" t="n">
        <f aca="false">+Tabla[[#This Row],[P4]]+Tabla[[#This Row],[P3]]+Tabla[[#This Row],[P2]]+Tabla[[#This Row],[P1]]</f>
        <v>1127368</v>
      </c>
      <c r="AD282" s="34" t="n">
        <f aca="false">+W282-AC282</f>
        <v>0</v>
      </c>
      <c r="AE282" s="21" t="str">
        <f aca="false">IF(AB282&lt;1,"PAGADA","PENDIENTE")</f>
        <v>PAGADA</v>
      </c>
      <c r="AF282" s="21"/>
      <c r="AG282" s="29" t="s">
        <v>77</v>
      </c>
      <c r="AH282" s="39" t="n">
        <v>46147</v>
      </c>
      <c r="AI282" s="40" t="n">
        <f aca="false">+IF(Tabla[[#This Row],[FECHA PAGO / ABONO]]&lt;1,0,(MONTH(Tabla[[#This Row],[FECHA PAGO / ABONO]])))</f>
        <v>5</v>
      </c>
      <c r="AJ282" s="40" t="n">
        <f aca="false">+IF(Tabla[[#This Row],[FECHA PAGO / ABONO]]&lt;1,0,(YEAR(Tabla[[#This Row],[FECHA PAGO / ABONO]])))</f>
        <v>2026</v>
      </c>
      <c r="AK282" s="41"/>
    </row>
    <row r="283" customFormat="false" ht="14.25" hidden="false" customHeight="false" outlineLevel="0" collapsed="false">
      <c r="A283" s="28" t="s">
        <v>78</v>
      </c>
      <c r="B283" s="29" t="s">
        <v>79</v>
      </c>
      <c r="C283" s="29" t="s">
        <v>69</v>
      </c>
      <c r="D283" s="21" t="n">
        <v>108614</v>
      </c>
      <c r="E283" s="21" t="str">
        <f aca="false">+CONCATENATE(Tabla[[#This Row],[RUT]],Tabla[[#This Row],[PROVEEDOR]],Tabla[[#This Row],[FACTURA]])</f>
        <v>96516560-6BIO BIO COMUNICACIONES S.A.108614</v>
      </c>
      <c r="F283" s="57" t="n">
        <v>46072</v>
      </c>
      <c r="G283" s="31" t="n">
        <f aca="false">+F283+30</f>
        <v>46102</v>
      </c>
      <c r="H283" s="29" t="n">
        <f aca="true">+IF(AE283="PAGADA",0,TODAY()-G283)</f>
        <v>102</v>
      </c>
      <c r="I283" s="29" t="str">
        <f aca="false">+IF(H283&gt;180,"Atrasada",IF(H283&gt;150,"150 dias",IF(H283&gt;120,"120 dias",IF(H283&gt;90,"90 dias",IF(H283&gt;60,"60 dias",IF(H283&gt;30,"30 dias","Al Día"))))))</f>
        <v>90 dias</v>
      </c>
      <c r="J283" s="32" t="s">
        <v>80</v>
      </c>
      <c r="K283" s="29" t="s">
        <v>81</v>
      </c>
      <c r="L283" s="33" t="s">
        <v>248</v>
      </c>
      <c r="M283" s="29" t="n">
        <f aca="false">+YEAR(F283)</f>
        <v>2026</v>
      </c>
      <c r="N283" s="29" t="n">
        <v>2026</v>
      </c>
      <c r="O283" s="29" t="n">
        <v>1</v>
      </c>
      <c r="P283" s="29" t="str">
        <f aca="false">+CONCATENATE(Tabla[[#This Row],[MES CAMPAÑA]],"/",Tabla[[#This Row],[AÑO CAMPAÑA]])</f>
        <v>1/2026</v>
      </c>
      <c r="Q283" s="29" t="s">
        <v>264</v>
      </c>
      <c r="R283" s="29"/>
      <c r="S283" s="34" t="n">
        <v>0</v>
      </c>
      <c r="T283" s="34" t="n">
        <v>643492</v>
      </c>
      <c r="U283" s="34" t="n">
        <v>122263</v>
      </c>
      <c r="V283" s="29"/>
      <c r="W283" s="35" t="n">
        <v>765755</v>
      </c>
      <c r="X283" s="36"/>
      <c r="Y283" s="37"/>
      <c r="Z283" s="37"/>
      <c r="AA283" s="37"/>
      <c r="AB283" s="38" t="n">
        <f aca="false">+W283-AC283</f>
        <v>765755</v>
      </c>
      <c r="AC283" s="34" t="n">
        <f aca="false">+Tabla[[#This Row],[P4]]+Tabla[[#This Row],[P3]]+Tabla[[#This Row],[P2]]+Tabla[[#This Row],[P1]]</f>
        <v>0</v>
      </c>
      <c r="AD283" s="34" t="n">
        <f aca="false">+W283-AC283</f>
        <v>765755</v>
      </c>
      <c r="AE283" s="21" t="str">
        <f aca="false">IF(AB283&lt;1,"PAGADA","PENDIENTE")</f>
        <v>PENDIENTE</v>
      </c>
      <c r="AF283" s="21"/>
      <c r="AG283" s="29"/>
      <c r="AH283" s="40"/>
      <c r="AI283" s="40" t="n">
        <f aca="false">+IF(Tabla[[#This Row],[FECHA PAGO / ABONO]]&lt;1,0,(MONTH(Tabla[[#This Row],[FECHA PAGO / ABONO]])))</f>
        <v>0</v>
      </c>
      <c r="AJ283" s="40" t="n">
        <f aca="false">+IF(Tabla[[#This Row],[FECHA PAGO / ABONO]]&lt;1,0,(YEAR(Tabla[[#This Row],[FECHA PAGO / ABONO]])))</f>
        <v>0</v>
      </c>
      <c r="AK283" s="41"/>
    </row>
    <row r="284" customFormat="false" ht="14.25" hidden="false" customHeight="false" outlineLevel="0" collapsed="false">
      <c r="A284" s="28" t="s">
        <v>78</v>
      </c>
      <c r="B284" s="29" t="s">
        <v>79</v>
      </c>
      <c r="C284" s="29" t="s">
        <v>69</v>
      </c>
      <c r="D284" s="21" t="n">
        <v>108615</v>
      </c>
      <c r="E284" s="21" t="str">
        <f aca="false">+CONCATENATE(Tabla[[#This Row],[RUT]],Tabla[[#This Row],[PROVEEDOR]],Tabla[[#This Row],[FACTURA]])</f>
        <v>96516560-6BIO BIO COMUNICACIONES S.A.108615</v>
      </c>
      <c r="F284" s="57" t="n">
        <v>46072</v>
      </c>
      <c r="G284" s="31" t="n">
        <f aca="false">+F284+30</f>
        <v>46102</v>
      </c>
      <c r="H284" s="29" t="n">
        <f aca="true">+IF(AE284="PAGADA",0,TODAY()-G284)</f>
        <v>102</v>
      </c>
      <c r="I284" s="29" t="str">
        <f aca="false">+IF(H284&gt;180,"Atrasada",IF(H284&gt;150,"150 dias",IF(H284&gt;120,"120 dias",IF(H284&gt;90,"90 dias",IF(H284&gt;60,"60 dias",IF(H284&gt;30,"30 dias","Al Día"))))))</f>
        <v>90 dias</v>
      </c>
      <c r="J284" s="32" t="s">
        <v>80</v>
      </c>
      <c r="K284" s="29" t="s">
        <v>81</v>
      </c>
      <c r="L284" s="33" t="s">
        <v>248</v>
      </c>
      <c r="M284" s="29" t="n">
        <f aca="false">+YEAR(F284)</f>
        <v>2026</v>
      </c>
      <c r="N284" s="29" t="n">
        <v>2026</v>
      </c>
      <c r="O284" s="29" t="n">
        <v>1</v>
      </c>
      <c r="P284" s="29" t="str">
        <f aca="false">+CONCATENATE(Tabla[[#This Row],[MES CAMPAÑA]],"/",Tabla[[#This Row],[AÑO CAMPAÑA]])</f>
        <v>1/2026</v>
      </c>
      <c r="Q284" s="29" t="s">
        <v>264</v>
      </c>
      <c r="R284" s="29"/>
      <c r="S284" s="34" t="n">
        <v>0</v>
      </c>
      <c r="T284" s="34" t="n">
        <v>712215</v>
      </c>
      <c r="U284" s="34" t="n">
        <v>135321</v>
      </c>
      <c r="V284" s="29"/>
      <c r="W284" s="35" t="n">
        <v>847536</v>
      </c>
      <c r="X284" s="36"/>
      <c r="Y284" s="37"/>
      <c r="Z284" s="37"/>
      <c r="AA284" s="37"/>
      <c r="AB284" s="38" t="n">
        <f aca="false">+W284-AC284</f>
        <v>847536</v>
      </c>
      <c r="AC284" s="34" t="n">
        <f aca="false">+Tabla[[#This Row],[P4]]+Tabla[[#This Row],[P3]]+Tabla[[#This Row],[P2]]+Tabla[[#This Row],[P1]]</f>
        <v>0</v>
      </c>
      <c r="AD284" s="34" t="n">
        <f aca="false">+W284-AC284</f>
        <v>847536</v>
      </c>
      <c r="AE284" s="21" t="str">
        <f aca="false">IF(AB284&lt;1,"PAGADA","PENDIENTE")</f>
        <v>PENDIENTE</v>
      </c>
      <c r="AF284" s="21"/>
      <c r="AG284" s="29"/>
      <c r="AH284" s="40"/>
      <c r="AI284" s="40" t="n">
        <f aca="false">+IF(Tabla[[#This Row],[FECHA PAGO / ABONO]]&lt;1,0,(MONTH(Tabla[[#This Row],[FECHA PAGO / ABONO]])))</f>
        <v>0</v>
      </c>
      <c r="AJ284" s="40" t="n">
        <f aca="false">+IF(Tabla[[#This Row],[FECHA PAGO / ABONO]]&lt;1,0,(YEAR(Tabla[[#This Row],[FECHA PAGO / ABONO]])))</f>
        <v>0</v>
      </c>
      <c r="AK284" s="41"/>
    </row>
    <row r="285" customFormat="false" ht="14.25" hidden="false" customHeight="false" outlineLevel="0" collapsed="false">
      <c r="A285" s="28" t="s">
        <v>78</v>
      </c>
      <c r="B285" s="29" t="s">
        <v>79</v>
      </c>
      <c r="C285" s="29" t="s">
        <v>69</v>
      </c>
      <c r="D285" s="21" t="n">
        <v>108616</v>
      </c>
      <c r="E285" s="21" t="str">
        <f aca="false">+CONCATENATE(Tabla[[#This Row],[RUT]],Tabla[[#This Row],[PROVEEDOR]],Tabla[[#This Row],[FACTURA]])</f>
        <v>96516560-6BIO BIO COMUNICACIONES S.A.108616</v>
      </c>
      <c r="F285" s="57" t="n">
        <v>46072</v>
      </c>
      <c r="G285" s="31" t="n">
        <f aca="false">+F285+30</f>
        <v>46102</v>
      </c>
      <c r="H285" s="29" t="n">
        <f aca="true">+IF(AE285="PAGADA",0,TODAY()-G285)</f>
        <v>102</v>
      </c>
      <c r="I285" s="29" t="str">
        <f aca="false">+IF(H285&gt;180,"Atrasada",IF(H285&gt;150,"150 dias",IF(H285&gt;120,"120 dias",IF(H285&gt;90,"90 dias",IF(H285&gt;60,"60 dias",IF(H285&gt;30,"30 dias","Al Día"))))))</f>
        <v>90 dias</v>
      </c>
      <c r="J285" s="32" t="s">
        <v>80</v>
      </c>
      <c r="K285" s="29" t="s">
        <v>81</v>
      </c>
      <c r="L285" s="33" t="s">
        <v>248</v>
      </c>
      <c r="M285" s="29" t="n">
        <f aca="false">+YEAR(F285)</f>
        <v>2026</v>
      </c>
      <c r="N285" s="29" t="n">
        <v>2026</v>
      </c>
      <c r="O285" s="29" t="n">
        <v>1</v>
      </c>
      <c r="P285" s="29" t="str">
        <f aca="false">+CONCATENATE(Tabla[[#This Row],[MES CAMPAÑA]],"/",Tabla[[#This Row],[AÑO CAMPAÑA]])</f>
        <v>1/2026</v>
      </c>
      <c r="Q285" s="29" t="s">
        <v>264</v>
      </c>
      <c r="R285" s="29"/>
      <c r="S285" s="34" t="n">
        <v>0</v>
      </c>
      <c r="T285" s="34" t="n">
        <v>655272</v>
      </c>
      <c r="U285" s="34" t="n">
        <v>124502</v>
      </c>
      <c r="V285" s="29"/>
      <c r="W285" s="35" t="n">
        <v>779774</v>
      </c>
      <c r="X285" s="36"/>
      <c r="Y285" s="37"/>
      <c r="Z285" s="37"/>
      <c r="AA285" s="37"/>
      <c r="AB285" s="38" t="n">
        <f aca="false">+W285-AC285</f>
        <v>779774</v>
      </c>
      <c r="AC285" s="34" t="n">
        <f aca="false">+Tabla[[#This Row],[P4]]+Tabla[[#This Row],[P3]]+Tabla[[#This Row],[P2]]+Tabla[[#This Row],[P1]]</f>
        <v>0</v>
      </c>
      <c r="AD285" s="34" t="n">
        <f aca="false">+W285-AC285</f>
        <v>779774</v>
      </c>
      <c r="AE285" s="21" t="str">
        <f aca="false">IF(AB285&lt;1,"PAGADA","PENDIENTE")</f>
        <v>PENDIENTE</v>
      </c>
      <c r="AF285" s="21"/>
      <c r="AG285" s="29"/>
      <c r="AH285" s="40"/>
      <c r="AI285" s="40" t="n">
        <f aca="false">+IF(Tabla[[#This Row],[FECHA PAGO / ABONO]]&lt;1,0,(MONTH(Tabla[[#This Row],[FECHA PAGO / ABONO]])))</f>
        <v>0</v>
      </c>
      <c r="AJ285" s="40" t="n">
        <f aca="false">+IF(Tabla[[#This Row],[FECHA PAGO / ABONO]]&lt;1,0,(YEAR(Tabla[[#This Row],[FECHA PAGO / ABONO]])))</f>
        <v>0</v>
      </c>
      <c r="AK285" s="41"/>
    </row>
    <row r="286" customFormat="false" ht="14.25" hidden="false" customHeight="false" outlineLevel="0" collapsed="false">
      <c r="A286" s="28" t="s">
        <v>78</v>
      </c>
      <c r="B286" s="29" t="s">
        <v>79</v>
      </c>
      <c r="C286" s="29" t="s">
        <v>69</v>
      </c>
      <c r="D286" s="21" t="n">
        <v>108617</v>
      </c>
      <c r="E286" s="21" t="str">
        <f aca="false">+CONCATENATE(Tabla[[#This Row],[RUT]],Tabla[[#This Row],[PROVEEDOR]],Tabla[[#This Row],[FACTURA]])</f>
        <v>96516560-6BIO BIO COMUNICACIONES S.A.108617</v>
      </c>
      <c r="F286" s="57" t="n">
        <v>46072</v>
      </c>
      <c r="G286" s="31" t="n">
        <f aca="false">+F286+30</f>
        <v>46102</v>
      </c>
      <c r="H286" s="29" t="n">
        <f aca="true">+IF(AE286="PAGADA",0,TODAY()-G286)</f>
        <v>102</v>
      </c>
      <c r="I286" s="29" t="str">
        <f aca="false">+IF(H286&gt;180,"Atrasada",IF(H286&gt;150,"150 dias",IF(H286&gt;120,"120 dias",IF(H286&gt;90,"90 dias",IF(H286&gt;60,"60 dias",IF(H286&gt;30,"30 dias","Al Día"))))))</f>
        <v>90 dias</v>
      </c>
      <c r="J286" s="32" t="s">
        <v>80</v>
      </c>
      <c r="K286" s="29" t="s">
        <v>81</v>
      </c>
      <c r="L286" s="33" t="s">
        <v>248</v>
      </c>
      <c r="M286" s="29" t="n">
        <f aca="false">+YEAR(F286)</f>
        <v>2026</v>
      </c>
      <c r="N286" s="29" t="n">
        <v>2026</v>
      </c>
      <c r="O286" s="29" t="n">
        <v>1</v>
      </c>
      <c r="P286" s="29" t="str">
        <f aca="false">+CONCATENATE(Tabla[[#This Row],[MES CAMPAÑA]],"/",Tabla[[#This Row],[AÑO CAMPAÑA]])</f>
        <v>1/2026</v>
      </c>
      <c r="Q286" s="29" t="s">
        <v>265</v>
      </c>
      <c r="R286" s="29"/>
      <c r="S286" s="34" t="n">
        <v>0</v>
      </c>
      <c r="T286" s="34" t="n">
        <v>226800</v>
      </c>
      <c r="U286" s="34" t="n">
        <v>43092</v>
      </c>
      <c r="V286" s="29"/>
      <c r="W286" s="35" t="n">
        <v>269892</v>
      </c>
      <c r="X286" s="36"/>
      <c r="Y286" s="37"/>
      <c r="Z286" s="37"/>
      <c r="AA286" s="37"/>
      <c r="AB286" s="38" t="n">
        <f aca="false">+W286-AC286</f>
        <v>269892</v>
      </c>
      <c r="AC286" s="34" t="n">
        <f aca="false">+Tabla[[#This Row],[P4]]+Tabla[[#This Row],[P3]]+Tabla[[#This Row],[P2]]+Tabla[[#This Row],[P1]]</f>
        <v>0</v>
      </c>
      <c r="AD286" s="34" t="n">
        <f aca="false">+W286-AC286</f>
        <v>269892</v>
      </c>
      <c r="AE286" s="21" t="str">
        <f aca="false">IF(AB286&lt;1,"PAGADA","PENDIENTE")</f>
        <v>PENDIENTE</v>
      </c>
      <c r="AF286" s="21"/>
      <c r="AG286" s="29"/>
      <c r="AH286" s="40"/>
      <c r="AI286" s="40" t="n">
        <f aca="false">+IF(Tabla[[#This Row],[FECHA PAGO / ABONO]]&lt;1,0,(MONTH(Tabla[[#This Row],[FECHA PAGO / ABONO]])))</f>
        <v>0</v>
      </c>
      <c r="AJ286" s="40" t="n">
        <f aca="false">+IF(Tabla[[#This Row],[FECHA PAGO / ABONO]]&lt;1,0,(YEAR(Tabla[[#This Row],[FECHA PAGO / ABONO]])))</f>
        <v>0</v>
      </c>
      <c r="AK286" s="41"/>
    </row>
    <row r="287" customFormat="false" ht="14.25" hidden="false" customHeight="false" outlineLevel="0" collapsed="false">
      <c r="A287" s="28" t="s">
        <v>78</v>
      </c>
      <c r="B287" s="29" t="s">
        <v>79</v>
      </c>
      <c r="C287" s="29" t="s">
        <v>69</v>
      </c>
      <c r="D287" s="21" t="n">
        <v>108618</v>
      </c>
      <c r="E287" s="21" t="str">
        <f aca="false">+CONCATENATE(Tabla[[#This Row],[RUT]],Tabla[[#This Row],[PROVEEDOR]],Tabla[[#This Row],[FACTURA]])</f>
        <v>96516560-6BIO BIO COMUNICACIONES S.A.108618</v>
      </c>
      <c r="F287" s="57" t="n">
        <v>46072</v>
      </c>
      <c r="G287" s="31" t="n">
        <f aca="false">+F287+30</f>
        <v>46102</v>
      </c>
      <c r="H287" s="29" t="n">
        <f aca="true">+IF(AE287="PAGADA",0,TODAY()-G287)</f>
        <v>102</v>
      </c>
      <c r="I287" s="29" t="str">
        <f aca="false">+IF(H287&gt;180,"Atrasada",IF(H287&gt;150,"150 dias",IF(H287&gt;120,"120 dias",IF(H287&gt;90,"90 dias",IF(H287&gt;60,"60 dias",IF(H287&gt;30,"30 dias","Al Día"))))))</f>
        <v>90 dias</v>
      </c>
      <c r="J287" s="32" t="s">
        <v>80</v>
      </c>
      <c r="K287" s="29" t="s">
        <v>81</v>
      </c>
      <c r="L287" s="33" t="s">
        <v>248</v>
      </c>
      <c r="M287" s="29" t="n">
        <f aca="false">+YEAR(F287)</f>
        <v>2026</v>
      </c>
      <c r="N287" s="29" t="n">
        <v>2026</v>
      </c>
      <c r="O287" s="29" t="n">
        <v>1</v>
      </c>
      <c r="P287" s="29" t="str">
        <f aca="false">+CONCATENATE(Tabla[[#This Row],[MES CAMPAÑA]],"/",Tabla[[#This Row],[AÑO CAMPAÑA]])</f>
        <v>1/2026</v>
      </c>
      <c r="Q287" s="29" t="s">
        <v>265</v>
      </c>
      <c r="R287" s="29"/>
      <c r="S287" s="34" t="n">
        <v>0</v>
      </c>
      <c r="T287" s="34" t="n">
        <v>504400</v>
      </c>
      <c r="U287" s="34" t="n">
        <v>95836</v>
      </c>
      <c r="V287" s="29"/>
      <c r="W287" s="35" t="n">
        <v>600236</v>
      </c>
      <c r="X287" s="36"/>
      <c r="Y287" s="37"/>
      <c r="Z287" s="37"/>
      <c r="AA287" s="37"/>
      <c r="AB287" s="38" t="n">
        <f aca="false">+W287-AC287</f>
        <v>600236</v>
      </c>
      <c r="AC287" s="34" t="n">
        <f aca="false">+Tabla[[#This Row],[P4]]+Tabla[[#This Row],[P3]]+Tabla[[#This Row],[P2]]+Tabla[[#This Row],[P1]]</f>
        <v>0</v>
      </c>
      <c r="AD287" s="34" t="n">
        <f aca="false">+W287-AC287</f>
        <v>600236</v>
      </c>
      <c r="AE287" s="21" t="str">
        <f aca="false">IF(AB287&lt;1,"PAGADA","PENDIENTE")</f>
        <v>PENDIENTE</v>
      </c>
      <c r="AF287" s="21"/>
      <c r="AG287" s="29"/>
      <c r="AH287" s="40"/>
      <c r="AI287" s="40" t="n">
        <f aca="false">+IF(Tabla[[#This Row],[FECHA PAGO / ABONO]]&lt;1,0,(MONTH(Tabla[[#This Row],[FECHA PAGO / ABONO]])))</f>
        <v>0</v>
      </c>
      <c r="AJ287" s="40" t="n">
        <f aca="false">+IF(Tabla[[#This Row],[FECHA PAGO / ABONO]]&lt;1,0,(YEAR(Tabla[[#This Row],[FECHA PAGO / ABONO]])))</f>
        <v>0</v>
      </c>
      <c r="AK287" s="41"/>
    </row>
    <row r="288" customFormat="false" ht="14.25" hidden="false" customHeight="false" outlineLevel="0" collapsed="false">
      <c r="A288" s="28" t="s">
        <v>78</v>
      </c>
      <c r="B288" s="29" t="s">
        <v>79</v>
      </c>
      <c r="C288" s="29" t="s">
        <v>69</v>
      </c>
      <c r="D288" s="21" t="n">
        <v>108619</v>
      </c>
      <c r="E288" s="21" t="str">
        <f aca="false">+CONCATENATE(Tabla[[#This Row],[RUT]],Tabla[[#This Row],[PROVEEDOR]],Tabla[[#This Row],[FACTURA]])</f>
        <v>96516560-6BIO BIO COMUNICACIONES S.A.108619</v>
      </c>
      <c r="F288" s="57" t="n">
        <v>46072</v>
      </c>
      <c r="G288" s="31" t="n">
        <f aca="false">+F288+30</f>
        <v>46102</v>
      </c>
      <c r="H288" s="29" t="n">
        <f aca="true">+IF(AE288="PAGADA",0,TODAY()-G288)</f>
        <v>102</v>
      </c>
      <c r="I288" s="29" t="str">
        <f aca="false">+IF(H288&gt;180,"Atrasada",IF(H288&gt;150,"150 dias",IF(H288&gt;120,"120 dias",IF(H288&gt;90,"90 dias",IF(H288&gt;60,"60 dias",IF(H288&gt;30,"30 dias","Al Día"))))))</f>
        <v>90 dias</v>
      </c>
      <c r="J288" s="32" t="s">
        <v>80</v>
      </c>
      <c r="K288" s="29" t="s">
        <v>81</v>
      </c>
      <c r="L288" s="33" t="s">
        <v>248</v>
      </c>
      <c r="M288" s="29" t="n">
        <f aca="false">+YEAR(F288)</f>
        <v>2026</v>
      </c>
      <c r="N288" s="29" t="n">
        <v>2026</v>
      </c>
      <c r="O288" s="29" t="n">
        <v>1</v>
      </c>
      <c r="P288" s="29" t="str">
        <f aca="false">+CONCATENATE(Tabla[[#This Row],[MES CAMPAÑA]],"/",Tabla[[#This Row],[AÑO CAMPAÑA]])</f>
        <v>1/2026</v>
      </c>
      <c r="Q288" s="29" t="s">
        <v>265</v>
      </c>
      <c r="R288" s="29"/>
      <c r="S288" s="34" t="n">
        <v>0</v>
      </c>
      <c r="T288" s="34" t="n">
        <v>208858</v>
      </c>
      <c r="U288" s="34" t="n">
        <v>39683</v>
      </c>
      <c r="V288" s="29"/>
      <c r="W288" s="35" t="n">
        <v>248541</v>
      </c>
      <c r="X288" s="36"/>
      <c r="Y288" s="37"/>
      <c r="Z288" s="37"/>
      <c r="AA288" s="37"/>
      <c r="AB288" s="38" t="n">
        <f aca="false">+W288-AC288</f>
        <v>248541</v>
      </c>
      <c r="AC288" s="34" t="n">
        <f aca="false">+Tabla[[#This Row],[P4]]+Tabla[[#This Row],[P3]]+Tabla[[#This Row],[P2]]+Tabla[[#This Row],[P1]]</f>
        <v>0</v>
      </c>
      <c r="AD288" s="34" t="n">
        <f aca="false">+W288-AC288</f>
        <v>248541</v>
      </c>
      <c r="AE288" s="21" t="str">
        <f aca="false">IF(AB288&lt;1,"PAGADA","PENDIENTE")</f>
        <v>PENDIENTE</v>
      </c>
      <c r="AF288" s="21"/>
      <c r="AG288" s="29"/>
      <c r="AH288" s="40"/>
      <c r="AI288" s="40" t="n">
        <f aca="false">+IF(Tabla[[#This Row],[FECHA PAGO / ABONO]]&lt;1,0,(MONTH(Tabla[[#This Row],[FECHA PAGO / ABONO]])))</f>
        <v>0</v>
      </c>
      <c r="AJ288" s="40" t="n">
        <f aca="false">+IF(Tabla[[#This Row],[FECHA PAGO / ABONO]]&lt;1,0,(YEAR(Tabla[[#This Row],[FECHA PAGO / ABONO]])))</f>
        <v>0</v>
      </c>
      <c r="AK288" s="41"/>
    </row>
    <row r="289" customFormat="false" ht="14.25" hidden="false" customHeight="false" outlineLevel="0" collapsed="false">
      <c r="A289" s="28" t="s">
        <v>78</v>
      </c>
      <c r="B289" s="29" t="s">
        <v>79</v>
      </c>
      <c r="C289" s="29" t="s">
        <v>69</v>
      </c>
      <c r="D289" s="21" t="n">
        <v>108620</v>
      </c>
      <c r="E289" s="21" t="str">
        <f aca="false">+CONCATENATE(Tabla[[#This Row],[RUT]],Tabla[[#This Row],[PROVEEDOR]],Tabla[[#This Row],[FACTURA]])</f>
        <v>96516560-6BIO BIO COMUNICACIONES S.A.108620</v>
      </c>
      <c r="F289" s="57" t="n">
        <v>46072</v>
      </c>
      <c r="G289" s="31" t="n">
        <f aca="false">+F289+30</f>
        <v>46102</v>
      </c>
      <c r="H289" s="29" t="n">
        <f aca="true">+IF(AE289="PAGADA",0,TODAY()-G289)</f>
        <v>102</v>
      </c>
      <c r="I289" s="29" t="str">
        <f aca="false">+IF(H289&gt;180,"Atrasada",IF(H289&gt;150,"150 dias",IF(H289&gt;120,"120 dias",IF(H289&gt;90,"90 dias",IF(H289&gt;60,"60 dias",IF(H289&gt;30,"30 dias","Al Día"))))))</f>
        <v>90 dias</v>
      </c>
      <c r="J289" s="32" t="s">
        <v>80</v>
      </c>
      <c r="K289" s="29" t="s">
        <v>81</v>
      </c>
      <c r="L289" s="33" t="s">
        <v>248</v>
      </c>
      <c r="M289" s="29" t="n">
        <f aca="false">+YEAR(F289)</f>
        <v>2026</v>
      </c>
      <c r="N289" s="29" t="n">
        <v>2026</v>
      </c>
      <c r="O289" s="29" t="n">
        <v>1</v>
      </c>
      <c r="P289" s="29" t="str">
        <f aca="false">+CONCATENATE(Tabla[[#This Row],[MES CAMPAÑA]],"/",Tabla[[#This Row],[AÑO CAMPAÑA]])</f>
        <v>1/2026</v>
      </c>
      <c r="Q289" s="29" t="s">
        <v>265</v>
      </c>
      <c r="R289" s="29"/>
      <c r="S289" s="34" t="n">
        <v>0</v>
      </c>
      <c r="T289" s="34" t="n">
        <v>388206</v>
      </c>
      <c r="U289" s="34" t="n">
        <v>73759</v>
      </c>
      <c r="V289" s="29"/>
      <c r="W289" s="35" t="n">
        <v>461965</v>
      </c>
      <c r="X289" s="36"/>
      <c r="Y289" s="37"/>
      <c r="Z289" s="37"/>
      <c r="AA289" s="37"/>
      <c r="AB289" s="38" t="n">
        <f aca="false">+W289-AC289</f>
        <v>461965</v>
      </c>
      <c r="AC289" s="34" t="n">
        <f aca="false">+Tabla[[#This Row],[P4]]+Tabla[[#This Row],[P3]]+Tabla[[#This Row],[P2]]+Tabla[[#This Row],[P1]]</f>
        <v>0</v>
      </c>
      <c r="AD289" s="34" t="n">
        <f aca="false">+W289-AC289</f>
        <v>461965</v>
      </c>
      <c r="AE289" s="21" t="str">
        <f aca="false">IF(AB289&lt;1,"PAGADA","PENDIENTE")</f>
        <v>PENDIENTE</v>
      </c>
      <c r="AF289" s="21"/>
      <c r="AG289" s="29"/>
      <c r="AH289" s="40"/>
      <c r="AI289" s="40" t="n">
        <f aca="false">+IF(Tabla[[#This Row],[FECHA PAGO / ABONO]]&lt;1,0,(MONTH(Tabla[[#This Row],[FECHA PAGO / ABONO]])))</f>
        <v>0</v>
      </c>
      <c r="AJ289" s="40" t="n">
        <f aca="false">+IF(Tabla[[#This Row],[FECHA PAGO / ABONO]]&lt;1,0,(YEAR(Tabla[[#This Row],[FECHA PAGO / ABONO]])))</f>
        <v>0</v>
      </c>
      <c r="AK289" s="41"/>
    </row>
    <row r="290" customFormat="false" ht="14.25" hidden="false" customHeight="false" outlineLevel="0" collapsed="false">
      <c r="A290" s="28" t="s">
        <v>197</v>
      </c>
      <c r="B290" s="29" t="s">
        <v>198</v>
      </c>
      <c r="C290" s="29" t="s">
        <v>69</v>
      </c>
      <c r="D290" s="21" t="n">
        <v>34126724</v>
      </c>
      <c r="E290" s="21" t="str">
        <f aca="false">+CONCATENATE(Tabla[[#This Row],[RUT]],Tabla[[#This Row],[PROVEEDOR]],Tabla[[#This Row],[FACTURA]])</f>
        <v>96800570-7ENEL DISTRIBUCIÃ“N CHILE S.A34126724</v>
      </c>
      <c r="F290" s="57" t="n">
        <v>46073</v>
      </c>
      <c r="G290" s="31" t="n">
        <f aca="false">+F290+30</f>
        <v>46103</v>
      </c>
      <c r="H290" s="29" t="n">
        <f aca="true">+IF(AE290="PAGADA",0,TODAY()-G290)</f>
        <v>0</v>
      </c>
      <c r="I290" s="29" t="str">
        <f aca="false">+IF(H290&gt;180,"Atrasada",IF(H290&gt;150,"150 dias",IF(H290&gt;120,"120 dias",IF(H290&gt;90,"90 dias",IF(H290&gt;60,"60 dias",IF(H290&gt;30,"30 dias","Al Día"))))))</f>
        <v>Al Día</v>
      </c>
      <c r="J290" s="32" t="s">
        <v>31</v>
      </c>
      <c r="K290" s="29" t="s">
        <v>81</v>
      </c>
      <c r="L290" s="33" t="s">
        <v>248</v>
      </c>
      <c r="M290" s="29" t="n">
        <f aca="false">+YEAR(F290)</f>
        <v>2026</v>
      </c>
      <c r="N290" s="29" t="n">
        <v>2026</v>
      </c>
      <c r="O290" s="29" t="n">
        <v>1</v>
      </c>
      <c r="P290" s="29" t="str">
        <f aca="false">+CONCATENATE(Tabla[[#This Row],[MES CAMPAÑA]],"/",Tabla[[#This Row],[AÑO CAMPAÑA]])</f>
        <v>1/2026</v>
      </c>
      <c r="Q290" s="29" t="s">
        <v>73</v>
      </c>
      <c r="R290" s="29"/>
      <c r="S290" s="34" t="n">
        <v>1886</v>
      </c>
      <c r="T290" s="34" t="n">
        <v>131883</v>
      </c>
      <c r="U290" s="34" t="n">
        <v>25058</v>
      </c>
      <c r="V290" s="29"/>
      <c r="W290" s="35" t="n">
        <v>158827</v>
      </c>
      <c r="X290" s="36" t="n">
        <f aca="false">+Tabla[[#This Row],[TOTAL]]</f>
        <v>158827</v>
      </c>
      <c r="Y290" s="37"/>
      <c r="Z290" s="37"/>
      <c r="AA290" s="37"/>
      <c r="AB290" s="38" t="n">
        <f aca="false">+W290-AC290</f>
        <v>0</v>
      </c>
      <c r="AC290" s="34" t="n">
        <f aca="false">+Tabla[[#This Row],[P4]]+Tabla[[#This Row],[P3]]+Tabla[[#This Row],[P2]]+Tabla[[#This Row],[P1]]</f>
        <v>158827</v>
      </c>
      <c r="AD290" s="34" t="n">
        <f aca="false">+W290-AC290</f>
        <v>0</v>
      </c>
      <c r="AE290" s="21" t="str">
        <f aca="false">IF(AB290&lt;1,"PAGADA","PENDIENTE")</f>
        <v>PAGADA</v>
      </c>
      <c r="AF290" s="21"/>
      <c r="AG290" s="29"/>
      <c r="AH290" s="40"/>
      <c r="AI290" s="40" t="n">
        <f aca="false">+IF(Tabla[[#This Row],[FECHA PAGO / ABONO]]&lt;1,0,(MONTH(Tabla[[#This Row],[FECHA PAGO / ABONO]])))</f>
        <v>0</v>
      </c>
      <c r="AJ290" s="40" t="n">
        <f aca="false">+IF(Tabla[[#This Row],[FECHA PAGO / ABONO]]&lt;1,0,(YEAR(Tabla[[#This Row],[FECHA PAGO / ABONO]])))</f>
        <v>0</v>
      </c>
      <c r="AK290" s="41"/>
    </row>
    <row r="291" customFormat="false" ht="14.25" hidden="false" customHeight="false" outlineLevel="0" collapsed="false">
      <c r="A291" s="28" t="s">
        <v>185</v>
      </c>
      <c r="B291" s="29" t="s">
        <v>186</v>
      </c>
      <c r="C291" s="29" t="s">
        <v>69</v>
      </c>
      <c r="D291" s="21" t="n">
        <v>138857</v>
      </c>
      <c r="E291" s="21" t="str">
        <f aca="false">+CONCATENATE(Tabla[[#This Row],[RUT]],Tabla[[#This Row],[PROVEEDOR]],Tabla[[#This Row],[FACTURA]])</f>
        <v>79947310-0PRISA MEDIA CHILE S.A.138857</v>
      </c>
      <c r="F291" s="57" t="n">
        <v>46073</v>
      </c>
      <c r="G291" s="31" t="n">
        <f aca="false">+F291+30</f>
        <v>46103</v>
      </c>
      <c r="H291" s="29" t="n">
        <f aca="true">+IF(AE291="PAGADA",0,TODAY()-G291)</f>
        <v>101</v>
      </c>
      <c r="I291" s="29" t="str">
        <f aca="false">+IF(H291&gt;180,"Atrasada",IF(H291&gt;150,"150 dias",IF(H291&gt;120,"120 dias",IF(H291&gt;90,"90 dias",IF(H291&gt;60,"60 dias",IF(H291&gt;30,"30 dias","Al Día"))))))</f>
        <v>90 dias</v>
      </c>
      <c r="J291" s="32" t="s">
        <v>80</v>
      </c>
      <c r="K291" s="29" t="s">
        <v>81</v>
      </c>
      <c r="L291" s="33" t="s">
        <v>248</v>
      </c>
      <c r="M291" s="29" t="n">
        <f aca="false">+YEAR(F291)</f>
        <v>2026</v>
      </c>
      <c r="N291" s="29" t="n">
        <v>2026</v>
      </c>
      <c r="O291" s="29" t="n">
        <v>1</v>
      </c>
      <c r="P291" s="29" t="str">
        <f aca="false">+CONCATENATE(Tabla[[#This Row],[MES CAMPAÑA]],"/",Tabla[[#This Row],[AÑO CAMPAÑA]])</f>
        <v>1/2026</v>
      </c>
      <c r="Q291" s="29" t="s">
        <v>123</v>
      </c>
      <c r="R291" s="29"/>
      <c r="S291" s="34" t="n">
        <v>0</v>
      </c>
      <c r="T291" s="34" t="n">
        <v>2280000</v>
      </c>
      <c r="U291" s="34" t="n">
        <v>433200</v>
      </c>
      <c r="V291" s="29"/>
      <c r="W291" s="35" t="n">
        <v>2713200</v>
      </c>
      <c r="X291" s="36"/>
      <c r="Y291" s="37"/>
      <c r="Z291" s="37"/>
      <c r="AA291" s="37"/>
      <c r="AB291" s="38" t="n">
        <f aca="false">+W291-AC291</f>
        <v>2713200</v>
      </c>
      <c r="AC291" s="34" t="n">
        <f aca="false">+Tabla[[#This Row],[P4]]+Tabla[[#This Row],[P3]]+Tabla[[#This Row],[P2]]+Tabla[[#This Row],[P1]]</f>
        <v>0</v>
      </c>
      <c r="AD291" s="34" t="n">
        <f aca="false">+W291-AC291</f>
        <v>2713200</v>
      </c>
      <c r="AE291" s="21" t="str">
        <f aca="false">IF(AB291&lt;1,"PAGADA","PENDIENTE")</f>
        <v>PENDIENTE</v>
      </c>
      <c r="AF291" s="21"/>
      <c r="AG291" s="29"/>
      <c r="AH291" s="40"/>
      <c r="AI291" s="40" t="n">
        <f aca="false">+IF(Tabla[[#This Row],[FECHA PAGO / ABONO]]&lt;1,0,(MONTH(Tabla[[#This Row],[FECHA PAGO / ABONO]])))</f>
        <v>0</v>
      </c>
      <c r="AJ291" s="40" t="n">
        <f aca="false">+IF(Tabla[[#This Row],[FECHA PAGO / ABONO]]&lt;1,0,(YEAR(Tabla[[#This Row],[FECHA PAGO / ABONO]])))</f>
        <v>0</v>
      </c>
      <c r="AK291" s="41"/>
    </row>
    <row r="292" customFormat="false" ht="14.25" hidden="false" customHeight="false" outlineLevel="0" collapsed="false">
      <c r="A292" s="28" t="s">
        <v>185</v>
      </c>
      <c r="B292" s="29" t="s">
        <v>186</v>
      </c>
      <c r="C292" s="29" t="s">
        <v>69</v>
      </c>
      <c r="D292" s="21" t="n">
        <v>138858</v>
      </c>
      <c r="E292" s="21" t="str">
        <f aca="false">+CONCATENATE(Tabla[[#This Row],[RUT]],Tabla[[#This Row],[PROVEEDOR]],Tabla[[#This Row],[FACTURA]])</f>
        <v>79947310-0PRISA MEDIA CHILE S.A.138858</v>
      </c>
      <c r="F292" s="57" t="n">
        <v>46073</v>
      </c>
      <c r="G292" s="31" t="n">
        <f aca="false">+F292+30</f>
        <v>46103</v>
      </c>
      <c r="H292" s="29" t="n">
        <f aca="true">+IF(AE292="PAGADA",0,TODAY()-G292)</f>
        <v>101</v>
      </c>
      <c r="I292" s="29" t="str">
        <f aca="false">+IF(H292&gt;180,"Atrasada",IF(H292&gt;150,"150 dias",IF(H292&gt;120,"120 dias",IF(H292&gt;90,"90 dias",IF(H292&gt;60,"60 dias",IF(H292&gt;30,"30 dias","Al Día"))))))</f>
        <v>90 dias</v>
      </c>
      <c r="J292" s="32" t="s">
        <v>80</v>
      </c>
      <c r="K292" s="29" t="s">
        <v>81</v>
      </c>
      <c r="L292" s="33" t="s">
        <v>248</v>
      </c>
      <c r="M292" s="29" t="n">
        <f aca="false">+YEAR(F292)</f>
        <v>2026</v>
      </c>
      <c r="N292" s="29" t="n">
        <v>2026</v>
      </c>
      <c r="O292" s="29" t="n">
        <v>1</v>
      </c>
      <c r="P292" s="29" t="str">
        <f aca="false">+CONCATENATE(Tabla[[#This Row],[MES CAMPAÑA]],"/",Tabla[[#This Row],[AÑO CAMPAÑA]])</f>
        <v>1/2026</v>
      </c>
      <c r="Q292" s="29" t="s">
        <v>123</v>
      </c>
      <c r="R292" s="29"/>
      <c r="S292" s="34" t="n">
        <v>0</v>
      </c>
      <c r="T292" s="34" t="n">
        <v>3120000</v>
      </c>
      <c r="U292" s="34" t="n">
        <v>592800</v>
      </c>
      <c r="V292" s="29"/>
      <c r="W292" s="35" t="n">
        <v>3712800</v>
      </c>
      <c r="X292" s="36"/>
      <c r="Y292" s="37"/>
      <c r="Z292" s="37"/>
      <c r="AA292" s="37"/>
      <c r="AB292" s="38" t="n">
        <f aca="false">+W292-AC292</f>
        <v>3712800</v>
      </c>
      <c r="AC292" s="34" t="n">
        <f aca="false">+Tabla[[#This Row],[P4]]+Tabla[[#This Row],[P3]]+Tabla[[#This Row],[P2]]+Tabla[[#This Row],[P1]]</f>
        <v>0</v>
      </c>
      <c r="AD292" s="34" t="n">
        <f aca="false">+W292-AC292</f>
        <v>3712800</v>
      </c>
      <c r="AE292" s="21" t="str">
        <f aca="false">IF(AB292&lt;1,"PAGADA","PENDIENTE")</f>
        <v>PENDIENTE</v>
      </c>
      <c r="AF292" s="21"/>
      <c r="AG292" s="29"/>
      <c r="AH292" s="40"/>
      <c r="AI292" s="40" t="n">
        <f aca="false">+IF(Tabla[[#This Row],[FECHA PAGO / ABONO]]&lt;1,0,(MONTH(Tabla[[#This Row],[FECHA PAGO / ABONO]])))</f>
        <v>0</v>
      </c>
      <c r="AJ292" s="40" t="n">
        <f aca="false">+IF(Tabla[[#This Row],[FECHA PAGO / ABONO]]&lt;1,0,(YEAR(Tabla[[#This Row],[FECHA PAGO / ABONO]])))</f>
        <v>0</v>
      </c>
      <c r="AK292" s="41"/>
    </row>
    <row r="293" customFormat="false" ht="14.25" hidden="false" customHeight="false" outlineLevel="0" collapsed="false">
      <c r="A293" s="28" t="s">
        <v>185</v>
      </c>
      <c r="B293" s="29" t="s">
        <v>186</v>
      </c>
      <c r="C293" s="29" t="s">
        <v>69</v>
      </c>
      <c r="D293" s="21" t="n">
        <v>138862</v>
      </c>
      <c r="E293" s="21" t="str">
        <f aca="false">+CONCATENATE(Tabla[[#This Row],[RUT]],Tabla[[#This Row],[PROVEEDOR]],Tabla[[#This Row],[FACTURA]])</f>
        <v>79947310-0PRISA MEDIA CHILE S.A.138862</v>
      </c>
      <c r="F293" s="57" t="n">
        <v>46073</v>
      </c>
      <c r="G293" s="31" t="n">
        <f aca="false">+F293+30</f>
        <v>46103</v>
      </c>
      <c r="H293" s="29" t="n">
        <f aca="true">+IF(AE293="PAGADA",0,TODAY()-G293)</f>
        <v>101</v>
      </c>
      <c r="I293" s="29" t="str">
        <f aca="false">+IF(H293&gt;180,"Atrasada",IF(H293&gt;150,"150 dias",IF(H293&gt;120,"120 dias",IF(H293&gt;90,"90 dias",IF(H293&gt;60,"60 dias",IF(H293&gt;30,"30 dias","Al Día"))))))</f>
        <v>90 dias</v>
      </c>
      <c r="J293" s="32" t="s">
        <v>80</v>
      </c>
      <c r="K293" s="29" t="s">
        <v>81</v>
      </c>
      <c r="L293" s="33" t="s">
        <v>248</v>
      </c>
      <c r="M293" s="29" t="n">
        <f aca="false">+YEAR(F293)</f>
        <v>2026</v>
      </c>
      <c r="N293" s="29" t="n">
        <v>2026</v>
      </c>
      <c r="O293" s="29" t="n">
        <v>1</v>
      </c>
      <c r="P293" s="29" t="str">
        <f aca="false">+CONCATENATE(Tabla[[#This Row],[MES CAMPAÑA]],"/",Tabla[[#This Row],[AÑO CAMPAÑA]])</f>
        <v>1/2026</v>
      </c>
      <c r="Q293" s="29" t="s">
        <v>111</v>
      </c>
      <c r="R293" s="29"/>
      <c r="S293" s="34" t="n">
        <v>0</v>
      </c>
      <c r="T293" s="34" t="n">
        <v>3400000</v>
      </c>
      <c r="U293" s="34" t="n">
        <v>646000</v>
      </c>
      <c r="V293" s="29"/>
      <c r="W293" s="35" t="n">
        <v>4046000</v>
      </c>
      <c r="X293" s="36"/>
      <c r="Y293" s="37"/>
      <c r="Z293" s="37"/>
      <c r="AA293" s="37"/>
      <c r="AB293" s="38" t="n">
        <f aca="false">+W293-AC293</f>
        <v>4046000</v>
      </c>
      <c r="AC293" s="34" t="n">
        <f aca="false">+Tabla[[#This Row],[P4]]+Tabla[[#This Row],[P3]]+Tabla[[#This Row],[P2]]+Tabla[[#This Row],[P1]]</f>
        <v>0</v>
      </c>
      <c r="AD293" s="34" t="n">
        <f aca="false">+W293-AC293</f>
        <v>4046000</v>
      </c>
      <c r="AE293" s="21" t="str">
        <f aca="false">IF(AB293&lt;1,"PAGADA","PENDIENTE")</f>
        <v>PENDIENTE</v>
      </c>
      <c r="AF293" s="21"/>
      <c r="AG293" s="29"/>
      <c r="AH293" s="40"/>
      <c r="AI293" s="40" t="n">
        <f aca="false">+IF(Tabla[[#This Row],[FECHA PAGO / ABONO]]&lt;1,0,(MONTH(Tabla[[#This Row],[FECHA PAGO / ABONO]])))</f>
        <v>0</v>
      </c>
      <c r="AJ293" s="40" t="n">
        <f aca="false">+IF(Tabla[[#This Row],[FECHA PAGO / ABONO]]&lt;1,0,(YEAR(Tabla[[#This Row],[FECHA PAGO / ABONO]])))</f>
        <v>0</v>
      </c>
      <c r="AK293" s="41"/>
    </row>
    <row r="294" customFormat="false" ht="14.25" hidden="false" customHeight="false" outlineLevel="0" collapsed="false">
      <c r="A294" s="28" t="s">
        <v>185</v>
      </c>
      <c r="B294" s="29" t="s">
        <v>186</v>
      </c>
      <c r="C294" s="29" t="s">
        <v>69</v>
      </c>
      <c r="D294" s="21" t="n">
        <v>138859</v>
      </c>
      <c r="E294" s="21" t="str">
        <f aca="false">+CONCATENATE(Tabla[[#This Row],[RUT]],Tabla[[#This Row],[PROVEEDOR]],Tabla[[#This Row],[FACTURA]])</f>
        <v>79947310-0PRISA MEDIA CHILE S.A.138859</v>
      </c>
      <c r="F294" s="57" t="n">
        <v>46073</v>
      </c>
      <c r="G294" s="31" t="n">
        <f aca="false">+F294+30</f>
        <v>46103</v>
      </c>
      <c r="H294" s="29" t="n">
        <f aca="true">+IF(AE294="PAGADA",0,TODAY()-G294)</f>
        <v>101</v>
      </c>
      <c r="I294" s="29" t="str">
        <f aca="false">+IF(H294&gt;180,"Atrasada",IF(H294&gt;150,"150 dias",IF(H294&gt;120,"120 dias",IF(H294&gt;90,"90 dias",IF(H294&gt;60,"60 dias",IF(H294&gt;30,"30 dias","Al Día"))))))</f>
        <v>90 dias</v>
      </c>
      <c r="J294" s="32" t="s">
        <v>80</v>
      </c>
      <c r="K294" s="29" t="s">
        <v>81</v>
      </c>
      <c r="L294" s="33" t="s">
        <v>248</v>
      </c>
      <c r="M294" s="29" t="n">
        <f aca="false">+YEAR(F294)</f>
        <v>2026</v>
      </c>
      <c r="N294" s="29" t="n">
        <v>2026</v>
      </c>
      <c r="O294" s="29" t="n">
        <v>1</v>
      </c>
      <c r="P294" s="29" t="str">
        <f aca="false">+CONCATENATE(Tabla[[#This Row],[MES CAMPAÑA]],"/",Tabla[[#This Row],[AÑO CAMPAÑA]])</f>
        <v>1/2026</v>
      </c>
      <c r="Q294" s="29" t="s">
        <v>123</v>
      </c>
      <c r="R294" s="29"/>
      <c r="S294" s="34" t="n">
        <v>0</v>
      </c>
      <c r="T294" s="34" t="n">
        <v>3120000</v>
      </c>
      <c r="U294" s="34" t="n">
        <v>592800</v>
      </c>
      <c r="V294" s="29"/>
      <c r="W294" s="35" t="n">
        <v>3712800</v>
      </c>
      <c r="X294" s="36"/>
      <c r="Y294" s="37"/>
      <c r="Z294" s="37"/>
      <c r="AA294" s="37"/>
      <c r="AB294" s="38" t="n">
        <f aca="false">+W294-AC294</f>
        <v>3712800</v>
      </c>
      <c r="AC294" s="34" t="n">
        <f aca="false">+Tabla[[#This Row],[P4]]+Tabla[[#This Row],[P3]]+Tabla[[#This Row],[P2]]+Tabla[[#This Row],[P1]]</f>
        <v>0</v>
      </c>
      <c r="AD294" s="34" t="n">
        <f aca="false">+W294-AC294</f>
        <v>3712800</v>
      </c>
      <c r="AE294" s="21" t="str">
        <f aca="false">IF(AB294&lt;1,"PAGADA","PENDIENTE")</f>
        <v>PENDIENTE</v>
      </c>
      <c r="AF294" s="21"/>
      <c r="AG294" s="29"/>
      <c r="AH294" s="40"/>
      <c r="AI294" s="40" t="n">
        <f aca="false">+IF(Tabla[[#This Row],[FECHA PAGO / ABONO]]&lt;1,0,(MONTH(Tabla[[#This Row],[FECHA PAGO / ABONO]])))</f>
        <v>0</v>
      </c>
      <c r="AJ294" s="40" t="n">
        <f aca="false">+IF(Tabla[[#This Row],[FECHA PAGO / ABONO]]&lt;1,0,(YEAR(Tabla[[#This Row],[FECHA PAGO / ABONO]])))</f>
        <v>0</v>
      </c>
      <c r="AK294" s="41"/>
    </row>
    <row r="295" customFormat="false" ht="14.25" hidden="false" customHeight="false" outlineLevel="0" collapsed="false">
      <c r="A295" s="28" t="s">
        <v>185</v>
      </c>
      <c r="B295" s="29" t="s">
        <v>186</v>
      </c>
      <c r="C295" s="29" t="s">
        <v>69</v>
      </c>
      <c r="D295" s="21" t="n">
        <v>138860</v>
      </c>
      <c r="E295" s="21" t="str">
        <f aca="false">+CONCATENATE(Tabla[[#This Row],[RUT]],Tabla[[#This Row],[PROVEEDOR]],Tabla[[#This Row],[FACTURA]])</f>
        <v>79947310-0PRISA MEDIA CHILE S.A.138860</v>
      </c>
      <c r="F295" s="57" t="n">
        <v>46073</v>
      </c>
      <c r="G295" s="31" t="n">
        <f aca="false">+F295+30</f>
        <v>46103</v>
      </c>
      <c r="H295" s="29" t="n">
        <f aca="true">+IF(AE295="PAGADA",0,TODAY()-G295)</f>
        <v>101</v>
      </c>
      <c r="I295" s="29" t="str">
        <f aca="false">+IF(H295&gt;180,"Atrasada",IF(H295&gt;150,"150 dias",IF(H295&gt;120,"120 dias",IF(H295&gt;90,"90 dias",IF(H295&gt;60,"60 dias",IF(H295&gt;30,"30 dias","Al Día"))))))</f>
        <v>90 dias</v>
      </c>
      <c r="J295" s="32" t="s">
        <v>80</v>
      </c>
      <c r="K295" s="29" t="s">
        <v>81</v>
      </c>
      <c r="L295" s="33" t="s">
        <v>248</v>
      </c>
      <c r="M295" s="29" t="n">
        <f aca="false">+YEAR(F295)</f>
        <v>2026</v>
      </c>
      <c r="N295" s="29" t="n">
        <v>2026</v>
      </c>
      <c r="O295" s="29" t="n">
        <v>1</v>
      </c>
      <c r="P295" s="29" t="str">
        <f aca="false">+CONCATENATE(Tabla[[#This Row],[MES CAMPAÑA]],"/",Tabla[[#This Row],[AÑO CAMPAÑA]])</f>
        <v>1/2026</v>
      </c>
      <c r="Q295" s="29" t="s">
        <v>105</v>
      </c>
      <c r="R295" s="29"/>
      <c r="S295" s="34" t="n">
        <v>0</v>
      </c>
      <c r="T295" s="34" t="n">
        <v>5775000</v>
      </c>
      <c r="U295" s="34" t="n">
        <v>1097250</v>
      </c>
      <c r="V295" s="29"/>
      <c r="W295" s="35" t="n">
        <v>6872250</v>
      </c>
      <c r="X295" s="36"/>
      <c r="Y295" s="37"/>
      <c r="Z295" s="37"/>
      <c r="AA295" s="37"/>
      <c r="AB295" s="38" t="n">
        <f aca="false">+W295-AC295</f>
        <v>6872250</v>
      </c>
      <c r="AC295" s="34" t="n">
        <f aca="false">+Tabla[[#This Row],[P4]]+Tabla[[#This Row],[P3]]+Tabla[[#This Row],[P2]]+Tabla[[#This Row],[P1]]</f>
        <v>0</v>
      </c>
      <c r="AD295" s="34" t="n">
        <f aca="false">+W295-AC295</f>
        <v>6872250</v>
      </c>
      <c r="AE295" s="21" t="str">
        <f aca="false">IF(AB295&lt;1,"PAGADA","PENDIENTE")</f>
        <v>PENDIENTE</v>
      </c>
      <c r="AF295" s="21"/>
      <c r="AG295" s="29"/>
      <c r="AH295" s="40"/>
      <c r="AI295" s="40" t="n">
        <f aca="false">+IF(Tabla[[#This Row],[FECHA PAGO / ABONO]]&lt;1,0,(MONTH(Tabla[[#This Row],[FECHA PAGO / ABONO]])))</f>
        <v>0</v>
      </c>
      <c r="AJ295" s="40" t="n">
        <f aca="false">+IF(Tabla[[#This Row],[FECHA PAGO / ABONO]]&lt;1,0,(YEAR(Tabla[[#This Row],[FECHA PAGO / ABONO]])))</f>
        <v>0</v>
      </c>
      <c r="AK295" s="41"/>
    </row>
    <row r="296" customFormat="false" ht="14.25" hidden="false" customHeight="false" outlineLevel="0" collapsed="false">
      <c r="A296" s="28" t="s">
        <v>185</v>
      </c>
      <c r="B296" s="29" t="s">
        <v>186</v>
      </c>
      <c r="C296" s="29" t="s">
        <v>69</v>
      </c>
      <c r="D296" s="21" t="n">
        <v>138861</v>
      </c>
      <c r="E296" s="21" t="str">
        <f aca="false">+CONCATENATE(Tabla[[#This Row],[RUT]],Tabla[[#This Row],[PROVEEDOR]],Tabla[[#This Row],[FACTURA]])</f>
        <v>79947310-0PRISA MEDIA CHILE S.A.138861</v>
      </c>
      <c r="F296" s="57" t="n">
        <v>46073</v>
      </c>
      <c r="G296" s="31" t="n">
        <f aca="false">+F296+30</f>
        <v>46103</v>
      </c>
      <c r="H296" s="29" t="n">
        <f aca="true">+IF(AE296="PAGADA",0,TODAY()-G296)</f>
        <v>101</v>
      </c>
      <c r="I296" s="29" t="str">
        <f aca="false">+IF(H296&gt;180,"Atrasada",IF(H296&gt;150,"150 dias",IF(H296&gt;120,"120 dias",IF(H296&gt;90,"90 dias",IF(H296&gt;60,"60 dias",IF(H296&gt;30,"30 dias","Al Día"))))))</f>
        <v>90 dias</v>
      </c>
      <c r="J296" s="32" t="s">
        <v>80</v>
      </c>
      <c r="K296" s="29" t="s">
        <v>81</v>
      </c>
      <c r="L296" s="33" t="s">
        <v>248</v>
      </c>
      <c r="M296" s="29" t="n">
        <f aca="false">+YEAR(F296)</f>
        <v>2026</v>
      </c>
      <c r="N296" s="29" t="n">
        <v>2026</v>
      </c>
      <c r="O296" s="29" t="n">
        <v>1</v>
      </c>
      <c r="P296" s="29" t="str">
        <f aca="false">+CONCATENATE(Tabla[[#This Row],[MES CAMPAÑA]],"/",Tabla[[#This Row],[AÑO CAMPAÑA]])</f>
        <v>1/2026</v>
      </c>
      <c r="Q296" s="29" t="s">
        <v>105</v>
      </c>
      <c r="R296" s="29"/>
      <c r="S296" s="34" t="n">
        <v>0</v>
      </c>
      <c r="T296" s="34" t="n">
        <v>6060000</v>
      </c>
      <c r="U296" s="34" t="n">
        <v>1151400</v>
      </c>
      <c r="V296" s="29"/>
      <c r="W296" s="35" t="n">
        <v>7211400</v>
      </c>
      <c r="X296" s="36"/>
      <c r="Y296" s="37"/>
      <c r="Z296" s="37"/>
      <c r="AA296" s="37"/>
      <c r="AB296" s="38" t="n">
        <f aca="false">+W296-AC296</f>
        <v>7211400</v>
      </c>
      <c r="AC296" s="34" t="n">
        <f aca="false">+Tabla[[#This Row],[P4]]+Tabla[[#This Row],[P3]]+Tabla[[#This Row],[P2]]+Tabla[[#This Row],[P1]]</f>
        <v>0</v>
      </c>
      <c r="AD296" s="34" t="n">
        <f aca="false">+W296-AC296</f>
        <v>7211400</v>
      </c>
      <c r="AE296" s="21" t="str">
        <f aca="false">IF(AB296&lt;1,"PAGADA","PENDIENTE")</f>
        <v>PENDIENTE</v>
      </c>
      <c r="AF296" s="21"/>
      <c r="AG296" s="29"/>
      <c r="AH296" s="40"/>
      <c r="AI296" s="40" t="n">
        <f aca="false">+IF(Tabla[[#This Row],[FECHA PAGO / ABONO]]&lt;1,0,(MONTH(Tabla[[#This Row],[FECHA PAGO / ABONO]])))</f>
        <v>0</v>
      </c>
      <c r="AJ296" s="40" t="n">
        <f aca="false">+IF(Tabla[[#This Row],[FECHA PAGO / ABONO]]&lt;1,0,(YEAR(Tabla[[#This Row],[FECHA PAGO / ABONO]])))</f>
        <v>0</v>
      </c>
      <c r="AK296" s="41"/>
    </row>
    <row r="297" customFormat="false" ht="14.25" hidden="false" customHeight="false" outlineLevel="0" collapsed="false">
      <c r="A297" s="28" t="s">
        <v>210</v>
      </c>
      <c r="B297" s="29" t="s">
        <v>211</v>
      </c>
      <c r="C297" s="29" t="s">
        <v>69</v>
      </c>
      <c r="D297" s="21" t="n">
        <v>40095</v>
      </c>
      <c r="E297" s="21" t="str">
        <f aca="false">+CONCATENATE(Tabla[[#This Row],[RUT]],Tabla[[#This Row],[PROVEEDOR]],Tabla[[#This Row],[FACTURA]])</f>
        <v>78794060-9MEGAMEDIA RADIO S.A.40095</v>
      </c>
      <c r="F297" s="57" t="n">
        <v>46076</v>
      </c>
      <c r="G297" s="31" t="n">
        <f aca="false">+F297+30</f>
        <v>46106</v>
      </c>
      <c r="H297" s="29" t="n">
        <f aca="true">+IF(AE297="PAGADA",0,TODAY()-G297)</f>
        <v>98</v>
      </c>
      <c r="I297" s="29" t="str">
        <f aca="false">+IF(H297&gt;180,"Atrasada",IF(H297&gt;150,"150 dias",IF(H297&gt;120,"120 dias",IF(H297&gt;90,"90 dias",IF(H297&gt;60,"60 dias",IF(H297&gt;30,"30 dias","Al Día"))))))</f>
        <v>90 dias</v>
      </c>
      <c r="J297" s="32" t="s">
        <v>80</v>
      </c>
      <c r="K297" s="29" t="s">
        <v>81</v>
      </c>
      <c r="L297" s="33" t="s">
        <v>248</v>
      </c>
      <c r="M297" s="29" t="n">
        <f aca="false">+YEAR(F297)</f>
        <v>2026</v>
      </c>
      <c r="N297" s="29" t="n">
        <v>2026</v>
      </c>
      <c r="O297" s="29" t="n">
        <v>1</v>
      </c>
      <c r="P297" s="29" t="str">
        <f aca="false">+CONCATENATE(Tabla[[#This Row],[MES CAMPAÑA]],"/",Tabla[[#This Row],[AÑO CAMPAÑA]])</f>
        <v>1/2026</v>
      </c>
      <c r="Q297" s="29" t="s">
        <v>212</v>
      </c>
      <c r="R297" s="29"/>
      <c r="S297" s="34" t="n">
        <v>0</v>
      </c>
      <c r="T297" s="34" t="n">
        <v>2585000</v>
      </c>
      <c r="U297" s="34" t="n">
        <v>491150</v>
      </c>
      <c r="V297" s="29"/>
      <c r="W297" s="35" t="n">
        <v>3076150</v>
      </c>
      <c r="X297" s="36"/>
      <c r="Y297" s="37"/>
      <c r="Z297" s="37"/>
      <c r="AA297" s="37"/>
      <c r="AB297" s="38" t="n">
        <f aca="false">+W297-AC297</f>
        <v>3076150</v>
      </c>
      <c r="AC297" s="34" t="n">
        <f aca="false">+Tabla[[#This Row],[P4]]+Tabla[[#This Row],[P3]]+Tabla[[#This Row],[P2]]+Tabla[[#This Row],[P1]]</f>
        <v>0</v>
      </c>
      <c r="AD297" s="34" t="n">
        <f aca="false">+W297-AC297</f>
        <v>3076150</v>
      </c>
      <c r="AE297" s="21" t="str">
        <f aca="false">IF(AB297&lt;1,"PAGADA","PENDIENTE")</f>
        <v>PENDIENTE</v>
      </c>
      <c r="AF297" s="21"/>
      <c r="AG297" s="29"/>
      <c r="AH297" s="40"/>
      <c r="AI297" s="40" t="n">
        <f aca="false">+IF(Tabla[[#This Row],[FECHA PAGO / ABONO]]&lt;1,0,(MONTH(Tabla[[#This Row],[FECHA PAGO / ABONO]])))</f>
        <v>0</v>
      </c>
      <c r="AJ297" s="40" t="n">
        <f aca="false">+IF(Tabla[[#This Row],[FECHA PAGO / ABONO]]&lt;1,0,(YEAR(Tabla[[#This Row],[FECHA PAGO / ABONO]])))</f>
        <v>0</v>
      </c>
      <c r="AK297" s="41"/>
    </row>
    <row r="298" customFormat="false" ht="14.25" hidden="false" customHeight="false" outlineLevel="0" collapsed="false">
      <c r="A298" s="28" t="s">
        <v>217</v>
      </c>
      <c r="B298" s="29" t="s">
        <v>218</v>
      </c>
      <c r="C298" s="29" t="s">
        <v>69</v>
      </c>
      <c r="D298" s="21" t="n">
        <v>18477</v>
      </c>
      <c r="E298" s="21" t="str">
        <f aca="false">+CONCATENATE(Tabla[[#This Row],[RUT]],Tabla[[#This Row],[PROVEEDOR]],Tabla[[#This Row],[FACTURA]])</f>
        <v>76058347-2COMERCIALIZADORA GC SA18477</v>
      </c>
      <c r="F298" s="57" t="n">
        <v>46076</v>
      </c>
      <c r="G298" s="31" t="n">
        <f aca="false">+F298+30</f>
        <v>46106</v>
      </c>
      <c r="H298" s="29" t="n">
        <f aca="true">+IF(AE298="PAGADA",0,TODAY()-G298)</f>
        <v>0</v>
      </c>
      <c r="I298" s="29" t="str">
        <f aca="false">+IF(H298&gt;180,"Atrasada",IF(H298&gt;150,"150 dias",IF(H298&gt;120,"120 dias",IF(H298&gt;90,"90 dias",IF(H298&gt;60,"60 dias",IF(H298&gt;30,"30 dias","Al Día"))))))</f>
        <v>Al Día</v>
      </c>
      <c r="J298" s="32" t="s">
        <v>80</v>
      </c>
      <c r="K298" s="29" t="s">
        <v>81</v>
      </c>
      <c r="L298" s="33" t="s">
        <v>248</v>
      </c>
      <c r="M298" s="29" t="n">
        <f aca="false">+YEAR(F298)</f>
        <v>2026</v>
      </c>
      <c r="N298" s="29" t="n">
        <v>2026</v>
      </c>
      <c r="O298" s="29" t="n">
        <v>1</v>
      </c>
      <c r="P298" s="29" t="str">
        <f aca="false">+CONCATENATE(Tabla[[#This Row],[MES CAMPAÑA]],"/",Tabla[[#This Row],[AÑO CAMPAÑA]])</f>
        <v>1/2026</v>
      </c>
      <c r="Q298" s="29" t="s">
        <v>161</v>
      </c>
      <c r="R298" s="29"/>
      <c r="S298" s="34" t="n">
        <v>0</v>
      </c>
      <c r="T298" s="34" t="n">
        <v>583333</v>
      </c>
      <c r="U298" s="34" t="n">
        <v>110833</v>
      </c>
      <c r="V298" s="29"/>
      <c r="W298" s="35" t="n">
        <v>694166</v>
      </c>
      <c r="X298" s="36" t="n">
        <f aca="false">+Tabla[[#This Row],[TOTAL]]</f>
        <v>694166</v>
      </c>
      <c r="Y298" s="37"/>
      <c r="Z298" s="37"/>
      <c r="AA298" s="37"/>
      <c r="AB298" s="38" t="n">
        <f aca="false">+W298-AC298</f>
        <v>0</v>
      </c>
      <c r="AC298" s="34" t="n">
        <f aca="false">+Tabla[[#This Row],[P4]]+Tabla[[#This Row],[P3]]+Tabla[[#This Row],[P2]]+Tabla[[#This Row],[P1]]</f>
        <v>694166</v>
      </c>
      <c r="AD298" s="34" t="n">
        <f aca="false">+W298-AC298</f>
        <v>0</v>
      </c>
      <c r="AE298" s="21" t="str">
        <f aca="false">IF(AB298&lt;1,"PAGADA","PENDIENTE")</f>
        <v>PAGADA</v>
      </c>
      <c r="AF298" s="21" t="s">
        <v>266</v>
      </c>
      <c r="AG298" s="29" t="s">
        <v>77</v>
      </c>
      <c r="AH298" s="39" t="n">
        <v>46146</v>
      </c>
      <c r="AI298" s="40" t="n">
        <f aca="false">+IF(Tabla[[#This Row],[FECHA PAGO / ABONO]]&lt;1,0,(MONTH(Tabla[[#This Row],[FECHA PAGO / ABONO]])))</f>
        <v>5</v>
      </c>
      <c r="AJ298" s="40" t="n">
        <f aca="false">+IF(Tabla[[#This Row],[FECHA PAGO / ABONO]]&lt;1,0,(YEAR(Tabla[[#This Row],[FECHA PAGO / ABONO]])))</f>
        <v>2026</v>
      </c>
      <c r="AK298" s="41"/>
    </row>
    <row r="299" customFormat="false" ht="14.25" hidden="false" customHeight="false" outlineLevel="0" collapsed="false">
      <c r="A299" s="28" t="s">
        <v>217</v>
      </c>
      <c r="B299" s="29" t="s">
        <v>218</v>
      </c>
      <c r="C299" s="29" t="s">
        <v>69</v>
      </c>
      <c r="D299" s="21" t="n">
        <v>18476</v>
      </c>
      <c r="E299" s="21" t="str">
        <f aca="false">+CONCATENATE(Tabla[[#This Row],[RUT]],Tabla[[#This Row],[PROVEEDOR]],Tabla[[#This Row],[FACTURA]])</f>
        <v>76058347-2COMERCIALIZADORA GC SA18476</v>
      </c>
      <c r="F299" s="57" t="n">
        <v>46076</v>
      </c>
      <c r="G299" s="31" t="n">
        <f aca="false">+F299+30</f>
        <v>46106</v>
      </c>
      <c r="H299" s="29" t="n">
        <f aca="true">+IF(AE299="PAGADA",0,TODAY()-G299)</f>
        <v>0</v>
      </c>
      <c r="I299" s="29" t="str">
        <f aca="false">+IF(H299&gt;180,"Atrasada",IF(H299&gt;150,"150 dias",IF(H299&gt;120,"120 dias",IF(H299&gt;90,"90 dias",IF(H299&gt;60,"60 dias",IF(H299&gt;30,"30 dias","Al Día"))))))</f>
        <v>Al Día</v>
      </c>
      <c r="J299" s="32" t="s">
        <v>80</v>
      </c>
      <c r="K299" s="29" t="s">
        <v>81</v>
      </c>
      <c r="L299" s="33" t="s">
        <v>248</v>
      </c>
      <c r="M299" s="29" t="n">
        <f aca="false">+YEAR(F299)</f>
        <v>2026</v>
      </c>
      <c r="N299" s="29" t="n">
        <v>2026</v>
      </c>
      <c r="O299" s="29" t="n">
        <v>1</v>
      </c>
      <c r="P299" s="29" t="str">
        <f aca="false">+CONCATENATE(Tabla[[#This Row],[MES CAMPAÑA]],"/",Tabla[[#This Row],[AÑO CAMPAÑA]])</f>
        <v>1/2026</v>
      </c>
      <c r="Q299" s="29" t="s">
        <v>130</v>
      </c>
      <c r="R299" s="29"/>
      <c r="S299" s="34" t="n">
        <v>0</v>
      </c>
      <c r="T299" s="34" t="n">
        <v>3500000</v>
      </c>
      <c r="U299" s="34" t="n">
        <v>665000</v>
      </c>
      <c r="V299" s="29"/>
      <c r="W299" s="35" t="n">
        <v>4165000</v>
      </c>
      <c r="X299" s="36" t="n">
        <f aca="false">+Tabla[[#This Row],[TOTAL]]</f>
        <v>4165000</v>
      </c>
      <c r="Y299" s="37"/>
      <c r="Z299" s="37"/>
      <c r="AA299" s="37"/>
      <c r="AB299" s="38" t="n">
        <f aca="false">+W299-AC299</f>
        <v>0</v>
      </c>
      <c r="AC299" s="34" t="n">
        <f aca="false">+Tabla[[#This Row],[P4]]+Tabla[[#This Row],[P3]]+Tabla[[#This Row],[P2]]+Tabla[[#This Row],[P1]]</f>
        <v>4165000</v>
      </c>
      <c r="AD299" s="34" t="n">
        <f aca="false">+W299-AC299</f>
        <v>0</v>
      </c>
      <c r="AE299" s="21" t="str">
        <f aca="false">IF(AB299&lt;1,"PAGADA","PENDIENTE")</f>
        <v>PAGADA</v>
      </c>
      <c r="AF299" s="21" t="s">
        <v>267</v>
      </c>
      <c r="AG299" s="29" t="s">
        <v>77</v>
      </c>
      <c r="AH299" s="39" t="n">
        <v>46146</v>
      </c>
      <c r="AI299" s="40" t="n">
        <f aca="false">+IF(Tabla[[#This Row],[FECHA PAGO / ABONO]]&lt;1,0,(MONTH(Tabla[[#This Row],[FECHA PAGO / ABONO]])))</f>
        <v>5</v>
      </c>
      <c r="AJ299" s="40" t="n">
        <f aca="false">+IF(Tabla[[#This Row],[FECHA PAGO / ABONO]]&lt;1,0,(YEAR(Tabla[[#This Row],[FECHA PAGO / ABONO]])))</f>
        <v>2026</v>
      </c>
      <c r="AK299" s="41"/>
    </row>
    <row r="300" customFormat="false" ht="14.25" hidden="false" customHeight="false" outlineLevel="0" collapsed="false">
      <c r="A300" s="28" t="s">
        <v>219</v>
      </c>
      <c r="B300" s="29" t="s">
        <v>220</v>
      </c>
      <c r="C300" s="29" t="s">
        <v>69</v>
      </c>
      <c r="D300" s="21" t="n">
        <v>118309</v>
      </c>
      <c r="E300" s="21" t="str">
        <f aca="false">+CONCATENATE(Tabla[[#This Row],[RUT]],Tabla[[#This Row],[PROVEEDOR]],Tabla[[#This Row],[FACTURA]])</f>
        <v>76115132-0CANAL 13 SpA.118309</v>
      </c>
      <c r="F300" s="57" t="n">
        <v>46076</v>
      </c>
      <c r="G300" s="31" t="n">
        <f aca="false">+F300+30</f>
        <v>46106</v>
      </c>
      <c r="H300" s="29" t="n">
        <f aca="true">+IF(AE300="PAGADA",0,TODAY()-G300)</f>
        <v>0</v>
      </c>
      <c r="I300" s="29" t="str">
        <f aca="false">+IF(H300&gt;180,"Atrasada",IF(H300&gt;150,"150 dias",IF(H300&gt;120,"120 dias",IF(H300&gt;90,"90 dias",IF(H300&gt;60,"60 dias",IF(H300&gt;30,"30 dias","Al Día"))))))</f>
        <v>Al Día</v>
      </c>
      <c r="J300" s="32" t="s">
        <v>80</v>
      </c>
      <c r="K300" s="29" t="s">
        <v>114</v>
      </c>
      <c r="L300" s="33" t="s">
        <v>248</v>
      </c>
      <c r="M300" s="29" t="n">
        <f aca="false">+YEAR(F300)</f>
        <v>2026</v>
      </c>
      <c r="N300" s="29" t="n">
        <v>2026</v>
      </c>
      <c r="O300" s="29" t="n">
        <v>1</v>
      </c>
      <c r="P300" s="29" t="str">
        <f aca="false">+CONCATENATE(Tabla[[#This Row],[MES CAMPAÑA]],"/",Tabla[[#This Row],[AÑO CAMPAÑA]])</f>
        <v>1/2026</v>
      </c>
      <c r="Q300" s="29" t="s">
        <v>161</v>
      </c>
      <c r="R300" s="29"/>
      <c r="S300" s="34" t="n">
        <v>0</v>
      </c>
      <c r="T300" s="34" t="n">
        <v>6020000</v>
      </c>
      <c r="U300" s="34" t="n">
        <v>1143800</v>
      </c>
      <c r="V300" s="29"/>
      <c r="W300" s="35" t="n">
        <v>7163800</v>
      </c>
      <c r="X300" s="36" t="n">
        <f aca="false">+Tabla[[#This Row],[TOTAL]]</f>
        <v>7163800</v>
      </c>
      <c r="Y300" s="37"/>
      <c r="Z300" s="37"/>
      <c r="AA300" s="37"/>
      <c r="AB300" s="38" t="n">
        <f aca="false">+W300-AC300</f>
        <v>0</v>
      </c>
      <c r="AC300" s="34" t="n">
        <f aca="false">+Tabla[[#This Row],[P4]]+Tabla[[#This Row],[P3]]+Tabla[[#This Row],[P2]]+Tabla[[#This Row],[P1]]</f>
        <v>7163800</v>
      </c>
      <c r="AD300" s="34" t="n">
        <f aca="false">+W300-AC300</f>
        <v>0</v>
      </c>
      <c r="AE300" s="21" t="str">
        <f aca="false">IF(AB300&lt;1,"PAGADA","PENDIENTE")</f>
        <v>PAGADA</v>
      </c>
      <c r="AF300" s="21"/>
      <c r="AG300" s="29" t="s">
        <v>124</v>
      </c>
      <c r="AH300" s="40"/>
      <c r="AI300" s="40" t="n">
        <f aca="false">+IF(Tabla[[#This Row],[FECHA PAGO / ABONO]]&lt;1,0,(MONTH(Tabla[[#This Row],[FECHA PAGO / ABONO]])))</f>
        <v>0</v>
      </c>
      <c r="AJ300" s="40" t="n">
        <f aca="false">+IF(Tabla[[#This Row],[FECHA PAGO / ABONO]]&lt;1,0,(YEAR(Tabla[[#This Row],[FECHA PAGO / ABONO]])))</f>
        <v>0</v>
      </c>
      <c r="AK300" s="41" t="s">
        <v>268</v>
      </c>
    </row>
    <row r="301" customFormat="false" ht="14.25" hidden="false" customHeight="false" outlineLevel="0" collapsed="false">
      <c r="A301" s="28" t="s">
        <v>219</v>
      </c>
      <c r="B301" s="29" t="s">
        <v>220</v>
      </c>
      <c r="C301" s="29" t="s">
        <v>69</v>
      </c>
      <c r="D301" s="21" t="n">
        <v>118310</v>
      </c>
      <c r="E301" s="21" t="str">
        <f aca="false">+CONCATENATE(Tabla[[#This Row],[RUT]],Tabla[[#This Row],[PROVEEDOR]],Tabla[[#This Row],[FACTURA]])</f>
        <v>76115132-0CANAL 13 SpA.118310</v>
      </c>
      <c r="F301" s="57" t="n">
        <v>46076</v>
      </c>
      <c r="G301" s="31" t="n">
        <f aca="false">+F301+30</f>
        <v>46106</v>
      </c>
      <c r="H301" s="29" t="n">
        <f aca="true">+IF(AE301="PAGADA",0,TODAY()-G301)</f>
        <v>0</v>
      </c>
      <c r="I301" s="29" t="str">
        <f aca="false">+IF(H301&gt;180,"Atrasada",IF(H301&gt;150,"150 dias",IF(H301&gt;120,"120 dias",IF(H301&gt;90,"90 dias",IF(H301&gt;60,"60 dias",IF(H301&gt;30,"30 dias","Al Día"))))))</f>
        <v>Al Día</v>
      </c>
      <c r="J301" s="32" t="s">
        <v>80</v>
      </c>
      <c r="K301" s="29" t="s">
        <v>114</v>
      </c>
      <c r="L301" s="33" t="s">
        <v>248</v>
      </c>
      <c r="M301" s="29" t="n">
        <f aca="false">+YEAR(F301)</f>
        <v>2026</v>
      </c>
      <c r="N301" s="29" t="n">
        <v>2026</v>
      </c>
      <c r="O301" s="29" t="n">
        <v>1</v>
      </c>
      <c r="P301" s="29" t="str">
        <f aca="false">+CONCATENATE(Tabla[[#This Row],[MES CAMPAÑA]],"/",Tabla[[#This Row],[AÑO CAMPAÑA]])</f>
        <v>1/2026</v>
      </c>
      <c r="Q301" s="29" t="s">
        <v>161</v>
      </c>
      <c r="R301" s="29"/>
      <c r="S301" s="34" t="n">
        <v>0</v>
      </c>
      <c r="T301" s="34" t="n">
        <v>13989500</v>
      </c>
      <c r="U301" s="34" t="n">
        <v>2658005</v>
      </c>
      <c r="V301" s="29"/>
      <c r="W301" s="35" t="n">
        <v>16647505</v>
      </c>
      <c r="X301" s="36" t="n">
        <f aca="false">+Tabla[[#This Row],[TOTAL]]</f>
        <v>16647505</v>
      </c>
      <c r="Y301" s="37"/>
      <c r="Z301" s="37"/>
      <c r="AA301" s="37"/>
      <c r="AB301" s="38" t="n">
        <f aca="false">+W301-AC301</f>
        <v>0</v>
      </c>
      <c r="AC301" s="34" t="n">
        <f aca="false">+Tabla[[#This Row],[P4]]+Tabla[[#This Row],[P3]]+Tabla[[#This Row],[P2]]+Tabla[[#This Row],[P1]]</f>
        <v>16647505</v>
      </c>
      <c r="AD301" s="34" t="n">
        <f aca="false">+W301-AC301</f>
        <v>0</v>
      </c>
      <c r="AE301" s="21" t="str">
        <f aca="false">IF(AB301&lt;1,"PAGADA","PENDIENTE")</f>
        <v>PAGADA</v>
      </c>
      <c r="AF301" s="21"/>
      <c r="AG301" s="29" t="s">
        <v>124</v>
      </c>
      <c r="AH301" s="40"/>
      <c r="AI301" s="40" t="n">
        <f aca="false">+IF(Tabla[[#This Row],[FECHA PAGO / ABONO]]&lt;1,0,(MONTH(Tabla[[#This Row],[FECHA PAGO / ABONO]])))</f>
        <v>0</v>
      </c>
      <c r="AJ301" s="40" t="n">
        <f aca="false">+IF(Tabla[[#This Row],[FECHA PAGO / ABONO]]&lt;1,0,(YEAR(Tabla[[#This Row],[FECHA PAGO / ABONO]])))</f>
        <v>0</v>
      </c>
      <c r="AK301" s="41" t="s">
        <v>269</v>
      </c>
    </row>
    <row r="302" customFormat="false" ht="14.25" hidden="false" customHeight="false" outlineLevel="0" collapsed="false">
      <c r="A302" s="28" t="s">
        <v>181</v>
      </c>
      <c r="B302" s="29" t="s">
        <v>182</v>
      </c>
      <c r="C302" s="29" t="s">
        <v>69</v>
      </c>
      <c r="D302" s="21" t="n">
        <v>32628</v>
      </c>
      <c r="E302" s="21" t="str">
        <f aca="false">+CONCATENATE(Tabla[[#This Row],[RUT]],Tabla[[#This Row],[PROVEEDOR]],Tabla[[#This Row],[FACTURA]])</f>
        <v>96810030-0RDF MEDIA SPA32628</v>
      </c>
      <c r="F302" s="57" t="n">
        <v>46076</v>
      </c>
      <c r="G302" s="31" t="n">
        <f aca="false">+F302+30</f>
        <v>46106</v>
      </c>
      <c r="H302" s="29" t="n">
        <f aca="true">+IF(AE302="PAGADA",0,TODAY()-G302)</f>
        <v>98</v>
      </c>
      <c r="I302" s="29" t="str">
        <f aca="false">+IF(H302&gt;180,"Atrasada",IF(H302&gt;150,"150 dias",IF(H302&gt;120,"120 dias",IF(H302&gt;90,"90 dias",IF(H302&gt;60,"60 dias",IF(H302&gt;30,"30 dias","Al Día"))))))</f>
        <v>90 dias</v>
      </c>
      <c r="J302" s="32" t="s">
        <v>80</v>
      </c>
      <c r="K302" s="29" t="s">
        <v>81</v>
      </c>
      <c r="L302" s="33" t="s">
        <v>248</v>
      </c>
      <c r="M302" s="29" t="n">
        <f aca="false">+YEAR(F302)</f>
        <v>2026</v>
      </c>
      <c r="N302" s="29" t="n">
        <v>2026</v>
      </c>
      <c r="O302" s="29" t="n">
        <v>1</v>
      </c>
      <c r="P302" s="29" t="str">
        <f aca="false">+CONCATENATE(Tabla[[#This Row],[MES CAMPAÑA]],"/",Tabla[[#This Row],[AÑO CAMPAÑA]])</f>
        <v>1/2026</v>
      </c>
      <c r="Q302" s="29" t="s">
        <v>244</v>
      </c>
      <c r="R302" s="29"/>
      <c r="S302" s="34" t="n">
        <v>0</v>
      </c>
      <c r="T302" s="34" t="n">
        <v>3100000</v>
      </c>
      <c r="U302" s="34" t="n">
        <v>589000</v>
      </c>
      <c r="V302" s="29"/>
      <c r="W302" s="35" t="n">
        <v>3689000</v>
      </c>
      <c r="X302" s="36"/>
      <c r="Y302" s="37"/>
      <c r="Z302" s="37"/>
      <c r="AA302" s="37"/>
      <c r="AB302" s="38" t="n">
        <f aca="false">+W302-AC302</f>
        <v>3689000</v>
      </c>
      <c r="AC302" s="34" t="n">
        <f aca="false">+Tabla[[#This Row],[P4]]+Tabla[[#This Row],[P3]]+Tabla[[#This Row],[P2]]+Tabla[[#This Row],[P1]]</f>
        <v>0</v>
      </c>
      <c r="AD302" s="34" t="n">
        <f aca="false">+W302-AC302</f>
        <v>3689000</v>
      </c>
      <c r="AE302" s="21" t="str">
        <f aca="false">IF(AB302&lt;1,"PAGADA","PENDIENTE")</f>
        <v>PENDIENTE</v>
      </c>
      <c r="AF302" s="21"/>
      <c r="AG302" s="29"/>
      <c r="AH302" s="40"/>
      <c r="AI302" s="40" t="n">
        <f aca="false">+IF(Tabla[[#This Row],[FECHA PAGO / ABONO]]&lt;1,0,(MONTH(Tabla[[#This Row],[FECHA PAGO / ABONO]])))</f>
        <v>0</v>
      </c>
      <c r="AJ302" s="40" t="n">
        <f aca="false">+IF(Tabla[[#This Row],[FECHA PAGO / ABONO]]&lt;1,0,(YEAR(Tabla[[#This Row],[FECHA PAGO / ABONO]])))</f>
        <v>0</v>
      </c>
      <c r="AK302" s="41"/>
    </row>
    <row r="303" customFormat="false" ht="14.25" hidden="false" customHeight="false" outlineLevel="0" collapsed="false">
      <c r="A303" s="28" t="s">
        <v>159</v>
      </c>
      <c r="B303" s="29" t="s">
        <v>160</v>
      </c>
      <c r="C303" s="29" t="s">
        <v>69</v>
      </c>
      <c r="D303" s="21" t="n">
        <v>109274</v>
      </c>
      <c r="E303" s="21" t="str">
        <f aca="false">+CONCATENATE(Tabla[[#This Row],[RUT]],Tabla[[#This Row],[PROVEEDOR]],Tabla[[#This Row],[FACTURA]])</f>
        <v>81689800-5TVN109274</v>
      </c>
      <c r="F303" s="57" t="n">
        <v>46076</v>
      </c>
      <c r="G303" s="31" t="n">
        <f aca="false">+F303+30</f>
        <v>46106</v>
      </c>
      <c r="H303" s="29" t="n">
        <f aca="true">+IF(AE303="PAGADA",0,TODAY()-G303)</f>
        <v>98</v>
      </c>
      <c r="I303" s="29" t="str">
        <f aca="false">+IF(H303&gt;180,"Atrasada",IF(H303&gt;150,"150 dias",IF(H303&gt;120,"120 dias",IF(H303&gt;90,"90 dias",IF(H303&gt;60,"60 dias",IF(H303&gt;30,"30 dias","Al Día"))))))</f>
        <v>90 dias</v>
      </c>
      <c r="J303" s="32" t="s">
        <v>80</v>
      </c>
      <c r="K303" s="29" t="s">
        <v>81</v>
      </c>
      <c r="L303" s="33" t="s">
        <v>248</v>
      </c>
      <c r="M303" s="29" t="n">
        <f aca="false">+YEAR(F303)</f>
        <v>2026</v>
      </c>
      <c r="N303" s="29" t="n">
        <v>2026</v>
      </c>
      <c r="O303" s="29" t="n">
        <v>1</v>
      </c>
      <c r="P303" s="29" t="str">
        <f aca="false">+CONCATENATE(Tabla[[#This Row],[MES CAMPAÑA]],"/",Tabla[[#This Row],[AÑO CAMPAÑA]])</f>
        <v>1/2026</v>
      </c>
      <c r="Q303" s="29" t="s">
        <v>105</v>
      </c>
      <c r="R303" s="29"/>
      <c r="S303" s="34" t="n">
        <v>0</v>
      </c>
      <c r="T303" s="34" t="n">
        <v>4643010</v>
      </c>
      <c r="U303" s="34" t="n">
        <v>882172</v>
      </c>
      <c r="V303" s="29"/>
      <c r="W303" s="35" t="n">
        <v>5525182</v>
      </c>
      <c r="X303" s="36"/>
      <c r="Y303" s="37"/>
      <c r="Z303" s="37"/>
      <c r="AA303" s="37"/>
      <c r="AB303" s="38" t="n">
        <f aca="false">+W303-AC303</f>
        <v>5525182</v>
      </c>
      <c r="AC303" s="34" t="n">
        <f aca="false">+Tabla[[#This Row],[P4]]+Tabla[[#This Row],[P3]]+Tabla[[#This Row],[P2]]+Tabla[[#This Row],[P1]]</f>
        <v>0</v>
      </c>
      <c r="AD303" s="34" t="n">
        <f aca="false">+W303-AC303</f>
        <v>5525182</v>
      </c>
      <c r="AE303" s="21" t="str">
        <f aca="false">IF(AB303&lt;1,"PAGADA","PENDIENTE")</f>
        <v>PENDIENTE</v>
      </c>
      <c r="AF303" s="21"/>
      <c r="AG303" s="29"/>
      <c r="AH303" s="40"/>
      <c r="AI303" s="40" t="n">
        <f aca="false">+IF(Tabla[[#This Row],[FECHA PAGO / ABONO]]&lt;1,0,(MONTH(Tabla[[#This Row],[FECHA PAGO / ABONO]])))</f>
        <v>0</v>
      </c>
      <c r="AJ303" s="40" t="n">
        <f aca="false">+IF(Tabla[[#This Row],[FECHA PAGO / ABONO]]&lt;1,0,(YEAR(Tabla[[#This Row],[FECHA PAGO / ABONO]])))</f>
        <v>0</v>
      </c>
      <c r="AK303" s="41"/>
    </row>
    <row r="304" customFormat="false" ht="14.25" hidden="false" customHeight="false" outlineLevel="0" collapsed="false">
      <c r="A304" s="28" t="s">
        <v>159</v>
      </c>
      <c r="B304" s="29" t="s">
        <v>160</v>
      </c>
      <c r="C304" s="29" t="s">
        <v>69</v>
      </c>
      <c r="D304" s="21" t="n">
        <v>109275</v>
      </c>
      <c r="E304" s="21" t="str">
        <f aca="false">+CONCATENATE(Tabla[[#This Row],[RUT]],Tabla[[#This Row],[PROVEEDOR]],Tabla[[#This Row],[FACTURA]])</f>
        <v>81689800-5TVN109275</v>
      </c>
      <c r="F304" s="57" t="n">
        <v>46076</v>
      </c>
      <c r="G304" s="31" t="n">
        <f aca="false">+F304+30</f>
        <v>46106</v>
      </c>
      <c r="H304" s="29" t="n">
        <f aca="true">+IF(AE304="PAGADA",0,TODAY()-G304)</f>
        <v>98</v>
      </c>
      <c r="I304" s="29" t="str">
        <f aca="false">+IF(H304&gt;180,"Atrasada",IF(H304&gt;150,"150 dias",IF(H304&gt;120,"120 dias",IF(H304&gt;90,"90 dias",IF(H304&gt;60,"60 dias",IF(H304&gt;30,"30 dias","Al Día"))))))</f>
        <v>90 dias</v>
      </c>
      <c r="J304" s="32" t="s">
        <v>80</v>
      </c>
      <c r="K304" s="29" t="s">
        <v>81</v>
      </c>
      <c r="L304" s="33" t="s">
        <v>248</v>
      </c>
      <c r="M304" s="29" t="n">
        <f aca="false">+YEAR(F304)</f>
        <v>2026</v>
      </c>
      <c r="N304" s="29" t="n">
        <v>2026</v>
      </c>
      <c r="O304" s="29" t="n">
        <v>1</v>
      </c>
      <c r="P304" s="29" t="str">
        <f aca="false">+CONCATENATE(Tabla[[#This Row],[MES CAMPAÑA]],"/",Tabla[[#This Row],[AÑO CAMPAÑA]])</f>
        <v>1/2026</v>
      </c>
      <c r="Q304" s="29" t="s">
        <v>105</v>
      </c>
      <c r="R304" s="29"/>
      <c r="S304" s="34" t="n">
        <v>0</v>
      </c>
      <c r="T304" s="34" t="n">
        <v>4550010</v>
      </c>
      <c r="U304" s="34" t="n">
        <v>864502</v>
      </c>
      <c r="V304" s="29"/>
      <c r="W304" s="35" t="n">
        <v>5414512</v>
      </c>
      <c r="X304" s="36"/>
      <c r="Y304" s="37"/>
      <c r="Z304" s="37"/>
      <c r="AA304" s="37"/>
      <c r="AB304" s="38" t="n">
        <f aca="false">+W304-AC304</f>
        <v>5414512</v>
      </c>
      <c r="AC304" s="34" t="n">
        <f aca="false">+Tabla[[#This Row],[P4]]+Tabla[[#This Row],[P3]]+Tabla[[#This Row],[P2]]+Tabla[[#This Row],[P1]]</f>
        <v>0</v>
      </c>
      <c r="AD304" s="34" t="n">
        <f aca="false">+W304-AC304</f>
        <v>5414512</v>
      </c>
      <c r="AE304" s="21" t="str">
        <f aca="false">IF(AB304&lt;1,"PAGADA","PENDIENTE")</f>
        <v>PENDIENTE</v>
      </c>
      <c r="AF304" s="21"/>
      <c r="AG304" s="29"/>
      <c r="AH304" s="40"/>
      <c r="AI304" s="40" t="n">
        <f aca="false">+IF(Tabla[[#This Row],[FECHA PAGO / ABONO]]&lt;1,0,(MONTH(Tabla[[#This Row],[FECHA PAGO / ABONO]])))</f>
        <v>0</v>
      </c>
      <c r="AJ304" s="40" t="n">
        <f aca="false">+IF(Tabla[[#This Row],[FECHA PAGO / ABONO]]&lt;1,0,(YEAR(Tabla[[#This Row],[FECHA PAGO / ABONO]])))</f>
        <v>0</v>
      </c>
      <c r="AK304" s="41"/>
    </row>
    <row r="305" customFormat="false" ht="14.25" hidden="false" customHeight="false" outlineLevel="0" collapsed="false">
      <c r="A305" s="28" t="s">
        <v>159</v>
      </c>
      <c r="B305" s="29" t="s">
        <v>160</v>
      </c>
      <c r="C305" s="29" t="s">
        <v>69</v>
      </c>
      <c r="D305" s="21" t="n">
        <v>109276</v>
      </c>
      <c r="E305" s="21" t="str">
        <f aca="false">+CONCATENATE(Tabla[[#This Row],[RUT]],Tabla[[#This Row],[PROVEEDOR]],Tabla[[#This Row],[FACTURA]])</f>
        <v>81689800-5TVN109276</v>
      </c>
      <c r="F305" s="57" t="n">
        <v>46076</v>
      </c>
      <c r="G305" s="31" t="n">
        <f aca="false">+F305+30</f>
        <v>46106</v>
      </c>
      <c r="H305" s="29" t="n">
        <f aca="true">+IF(AE305="PAGADA",0,TODAY()-G305)</f>
        <v>98</v>
      </c>
      <c r="I305" s="29" t="str">
        <f aca="false">+IF(H305&gt;180,"Atrasada",IF(H305&gt;150,"150 dias",IF(H305&gt;120,"120 dias",IF(H305&gt;90,"90 dias",IF(H305&gt;60,"60 dias",IF(H305&gt;30,"30 dias","Al Día"))))))</f>
        <v>90 dias</v>
      </c>
      <c r="J305" s="32" t="s">
        <v>80</v>
      </c>
      <c r="K305" s="29" t="s">
        <v>81</v>
      </c>
      <c r="L305" s="33" t="s">
        <v>248</v>
      </c>
      <c r="M305" s="29" t="n">
        <f aca="false">+YEAR(F305)</f>
        <v>2026</v>
      </c>
      <c r="N305" s="29" t="n">
        <v>2026</v>
      </c>
      <c r="O305" s="29" t="n">
        <v>1</v>
      </c>
      <c r="P305" s="29" t="str">
        <f aca="false">+CONCATENATE(Tabla[[#This Row],[MES CAMPAÑA]],"/",Tabla[[#This Row],[AÑO CAMPAÑA]])</f>
        <v>1/2026</v>
      </c>
      <c r="Q305" s="29" t="s">
        <v>105</v>
      </c>
      <c r="R305" s="29"/>
      <c r="S305" s="34" t="n">
        <v>0</v>
      </c>
      <c r="T305" s="34" t="n">
        <v>4164720</v>
      </c>
      <c r="U305" s="34" t="n">
        <v>791297</v>
      </c>
      <c r="V305" s="29"/>
      <c r="W305" s="35" t="n">
        <v>4956017</v>
      </c>
      <c r="X305" s="36"/>
      <c r="Y305" s="37"/>
      <c r="Z305" s="37"/>
      <c r="AA305" s="37"/>
      <c r="AB305" s="38" t="n">
        <f aca="false">+W305-AC305</f>
        <v>4956017</v>
      </c>
      <c r="AC305" s="34" t="n">
        <f aca="false">+Tabla[[#This Row],[P4]]+Tabla[[#This Row],[P3]]+Tabla[[#This Row],[P2]]+Tabla[[#This Row],[P1]]</f>
        <v>0</v>
      </c>
      <c r="AD305" s="34" t="n">
        <f aca="false">+W305-AC305</f>
        <v>4956017</v>
      </c>
      <c r="AE305" s="21" t="str">
        <f aca="false">IF(AB305&lt;1,"PAGADA","PENDIENTE")</f>
        <v>PENDIENTE</v>
      </c>
      <c r="AF305" s="21"/>
      <c r="AG305" s="29"/>
      <c r="AH305" s="40"/>
      <c r="AI305" s="40" t="n">
        <f aca="false">+IF(Tabla[[#This Row],[FECHA PAGO / ABONO]]&lt;1,0,(MONTH(Tabla[[#This Row],[FECHA PAGO / ABONO]])))</f>
        <v>0</v>
      </c>
      <c r="AJ305" s="40" t="n">
        <f aca="false">+IF(Tabla[[#This Row],[FECHA PAGO / ABONO]]&lt;1,0,(YEAR(Tabla[[#This Row],[FECHA PAGO / ABONO]])))</f>
        <v>0</v>
      </c>
      <c r="AK305" s="41"/>
    </row>
    <row r="306" customFormat="false" ht="14.25" hidden="false" customHeight="false" outlineLevel="0" collapsed="false">
      <c r="A306" s="28" t="s">
        <v>112</v>
      </c>
      <c r="B306" s="29" t="s">
        <v>113</v>
      </c>
      <c r="C306" s="29" t="s">
        <v>69</v>
      </c>
      <c r="D306" s="21" t="n">
        <v>13213</v>
      </c>
      <c r="E306" s="21" t="str">
        <f aca="false">+CONCATENATE(Tabla[[#This Row],[RUT]],Tabla[[#This Row],[PROVEEDOR]],Tabla[[#This Row],[FACTURA]])</f>
        <v>71614000-8Universidad de los Andes13213</v>
      </c>
      <c r="F306" s="57" t="n">
        <v>46077</v>
      </c>
      <c r="G306" s="31" t="n">
        <f aca="false">+F306+30</f>
        <v>46107</v>
      </c>
      <c r="H306" s="29" t="n">
        <f aca="true">+IF(AE306="PAGADA",0,TODAY()-G306)</f>
        <v>97</v>
      </c>
      <c r="I306" s="29" t="str">
        <f aca="false">+IF(H306&gt;180,"Atrasada",IF(H306&gt;150,"150 dias",IF(H306&gt;120,"120 dias",IF(H306&gt;90,"90 dias",IF(H306&gt;60,"60 dias",IF(H306&gt;30,"30 dias","Al Día"))))))</f>
        <v>90 dias</v>
      </c>
      <c r="J306" s="32" t="s">
        <v>80</v>
      </c>
      <c r="K306" s="29" t="s">
        <v>81</v>
      </c>
      <c r="L306" s="33" t="s">
        <v>248</v>
      </c>
      <c r="M306" s="29" t="n">
        <f aca="false">+YEAR(F306)</f>
        <v>2026</v>
      </c>
      <c r="N306" s="29" t="n">
        <v>2026</v>
      </c>
      <c r="O306" s="29" t="n">
        <v>1</v>
      </c>
      <c r="P306" s="29" t="str">
        <f aca="false">+CONCATENATE(Tabla[[#This Row],[MES CAMPAÑA]],"/",Tabla[[#This Row],[AÑO CAMPAÑA]])</f>
        <v>1/2026</v>
      </c>
      <c r="Q306" s="29" t="s">
        <v>115</v>
      </c>
      <c r="R306" s="29"/>
      <c r="S306" s="34" t="n">
        <v>0</v>
      </c>
      <c r="T306" s="34" t="n">
        <v>950000</v>
      </c>
      <c r="U306" s="34" t="n">
        <v>180500</v>
      </c>
      <c r="V306" s="29"/>
      <c r="W306" s="35" t="n">
        <v>1130500</v>
      </c>
      <c r="X306" s="36"/>
      <c r="Y306" s="37"/>
      <c r="Z306" s="37"/>
      <c r="AA306" s="37"/>
      <c r="AB306" s="38" t="n">
        <f aca="false">+W306-AC306</f>
        <v>1130500</v>
      </c>
      <c r="AC306" s="34" t="n">
        <f aca="false">+Tabla[[#This Row],[P4]]+Tabla[[#This Row],[P3]]+Tabla[[#This Row],[P2]]+Tabla[[#This Row],[P1]]</f>
        <v>0</v>
      </c>
      <c r="AD306" s="34" t="n">
        <f aca="false">+W306-AC306</f>
        <v>1130500</v>
      </c>
      <c r="AE306" s="21" t="str">
        <f aca="false">IF(AB306&lt;1,"PAGADA","PENDIENTE")</f>
        <v>PENDIENTE</v>
      </c>
      <c r="AF306" s="21"/>
      <c r="AG306" s="29"/>
      <c r="AH306" s="40"/>
      <c r="AI306" s="40" t="n">
        <f aca="false">+IF(Tabla[[#This Row],[FECHA PAGO / ABONO]]&lt;1,0,(MONTH(Tabla[[#This Row],[FECHA PAGO / ABONO]])))</f>
        <v>0</v>
      </c>
      <c r="AJ306" s="40" t="n">
        <f aca="false">+IF(Tabla[[#This Row],[FECHA PAGO / ABONO]]&lt;1,0,(YEAR(Tabla[[#This Row],[FECHA PAGO / ABONO]])))</f>
        <v>0</v>
      </c>
      <c r="AK306" s="41"/>
    </row>
    <row r="307" customFormat="false" ht="14.25" hidden="false" customHeight="false" outlineLevel="0" collapsed="false">
      <c r="A307" s="28" t="s">
        <v>270</v>
      </c>
      <c r="B307" s="29" t="s">
        <v>271</v>
      </c>
      <c r="C307" s="29" t="s">
        <v>69</v>
      </c>
      <c r="D307" s="21" t="n">
        <v>3021104</v>
      </c>
      <c r="E307" s="21" t="str">
        <f aca="false">+CONCATENATE(Tabla[[#This Row],[RUT]],Tabla[[#This Row],[PROVEEDOR]],Tabla[[#This Row],[FACTURA]])</f>
        <v>87161100-9DIRECTV Chile TelevisiÃƒÂ³n Limitada3021104</v>
      </c>
      <c r="F307" s="57" t="n">
        <v>46077</v>
      </c>
      <c r="G307" s="31" t="n">
        <f aca="false">+F307+30</f>
        <v>46107</v>
      </c>
      <c r="H307" s="29" t="n">
        <f aca="true">+IF(AE307="PAGADA",0,TODAY()-G307)</f>
        <v>0</v>
      </c>
      <c r="I307" s="29" t="str">
        <f aca="false">+IF(H307&gt;180,"Atrasada",IF(H307&gt;150,"150 dias",IF(H307&gt;120,"120 dias",IF(H307&gt;90,"90 dias",IF(H307&gt;60,"60 dias",IF(H307&gt;30,"30 dias","Al Día"))))))</f>
        <v>Al Día</v>
      </c>
      <c r="J307" s="32" t="s">
        <v>31</v>
      </c>
      <c r="K307" s="29" t="s">
        <v>81</v>
      </c>
      <c r="L307" s="33" t="s">
        <v>248</v>
      </c>
      <c r="M307" s="29" t="n">
        <f aca="false">+YEAR(F307)</f>
        <v>2026</v>
      </c>
      <c r="N307" s="29" t="n">
        <v>2026</v>
      </c>
      <c r="O307" s="29" t="n">
        <v>1</v>
      </c>
      <c r="P307" s="29" t="str">
        <f aca="false">+CONCATENATE(Tabla[[#This Row],[MES CAMPAÑA]],"/",Tabla[[#This Row],[AÑO CAMPAÑA]])</f>
        <v>1/2026</v>
      </c>
      <c r="Q307" s="29" t="s">
        <v>73</v>
      </c>
      <c r="R307" s="29"/>
      <c r="S307" s="34" t="n">
        <v>0</v>
      </c>
      <c r="T307" s="34" t="n">
        <v>53621</v>
      </c>
      <c r="U307" s="34" t="n">
        <v>10188</v>
      </c>
      <c r="V307" s="29"/>
      <c r="W307" s="35" t="n">
        <v>63809</v>
      </c>
      <c r="X307" s="36" t="n">
        <f aca="false">+Tabla[[#This Row],[TOTAL]]</f>
        <v>63809</v>
      </c>
      <c r="Y307" s="37"/>
      <c r="Z307" s="37"/>
      <c r="AA307" s="37"/>
      <c r="AB307" s="38" t="n">
        <f aca="false">+W307-AC307</f>
        <v>0</v>
      </c>
      <c r="AC307" s="34" t="n">
        <f aca="false">+Tabla[[#This Row],[P4]]+Tabla[[#This Row],[P3]]+Tabla[[#This Row],[P2]]+Tabla[[#This Row],[P1]]</f>
        <v>63809</v>
      </c>
      <c r="AD307" s="34" t="n">
        <f aca="false">+W307-AC307</f>
        <v>0</v>
      </c>
      <c r="AE307" s="21" t="str">
        <f aca="false">IF(AB307&lt;1,"PAGADA","PENDIENTE")</f>
        <v>PAGADA</v>
      </c>
      <c r="AF307" s="21"/>
      <c r="AG307" s="29"/>
      <c r="AH307" s="40"/>
      <c r="AI307" s="40" t="n">
        <f aca="false">+IF(Tabla[[#This Row],[FECHA PAGO / ABONO]]&lt;1,0,(MONTH(Tabla[[#This Row],[FECHA PAGO / ABONO]])))</f>
        <v>0</v>
      </c>
      <c r="AJ307" s="40" t="n">
        <f aca="false">+IF(Tabla[[#This Row],[FECHA PAGO / ABONO]]&lt;1,0,(YEAR(Tabla[[#This Row],[FECHA PAGO / ABONO]])))</f>
        <v>0</v>
      </c>
      <c r="AK307" s="41"/>
    </row>
    <row r="308" customFormat="false" ht="14.25" hidden="false" customHeight="false" outlineLevel="0" collapsed="false">
      <c r="A308" s="28" t="s">
        <v>175</v>
      </c>
      <c r="B308" s="29" t="s">
        <v>176</v>
      </c>
      <c r="C308" s="29" t="s">
        <v>69</v>
      </c>
      <c r="D308" s="21" t="n">
        <v>2028</v>
      </c>
      <c r="E308" s="21" t="str">
        <f aca="false">+CONCATENATE(Tabla[[#This Row],[RUT]],Tabla[[#This Row],[PROVEEDOR]],Tabla[[#This Row],[FACTURA]])</f>
        <v>77837600-8COMUNICACIONES SAN ANDRES LIMITADA2028</v>
      </c>
      <c r="F308" s="57" t="n">
        <v>46078</v>
      </c>
      <c r="G308" s="31" t="n">
        <f aca="false">+F308+30</f>
        <v>46108</v>
      </c>
      <c r="H308" s="29" t="n">
        <f aca="true">+IF(AE308="PAGADA",0,TODAY()-G308)</f>
        <v>96</v>
      </c>
      <c r="I308" s="29" t="str">
        <f aca="false">+IF(H308&gt;180,"Atrasada",IF(H308&gt;150,"150 dias",IF(H308&gt;120,"120 dias",IF(H308&gt;90,"90 dias",IF(H308&gt;60,"60 dias",IF(H308&gt;30,"30 dias","Al Día"))))))</f>
        <v>90 dias</v>
      </c>
      <c r="J308" s="32" t="s">
        <v>80</v>
      </c>
      <c r="K308" s="29" t="s">
        <v>81</v>
      </c>
      <c r="L308" s="33" t="s">
        <v>248</v>
      </c>
      <c r="M308" s="29" t="n">
        <f aca="false">+YEAR(F308)</f>
        <v>2026</v>
      </c>
      <c r="N308" s="29" t="n">
        <v>2026</v>
      </c>
      <c r="O308" s="29" t="n">
        <v>1</v>
      </c>
      <c r="P308" s="29" t="str">
        <f aca="false">+CONCATENATE(Tabla[[#This Row],[MES CAMPAÑA]],"/",Tabla[[#This Row],[AÑO CAMPAÑA]])</f>
        <v>1/2026</v>
      </c>
      <c r="Q308" s="29" t="s">
        <v>108</v>
      </c>
      <c r="R308" s="29"/>
      <c r="S308" s="34" t="n">
        <v>0</v>
      </c>
      <c r="T308" s="34" t="n">
        <v>500000</v>
      </c>
      <c r="U308" s="34" t="n">
        <v>95000</v>
      </c>
      <c r="V308" s="29"/>
      <c r="W308" s="35" t="n">
        <v>595000</v>
      </c>
      <c r="X308" s="36"/>
      <c r="Y308" s="37"/>
      <c r="Z308" s="37"/>
      <c r="AA308" s="37"/>
      <c r="AB308" s="38" t="n">
        <f aca="false">+W308-AC308</f>
        <v>595000</v>
      </c>
      <c r="AC308" s="34" t="n">
        <f aca="false">+Tabla[[#This Row],[P4]]+Tabla[[#This Row],[P3]]+Tabla[[#This Row],[P2]]+Tabla[[#This Row],[P1]]</f>
        <v>0</v>
      </c>
      <c r="AD308" s="34" t="n">
        <f aca="false">+W308-AC308</f>
        <v>595000</v>
      </c>
      <c r="AE308" s="21" t="str">
        <f aca="false">IF(AB308&lt;1,"PAGADA","PENDIENTE")</f>
        <v>PENDIENTE</v>
      </c>
      <c r="AF308" s="21"/>
      <c r="AG308" s="29"/>
      <c r="AH308" s="40"/>
      <c r="AI308" s="40" t="n">
        <f aca="false">+IF(Tabla[[#This Row],[FECHA PAGO / ABONO]]&lt;1,0,(MONTH(Tabla[[#This Row],[FECHA PAGO / ABONO]])))</f>
        <v>0</v>
      </c>
      <c r="AJ308" s="40" t="n">
        <f aca="false">+IF(Tabla[[#This Row],[FECHA PAGO / ABONO]]&lt;1,0,(YEAR(Tabla[[#This Row],[FECHA PAGO / ABONO]])))</f>
        <v>0</v>
      </c>
      <c r="AK308" s="41"/>
    </row>
    <row r="309" customFormat="false" ht="14.25" hidden="false" customHeight="false" outlineLevel="0" collapsed="false">
      <c r="A309" s="28" t="s">
        <v>219</v>
      </c>
      <c r="B309" s="29" t="s">
        <v>220</v>
      </c>
      <c r="C309" s="29" t="s">
        <v>125</v>
      </c>
      <c r="D309" s="21" t="n">
        <v>9245</v>
      </c>
      <c r="E309" s="21" t="str">
        <f aca="false">+CONCATENATE(Tabla[[#This Row],[RUT]],Tabla[[#This Row],[PROVEEDOR]],Tabla[[#This Row],[FACTURA]])</f>
        <v>76115132-0CANAL 13 SpA.9245</v>
      </c>
      <c r="F309" s="57" t="n">
        <v>46078</v>
      </c>
      <c r="G309" s="31" t="n">
        <f aca="false">+F309+30</f>
        <v>46108</v>
      </c>
      <c r="H309" s="29" t="n">
        <f aca="true">+IF(AE309="PAGADA",0,TODAY()-G309)</f>
        <v>0</v>
      </c>
      <c r="I309" s="29" t="str">
        <f aca="false">+IF(H309&gt;180,"Atrasada",IF(H309&gt;150,"150 dias",IF(H309&gt;120,"120 dias",IF(H309&gt;90,"90 dias",IF(H309&gt;60,"60 dias",IF(H309&gt;30,"30 dias","Al Día"))))))</f>
        <v>Al Día</v>
      </c>
      <c r="J309" s="32" t="s">
        <v>80</v>
      </c>
      <c r="K309" s="29" t="s">
        <v>126</v>
      </c>
      <c r="L309" s="33" t="s">
        <v>248</v>
      </c>
      <c r="M309" s="29" t="n">
        <f aca="false">+YEAR(F309)</f>
        <v>2026</v>
      </c>
      <c r="N309" s="29" t="n">
        <v>2026</v>
      </c>
      <c r="O309" s="29" t="n">
        <v>1</v>
      </c>
      <c r="P309" s="29" t="str">
        <f aca="false">+CONCATENATE(Tabla[[#This Row],[MES CAMPAÑA]],"/",Tabla[[#This Row],[AÑO CAMPAÑA]])</f>
        <v>1/2026</v>
      </c>
      <c r="Q309" s="29" t="s">
        <v>161</v>
      </c>
      <c r="R309" s="29"/>
      <c r="S309" s="34" t="n">
        <v>0</v>
      </c>
      <c r="T309" s="34" t="n">
        <v>6020000</v>
      </c>
      <c r="U309" s="34" t="n">
        <v>1143800</v>
      </c>
      <c r="V309" s="29"/>
      <c r="W309" s="35" t="n">
        <v>7163800</v>
      </c>
      <c r="X309" s="36" t="n">
        <f aca="false">+Tabla[[#This Row],[TOTAL]]</f>
        <v>7163800</v>
      </c>
      <c r="Y309" s="37"/>
      <c r="Z309" s="37"/>
      <c r="AA309" s="37"/>
      <c r="AB309" s="38" t="n">
        <f aca="false">+W309-AC309</f>
        <v>0</v>
      </c>
      <c r="AC309" s="34" t="n">
        <f aca="false">+Tabla[[#This Row],[P4]]+Tabla[[#This Row],[P3]]+Tabla[[#This Row],[P2]]+Tabla[[#This Row],[P1]]</f>
        <v>7163800</v>
      </c>
      <c r="AD309" s="34" t="n">
        <f aca="false">+W309-AC309</f>
        <v>0</v>
      </c>
      <c r="AE309" s="21" t="str">
        <f aca="false">IF(AB309&lt;1,"PAGADA","PENDIENTE")</f>
        <v>PAGADA</v>
      </c>
      <c r="AF309" s="21"/>
      <c r="AG309" s="29" t="s">
        <v>126</v>
      </c>
      <c r="AH309" s="40"/>
      <c r="AI309" s="40" t="n">
        <f aca="false">+IF(Tabla[[#This Row],[FECHA PAGO / ABONO]]&lt;1,0,(MONTH(Tabla[[#This Row],[FECHA PAGO / ABONO]])))</f>
        <v>0</v>
      </c>
      <c r="AJ309" s="40" t="n">
        <f aca="false">+IF(Tabla[[#This Row],[FECHA PAGO / ABONO]]&lt;1,0,(YEAR(Tabla[[#This Row],[FECHA PAGO / ABONO]])))</f>
        <v>0</v>
      </c>
      <c r="AK309" s="41" t="s">
        <v>272</v>
      </c>
    </row>
    <row r="310" customFormat="false" ht="14.25" hidden="false" customHeight="false" outlineLevel="0" collapsed="false">
      <c r="A310" s="28" t="s">
        <v>219</v>
      </c>
      <c r="B310" s="29" t="s">
        <v>220</v>
      </c>
      <c r="C310" s="29" t="s">
        <v>125</v>
      </c>
      <c r="D310" s="21" t="n">
        <v>9246</v>
      </c>
      <c r="E310" s="21" t="str">
        <f aca="false">+CONCATENATE(Tabla[[#This Row],[RUT]],Tabla[[#This Row],[PROVEEDOR]],Tabla[[#This Row],[FACTURA]])</f>
        <v>76115132-0CANAL 13 SpA.9246</v>
      </c>
      <c r="F310" s="57" t="n">
        <v>46078</v>
      </c>
      <c r="G310" s="31" t="n">
        <f aca="false">+F310+30</f>
        <v>46108</v>
      </c>
      <c r="H310" s="29" t="n">
        <f aca="true">+IF(AE310="PAGADA",0,TODAY()-G310)</f>
        <v>0</v>
      </c>
      <c r="I310" s="29" t="str">
        <f aca="false">+IF(H310&gt;180,"Atrasada",IF(H310&gt;150,"150 dias",IF(H310&gt;120,"120 dias",IF(H310&gt;90,"90 dias",IF(H310&gt;60,"60 dias",IF(H310&gt;30,"30 dias","Al Día"))))))</f>
        <v>Al Día</v>
      </c>
      <c r="J310" s="32" t="s">
        <v>80</v>
      </c>
      <c r="K310" s="29" t="s">
        <v>126</v>
      </c>
      <c r="L310" s="33" t="s">
        <v>248</v>
      </c>
      <c r="M310" s="29" t="n">
        <f aca="false">+YEAR(F310)</f>
        <v>2026</v>
      </c>
      <c r="N310" s="29" t="n">
        <v>2026</v>
      </c>
      <c r="O310" s="29" t="n">
        <v>1</v>
      </c>
      <c r="P310" s="29" t="str">
        <f aca="false">+CONCATENATE(Tabla[[#This Row],[MES CAMPAÑA]],"/",Tabla[[#This Row],[AÑO CAMPAÑA]])</f>
        <v>1/2026</v>
      </c>
      <c r="Q310" s="29" t="s">
        <v>161</v>
      </c>
      <c r="R310" s="29"/>
      <c r="S310" s="34" t="n">
        <v>0</v>
      </c>
      <c r="T310" s="34" t="n">
        <v>13989500</v>
      </c>
      <c r="U310" s="34" t="n">
        <v>2658005</v>
      </c>
      <c r="V310" s="29"/>
      <c r="W310" s="35" t="n">
        <v>16647505</v>
      </c>
      <c r="X310" s="36" t="n">
        <f aca="false">+Tabla[[#This Row],[TOTAL]]</f>
        <v>16647505</v>
      </c>
      <c r="Y310" s="37"/>
      <c r="Z310" s="37"/>
      <c r="AA310" s="37"/>
      <c r="AB310" s="38" t="n">
        <f aca="false">+W310-AC310</f>
        <v>0</v>
      </c>
      <c r="AC310" s="34" t="n">
        <f aca="false">+Tabla[[#This Row],[P4]]+Tabla[[#This Row],[P3]]+Tabla[[#This Row],[P2]]+Tabla[[#This Row],[P1]]</f>
        <v>16647505</v>
      </c>
      <c r="AD310" s="34" t="n">
        <f aca="false">+W310-AC310</f>
        <v>0</v>
      </c>
      <c r="AE310" s="21" t="str">
        <f aca="false">IF(AB310&lt;1,"PAGADA","PENDIENTE")</f>
        <v>PAGADA</v>
      </c>
      <c r="AF310" s="21"/>
      <c r="AG310" s="29" t="s">
        <v>126</v>
      </c>
      <c r="AH310" s="40"/>
      <c r="AI310" s="40" t="n">
        <f aca="false">+IF(Tabla[[#This Row],[FECHA PAGO / ABONO]]&lt;1,0,(MONTH(Tabla[[#This Row],[FECHA PAGO / ABONO]])))</f>
        <v>0</v>
      </c>
      <c r="AJ310" s="40" t="n">
        <f aca="false">+IF(Tabla[[#This Row],[FECHA PAGO / ABONO]]&lt;1,0,(YEAR(Tabla[[#This Row],[FECHA PAGO / ABONO]])))</f>
        <v>0</v>
      </c>
      <c r="AK310" s="41" t="s">
        <v>273</v>
      </c>
    </row>
    <row r="311" customFormat="false" ht="14.25" hidden="false" customHeight="false" outlineLevel="0" collapsed="false">
      <c r="A311" s="28" t="s">
        <v>231</v>
      </c>
      <c r="B311" s="29" t="s">
        <v>232</v>
      </c>
      <c r="C311" s="29" t="s">
        <v>69</v>
      </c>
      <c r="D311" s="21" t="n">
        <v>319711</v>
      </c>
      <c r="E311" s="21" t="str">
        <f aca="false">+CONCATENATE(Tabla[[#This Row],[RUT]],Tabla[[#This Row],[PROVEEDOR]],Tabla[[#This Row],[FACTURA]])</f>
        <v>99538470-1PORTALES DE NEGOCIOS S.A319711</v>
      </c>
      <c r="F311" s="57" t="n">
        <v>46078</v>
      </c>
      <c r="G311" s="31" t="n">
        <f aca="false">+F311+30</f>
        <v>46108</v>
      </c>
      <c r="H311" s="29" t="n">
        <f aca="true">+IF(AE311="PAGADA",0,TODAY()-G311)</f>
        <v>0</v>
      </c>
      <c r="I311" s="29" t="str">
        <f aca="false">+IF(H311&gt;180,"Atrasada",IF(H311&gt;150,"150 dias",IF(H311&gt;120,"120 dias",IF(H311&gt;90,"90 dias",IF(H311&gt;60,"60 dias",IF(H311&gt;30,"30 dias","Al Día"))))))</f>
        <v>Al Día</v>
      </c>
      <c r="J311" s="32" t="s">
        <v>80</v>
      </c>
      <c r="K311" s="29" t="s">
        <v>81</v>
      </c>
      <c r="L311" s="33" t="s">
        <v>248</v>
      </c>
      <c r="M311" s="29" t="n">
        <f aca="false">+YEAR(F311)</f>
        <v>2026</v>
      </c>
      <c r="N311" s="29" t="n">
        <v>2026</v>
      </c>
      <c r="O311" s="29" t="n">
        <v>1</v>
      </c>
      <c r="P311" s="29" t="str">
        <f aca="false">+CONCATENATE(Tabla[[#This Row],[MES CAMPAÑA]],"/",Tabla[[#This Row],[AÑO CAMPAÑA]])</f>
        <v>1/2026</v>
      </c>
      <c r="Q311" s="29" t="s">
        <v>130</v>
      </c>
      <c r="R311" s="29"/>
      <c r="S311" s="34" t="n">
        <v>0</v>
      </c>
      <c r="T311" s="34" t="n">
        <v>3000000</v>
      </c>
      <c r="U311" s="34" t="n">
        <v>570000</v>
      </c>
      <c r="V311" s="29"/>
      <c r="W311" s="35" t="n">
        <v>3570000</v>
      </c>
      <c r="X311" s="36" t="n">
        <f aca="false">+Tabla[[#This Row],[TOTAL]]</f>
        <v>3570000</v>
      </c>
      <c r="Y311" s="37"/>
      <c r="Z311" s="37"/>
      <c r="AA311" s="37"/>
      <c r="AB311" s="38" t="n">
        <f aca="false">+W311-AC311</f>
        <v>0</v>
      </c>
      <c r="AC311" s="34" t="n">
        <f aca="false">+Tabla[[#This Row],[P4]]+Tabla[[#This Row],[P3]]+Tabla[[#This Row],[P2]]+Tabla[[#This Row],[P1]]</f>
        <v>3570000</v>
      </c>
      <c r="AD311" s="34" t="n">
        <f aca="false">+W311-AC311</f>
        <v>0</v>
      </c>
      <c r="AE311" s="21" t="str">
        <f aca="false">IF(AB311&lt;1,"PAGADA","PENDIENTE")</f>
        <v>PAGADA</v>
      </c>
      <c r="AF311" s="21" t="s">
        <v>233</v>
      </c>
      <c r="AG311" s="29" t="s">
        <v>77</v>
      </c>
      <c r="AH311" s="39" t="n">
        <v>46189</v>
      </c>
      <c r="AI311" s="40" t="n">
        <f aca="false">+IF(Tabla[[#This Row],[FECHA PAGO / ABONO]]&lt;1,0,(MONTH(Tabla[[#This Row],[FECHA PAGO / ABONO]])))</f>
        <v>6</v>
      </c>
      <c r="AJ311" s="40" t="n">
        <f aca="false">+IF(Tabla[[#This Row],[FECHA PAGO / ABONO]]&lt;1,0,(YEAR(Tabla[[#This Row],[FECHA PAGO / ABONO]])))</f>
        <v>2026</v>
      </c>
      <c r="AK311" s="41"/>
    </row>
    <row r="312" customFormat="false" ht="14.25" hidden="false" customHeight="false" outlineLevel="0" collapsed="false">
      <c r="A312" s="28" t="s">
        <v>240</v>
      </c>
      <c r="B312" s="29" t="s">
        <v>241</v>
      </c>
      <c r="C312" s="29" t="s">
        <v>69</v>
      </c>
      <c r="D312" s="21" t="n">
        <v>54890195</v>
      </c>
      <c r="E312" s="21" t="str">
        <f aca="false">+CONCATENATE(Tabla[[#This Row],[RUT]],Tabla[[#This Row],[PROVEEDOR]],Tabla[[#This Row],[FACTURA]])</f>
        <v>97036000-KSantander - Chile54890195</v>
      </c>
      <c r="F312" s="57" t="n">
        <v>46078</v>
      </c>
      <c r="G312" s="31" t="n">
        <f aca="false">+F312+30</f>
        <v>46108</v>
      </c>
      <c r="H312" s="29" t="n">
        <f aca="true">+IF(AE312="PAGADA",0,TODAY()-G312)</f>
        <v>0</v>
      </c>
      <c r="I312" s="29" t="str">
        <f aca="false">+IF(H312&gt;180,"Atrasada",IF(H312&gt;150,"150 dias",IF(H312&gt;120,"120 dias",IF(H312&gt;90,"90 dias",IF(H312&gt;60,"60 dias",IF(H312&gt;30,"30 dias","Al Día"))))))</f>
        <v>Al Día</v>
      </c>
      <c r="J312" s="32" t="s">
        <v>31</v>
      </c>
      <c r="K312" s="29" t="s">
        <v>81</v>
      </c>
      <c r="L312" s="33" t="s">
        <v>248</v>
      </c>
      <c r="M312" s="29" t="n">
        <f aca="false">+YEAR(F312)</f>
        <v>2026</v>
      </c>
      <c r="N312" s="29" t="n">
        <v>2026</v>
      </c>
      <c r="O312" s="29" t="n">
        <v>1</v>
      </c>
      <c r="P312" s="29" t="str">
        <f aca="false">+CONCATENATE(Tabla[[#This Row],[MES CAMPAÑA]],"/",Tabla[[#This Row],[AÑO CAMPAÑA]])</f>
        <v>1/2026</v>
      </c>
      <c r="Q312" s="29" t="s">
        <v>73</v>
      </c>
      <c r="R312" s="29"/>
      <c r="S312" s="34" t="n">
        <v>0</v>
      </c>
      <c r="T312" s="34" t="n">
        <v>20194</v>
      </c>
      <c r="U312" s="34" t="n">
        <v>3837</v>
      </c>
      <c r="V312" s="29"/>
      <c r="W312" s="35" t="n">
        <v>24031</v>
      </c>
      <c r="X312" s="36" t="n">
        <f aca="false">+Tabla[[#This Row],[TOTAL]]</f>
        <v>24031</v>
      </c>
      <c r="Y312" s="37"/>
      <c r="Z312" s="37"/>
      <c r="AA312" s="37"/>
      <c r="AB312" s="38" t="n">
        <f aca="false">+W312-AC312</f>
        <v>0</v>
      </c>
      <c r="AC312" s="34" t="n">
        <f aca="false">+Tabla[[#This Row],[P4]]+Tabla[[#This Row],[P3]]+Tabla[[#This Row],[P2]]+Tabla[[#This Row],[P1]]</f>
        <v>24031</v>
      </c>
      <c r="AD312" s="34" t="n">
        <f aca="false">+W312-AC312</f>
        <v>0</v>
      </c>
      <c r="AE312" s="21" t="str">
        <f aca="false">IF(AB312&lt;1,"PAGADA","PENDIENTE")</f>
        <v>PAGADA</v>
      </c>
      <c r="AF312" s="21"/>
      <c r="AG312" s="29"/>
      <c r="AH312" s="40"/>
      <c r="AI312" s="40" t="n">
        <f aca="false">+IF(Tabla[[#This Row],[FECHA PAGO / ABONO]]&lt;1,0,(MONTH(Tabla[[#This Row],[FECHA PAGO / ABONO]])))</f>
        <v>0</v>
      </c>
      <c r="AJ312" s="40" t="n">
        <f aca="false">+IF(Tabla[[#This Row],[FECHA PAGO / ABONO]]&lt;1,0,(YEAR(Tabla[[#This Row],[FECHA PAGO / ABONO]])))</f>
        <v>0</v>
      </c>
      <c r="AK312" s="41"/>
    </row>
    <row r="313" customFormat="false" ht="14.25" hidden="false" customHeight="false" outlineLevel="0" collapsed="false">
      <c r="A313" s="28" t="s">
        <v>240</v>
      </c>
      <c r="B313" s="29" t="s">
        <v>241</v>
      </c>
      <c r="C313" s="29" t="s">
        <v>229</v>
      </c>
      <c r="D313" s="21" t="n">
        <v>14769017</v>
      </c>
      <c r="E313" s="21" t="str">
        <f aca="false">+CONCATENATE(Tabla[[#This Row],[RUT]],Tabla[[#This Row],[PROVEEDOR]],Tabla[[#This Row],[FACTURA]])</f>
        <v>97036000-KSantander - Chile14769017</v>
      </c>
      <c r="F313" s="57" t="n">
        <v>46078</v>
      </c>
      <c r="G313" s="31" t="n">
        <f aca="false">+F313+30</f>
        <v>46108</v>
      </c>
      <c r="H313" s="29" t="n">
        <f aca="true">+IF(AE313="PAGADA",0,TODAY()-G313)</f>
        <v>0</v>
      </c>
      <c r="I313" s="29" t="str">
        <f aca="false">+IF(H313&gt;180,"Atrasada",IF(H313&gt;150,"150 dias",IF(H313&gt;120,"120 dias",IF(H313&gt;90,"90 dias",IF(H313&gt;60,"60 dias",IF(H313&gt;30,"30 dias","Al Día"))))))</f>
        <v>Al Día</v>
      </c>
      <c r="J313" s="32" t="s">
        <v>31</v>
      </c>
      <c r="K313" s="29" t="s">
        <v>81</v>
      </c>
      <c r="L313" s="33" t="s">
        <v>248</v>
      </c>
      <c r="M313" s="29" t="n">
        <f aca="false">+YEAR(F313)</f>
        <v>2026</v>
      </c>
      <c r="N313" s="29" t="n">
        <v>2026</v>
      </c>
      <c r="O313" s="29" t="n">
        <v>1</v>
      </c>
      <c r="P313" s="29" t="str">
        <f aca="false">+CONCATENATE(Tabla[[#This Row],[MES CAMPAÑA]],"/",Tabla[[#This Row],[AÑO CAMPAÑA]])</f>
        <v>1/2026</v>
      </c>
      <c r="Q313" s="29" t="s">
        <v>73</v>
      </c>
      <c r="R313" s="29"/>
      <c r="S313" s="34" t="n">
        <v>11310</v>
      </c>
      <c r="T313" s="34" t="n">
        <v>0</v>
      </c>
      <c r="U313" s="34" t="n">
        <v>0</v>
      </c>
      <c r="V313" s="29"/>
      <c r="W313" s="35" t="n">
        <v>11310</v>
      </c>
      <c r="X313" s="36" t="n">
        <f aca="false">+Tabla[[#This Row],[TOTAL]]</f>
        <v>11310</v>
      </c>
      <c r="Y313" s="37"/>
      <c r="Z313" s="37"/>
      <c r="AA313" s="37"/>
      <c r="AB313" s="38" t="n">
        <f aca="false">+W313-AC313</f>
        <v>0</v>
      </c>
      <c r="AC313" s="34" t="n">
        <f aca="false">+Tabla[[#This Row],[P4]]+Tabla[[#This Row],[P3]]+Tabla[[#This Row],[P2]]+Tabla[[#This Row],[P1]]</f>
        <v>11310</v>
      </c>
      <c r="AD313" s="34" t="n">
        <f aca="false">+W313-AC313</f>
        <v>0</v>
      </c>
      <c r="AE313" s="21" t="str">
        <f aca="false">IF(AB313&lt;1,"PAGADA","PENDIENTE")</f>
        <v>PAGADA</v>
      </c>
      <c r="AF313" s="21"/>
      <c r="AG313" s="29"/>
      <c r="AH313" s="40"/>
      <c r="AI313" s="40" t="n">
        <f aca="false">+IF(Tabla[[#This Row],[FECHA PAGO / ABONO]]&lt;1,0,(MONTH(Tabla[[#This Row],[FECHA PAGO / ABONO]])))</f>
        <v>0</v>
      </c>
      <c r="AJ313" s="40" t="n">
        <f aca="false">+IF(Tabla[[#This Row],[FECHA PAGO / ABONO]]&lt;1,0,(YEAR(Tabla[[#This Row],[FECHA PAGO / ABONO]])))</f>
        <v>0</v>
      </c>
      <c r="AK313" s="41"/>
    </row>
    <row r="314" customFormat="false" ht="14.25" hidden="false" customHeight="false" outlineLevel="0" collapsed="false">
      <c r="A314" s="28" t="s">
        <v>219</v>
      </c>
      <c r="B314" s="29" t="s">
        <v>220</v>
      </c>
      <c r="C314" s="29" t="s">
        <v>69</v>
      </c>
      <c r="D314" s="21" t="n">
        <v>118368</v>
      </c>
      <c r="E314" s="21" t="str">
        <f aca="false">+CONCATENATE(Tabla[[#This Row],[RUT]],Tabla[[#This Row],[PROVEEDOR]],Tabla[[#This Row],[FACTURA]])</f>
        <v>76115132-0CANAL 13 SpA.118368</v>
      </c>
      <c r="F314" s="57" t="n">
        <v>46079</v>
      </c>
      <c r="G314" s="31" t="n">
        <f aca="false">+F314+30</f>
        <v>46109</v>
      </c>
      <c r="H314" s="29" t="n">
        <f aca="true">+IF(AE314="PAGADA",0,TODAY()-G314)</f>
        <v>95</v>
      </c>
      <c r="I314" s="29" t="str">
        <f aca="false">+IF(H314&gt;180,"Atrasada",IF(H314&gt;150,"150 dias",IF(H314&gt;120,"120 dias",IF(H314&gt;90,"90 dias",IF(H314&gt;60,"60 dias",IF(H314&gt;30,"30 dias","Al Día"))))))</f>
        <v>90 dias</v>
      </c>
      <c r="J314" s="32" t="s">
        <v>80</v>
      </c>
      <c r="K314" s="29" t="s">
        <v>81</v>
      </c>
      <c r="L314" s="33" t="s">
        <v>248</v>
      </c>
      <c r="M314" s="29" t="n">
        <f aca="false">+YEAR(F314)</f>
        <v>2026</v>
      </c>
      <c r="N314" s="29" t="n">
        <v>2026</v>
      </c>
      <c r="O314" s="29" t="n">
        <v>1</v>
      </c>
      <c r="P314" s="29" t="str">
        <f aca="false">+CONCATENATE(Tabla[[#This Row],[MES CAMPAÑA]],"/",Tabla[[#This Row],[AÑO CAMPAÑA]])</f>
        <v>1/2026</v>
      </c>
      <c r="Q314" s="29" t="s">
        <v>105</v>
      </c>
      <c r="R314" s="29"/>
      <c r="S314" s="34" t="n">
        <v>0</v>
      </c>
      <c r="T314" s="34" t="n">
        <v>13989500</v>
      </c>
      <c r="U314" s="34" t="n">
        <v>2658005</v>
      </c>
      <c r="V314" s="29"/>
      <c r="W314" s="35" t="n">
        <v>16647505</v>
      </c>
      <c r="X314" s="36"/>
      <c r="Y314" s="37"/>
      <c r="Z314" s="37"/>
      <c r="AA314" s="37"/>
      <c r="AB314" s="38" t="n">
        <f aca="false">+W314-AC314</f>
        <v>16647505</v>
      </c>
      <c r="AC314" s="34" t="n">
        <f aca="false">+Tabla[[#This Row],[P4]]+Tabla[[#This Row],[P3]]+Tabla[[#This Row],[P2]]+Tabla[[#This Row],[P1]]</f>
        <v>0</v>
      </c>
      <c r="AD314" s="34" t="n">
        <f aca="false">+W314-AC314</f>
        <v>16647505</v>
      </c>
      <c r="AE314" s="21" t="str">
        <f aca="false">IF(AB314&lt;1,"PAGADA","PENDIENTE")</f>
        <v>PENDIENTE</v>
      </c>
      <c r="AF314" s="21"/>
      <c r="AG314" s="29"/>
      <c r="AH314" s="40"/>
      <c r="AI314" s="40" t="n">
        <f aca="false">+IF(Tabla[[#This Row],[FECHA PAGO / ABONO]]&lt;1,0,(MONTH(Tabla[[#This Row],[FECHA PAGO / ABONO]])))</f>
        <v>0</v>
      </c>
      <c r="AJ314" s="40" t="n">
        <f aca="false">+IF(Tabla[[#This Row],[FECHA PAGO / ABONO]]&lt;1,0,(YEAR(Tabla[[#This Row],[FECHA PAGO / ABONO]])))</f>
        <v>0</v>
      </c>
      <c r="AK314" s="41"/>
    </row>
    <row r="315" customFormat="false" ht="14.25" hidden="false" customHeight="false" outlineLevel="0" collapsed="false">
      <c r="A315" s="28" t="s">
        <v>219</v>
      </c>
      <c r="B315" s="29" t="s">
        <v>220</v>
      </c>
      <c r="C315" s="29" t="s">
        <v>69</v>
      </c>
      <c r="D315" s="21" t="n">
        <v>118369</v>
      </c>
      <c r="E315" s="21" t="str">
        <f aca="false">+CONCATENATE(Tabla[[#This Row],[RUT]],Tabla[[#This Row],[PROVEEDOR]],Tabla[[#This Row],[FACTURA]])</f>
        <v>76115132-0CANAL 13 SpA.118369</v>
      </c>
      <c r="F315" s="57" t="n">
        <v>46079</v>
      </c>
      <c r="G315" s="31" t="n">
        <f aca="false">+F315+30</f>
        <v>46109</v>
      </c>
      <c r="H315" s="29" t="n">
        <f aca="true">+IF(AE315="PAGADA",0,TODAY()-G315)</f>
        <v>0</v>
      </c>
      <c r="I315" s="29" t="str">
        <f aca="false">+IF(H315&gt;180,"Atrasada",IF(H315&gt;150,"150 dias",IF(H315&gt;120,"120 dias",IF(H315&gt;90,"90 dias",IF(H315&gt;60,"60 dias",IF(H315&gt;30,"30 dias","Al Día"))))))</f>
        <v>Al Día</v>
      </c>
      <c r="J315" s="32" t="s">
        <v>80</v>
      </c>
      <c r="K315" s="29" t="s">
        <v>81</v>
      </c>
      <c r="L315" s="33" t="s">
        <v>248</v>
      </c>
      <c r="M315" s="29" t="n">
        <f aca="false">+YEAR(F315)</f>
        <v>2026</v>
      </c>
      <c r="N315" s="29" t="n">
        <v>2026</v>
      </c>
      <c r="O315" s="29" t="n">
        <v>1</v>
      </c>
      <c r="P315" s="29" t="str">
        <f aca="false">+CONCATENATE(Tabla[[#This Row],[MES CAMPAÑA]],"/",Tabla[[#This Row],[AÑO CAMPAÑA]])</f>
        <v>1/2026</v>
      </c>
      <c r="Q315" s="29" t="s">
        <v>161</v>
      </c>
      <c r="R315" s="29"/>
      <c r="S315" s="34" t="n">
        <v>0</v>
      </c>
      <c r="T315" s="34" t="n">
        <v>6020000</v>
      </c>
      <c r="U315" s="34" t="n">
        <v>1143800</v>
      </c>
      <c r="V315" s="29"/>
      <c r="W315" s="35" t="n">
        <v>7163800</v>
      </c>
      <c r="X315" s="36" t="n">
        <f aca="false">+Tabla[[#This Row],[TOTAL]]</f>
        <v>7163800</v>
      </c>
      <c r="Y315" s="37"/>
      <c r="Z315" s="37"/>
      <c r="AA315" s="37"/>
      <c r="AB315" s="38" t="n">
        <f aca="false">+W315-AC315</f>
        <v>0</v>
      </c>
      <c r="AC315" s="34" t="n">
        <f aca="false">+Tabla[[#This Row],[P4]]+Tabla[[#This Row],[P3]]+Tabla[[#This Row],[P2]]+Tabla[[#This Row],[P1]]</f>
        <v>7163800</v>
      </c>
      <c r="AD315" s="34" t="n">
        <f aca="false">+W315-AC315</f>
        <v>0</v>
      </c>
      <c r="AE315" s="21" t="str">
        <f aca="false">IF(AB315&lt;1,"PAGADA","PENDIENTE")</f>
        <v>PAGADA</v>
      </c>
      <c r="AF315" s="21"/>
      <c r="AG315" s="29" t="s">
        <v>77</v>
      </c>
      <c r="AH315" s="39" t="n">
        <v>46185</v>
      </c>
      <c r="AI315" s="40" t="n">
        <f aca="false">+IF(Tabla[[#This Row],[FECHA PAGO / ABONO]]&lt;1,0,(MONTH(Tabla[[#This Row],[FECHA PAGO / ABONO]])))</f>
        <v>6</v>
      </c>
      <c r="AJ315" s="40" t="n">
        <f aca="false">+IF(Tabla[[#This Row],[FECHA PAGO / ABONO]]&lt;1,0,(YEAR(Tabla[[#This Row],[FECHA PAGO / ABONO]])))</f>
        <v>2026</v>
      </c>
      <c r="AK315" s="41"/>
    </row>
    <row r="316" customFormat="false" ht="14.25" hidden="false" customHeight="false" outlineLevel="0" collapsed="false">
      <c r="A316" s="28" t="s">
        <v>236</v>
      </c>
      <c r="B316" s="29" t="s">
        <v>237</v>
      </c>
      <c r="C316" s="29" t="s">
        <v>69</v>
      </c>
      <c r="D316" s="21" t="n">
        <v>110407</v>
      </c>
      <c r="E316" s="21" t="str">
        <f aca="false">+CONCATENATE(Tabla[[#This Row],[RUT]],Tabla[[#This Row],[PROVEEDOR]],Tabla[[#This Row],[FACTURA]])</f>
        <v>96669520-KRed De Television Chilevision SA110407</v>
      </c>
      <c r="F316" s="57" t="n">
        <v>46079</v>
      </c>
      <c r="G316" s="31" t="n">
        <f aca="false">+F316+30</f>
        <v>46109</v>
      </c>
      <c r="H316" s="29" t="n">
        <f aca="true">+IF(AE316="PAGADA",0,TODAY()-G316)</f>
        <v>95</v>
      </c>
      <c r="I316" s="29" t="str">
        <f aca="false">+IF(H316&gt;180,"Atrasada",IF(H316&gt;150,"150 dias",IF(H316&gt;120,"120 dias",IF(H316&gt;90,"90 dias",IF(H316&gt;60,"60 dias",IF(H316&gt;30,"30 dias","Al Día"))))))</f>
        <v>90 dias</v>
      </c>
      <c r="J316" s="32" t="s">
        <v>80</v>
      </c>
      <c r="K316" s="29" t="s">
        <v>81</v>
      </c>
      <c r="L316" s="33" t="s">
        <v>248</v>
      </c>
      <c r="M316" s="29" t="n">
        <f aca="false">+YEAR(F316)</f>
        <v>2026</v>
      </c>
      <c r="N316" s="29" t="n">
        <v>2026</v>
      </c>
      <c r="O316" s="29" t="n">
        <v>1</v>
      </c>
      <c r="P316" s="29" t="str">
        <f aca="false">+CONCATENATE(Tabla[[#This Row],[MES CAMPAÑA]],"/",Tabla[[#This Row],[AÑO CAMPAÑA]])</f>
        <v>1/2026</v>
      </c>
      <c r="Q316" s="29" t="s">
        <v>123</v>
      </c>
      <c r="R316" s="29"/>
      <c r="S316" s="34" t="n">
        <v>0</v>
      </c>
      <c r="T316" s="34" t="n">
        <v>2000000</v>
      </c>
      <c r="U316" s="34" t="n">
        <v>380000</v>
      </c>
      <c r="V316" s="29"/>
      <c r="W316" s="35" t="n">
        <v>2380000</v>
      </c>
      <c r="X316" s="36"/>
      <c r="Y316" s="37"/>
      <c r="Z316" s="37"/>
      <c r="AA316" s="37"/>
      <c r="AB316" s="38" t="n">
        <f aca="false">+W316-AC316</f>
        <v>2380000</v>
      </c>
      <c r="AC316" s="34" t="n">
        <f aca="false">+Tabla[[#This Row],[P4]]+Tabla[[#This Row],[P3]]+Tabla[[#This Row],[P2]]+Tabla[[#This Row],[P1]]</f>
        <v>0</v>
      </c>
      <c r="AD316" s="34" t="n">
        <f aca="false">+W316-AC316</f>
        <v>2380000</v>
      </c>
      <c r="AE316" s="21" t="str">
        <f aca="false">IF(AB316&lt;1,"PAGADA","PENDIENTE")</f>
        <v>PENDIENTE</v>
      </c>
      <c r="AF316" s="21"/>
      <c r="AG316" s="29"/>
      <c r="AH316" s="40"/>
      <c r="AI316" s="40" t="n">
        <f aca="false">+IF(Tabla[[#This Row],[FECHA PAGO / ABONO]]&lt;1,0,(MONTH(Tabla[[#This Row],[FECHA PAGO / ABONO]])))</f>
        <v>0</v>
      </c>
      <c r="AJ316" s="40" t="n">
        <f aca="false">+IF(Tabla[[#This Row],[FECHA PAGO / ABONO]]&lt;1,0,(YEAR(Tabla[[#This Row],[FECHA PAGO / ABONO]])))</f>
        <v>0</v>
      </c>
      <c r="AK316" s="41"/>
    </row>
    <row r="317" customFormat="false" ht="14.25" hidden="false" customHeight="false" outlineLevel="0" collapsed="false">
      <c r="A317" s="28" t="s">
        <v>236</v>
      </c>
      <c r="B317" s="29" t="s">
        <v>237</v>
      </c>
      <c r="C317" s="29" t="s">
        <v>69</v>
      </c>
      <c r="D317" s="21" t="n">
        <v>110408</v>
      </c>
      <c r="E317" s="21" t="str">
        <f aca="false">+CONCATENATE(Tabla[[#This Row],[RUT]],Tabla[[#This Row],[PROVEEDOR]],Tabla[[#This Row],[FACTURA]])</f>
        <v>96669520-KRed De Television Chilevision SA110408</v>
      </c>
      <c r="F317" s="57" t="n">
        <v>46079</v>
      </c>
      <c r="G317" s="31" t="n">
        <f aca="false">+F317+30</f>
        <v>46109</v>
      </c>
      <c r="H317" s="29" t="n">
        <f aca="true">+IF(AE317="PAGADA",0,TODAY()-G317)</f>
        <v>95</v>
      </c>
      <c r="I317" s="29" t="str">
        <f aca="false">+IF(H317&gt;180,"Atrasada",IF(H317&gt;150,"150 dias",IF(H317&gt;120,"120 dias",IF(H317&gt;90,"90 dias",IF(H317&gt;60,"60 dias",IF(H317&gt;30,"30 dias","Al Día"))))))</f>
        <v>90 dias</v>
      </c>
      <c r="J317" s="32" t="s">
        <v>80</v>
      </c>
      <c r="K317" s="29" t="s">
        <v>81</v>
      </c>
      <c r="L317" s="33" t="s">
        <v>248</v>
      </c>
      <c r="M317" s="29" t="n">
        <f aca="false">+YEAR(F317)</f>
        <v>2026</v>
      </c>
      <c r="N317" s="29" t="n">
        <v>2026</v>
      </c>
      <c r="O317" s="29" t="n">
        <v>1</v>
      </c>
      <c r="P317" s="29" t="str">
        <f aca="false">+CONCATENATE(Tabla[[#This Row],[MES CAMPAÑA]],"/",Tabla[[#This Row],[AÑO CAMPAÑA]])</f>
        <v>1/2026</v>
      </c>
      <c r="Q317" s="29" t="s">
        <v>105</v>
      </c>
      <c r="R317" s="29"/>
      <c r="S317" s="34" t="n">
        <v>0</v>
      </c>
      <c r="T317" s="34" t="n">
        <v>4344348</v>
      </c>
      <c r="U317" s="34" t="n">
        <v>825426</v>
      </c>
      <c r="V317" s="29"/>
      <c r="W317" s="35" t="n">
        <v>5169774</v>
      </c>
      <c r="X317" s="36"/>
      <c r="Y317" s="37"/>
      <c r="Z317" s="37"/>
      <c r="AA317" s="37"/>
      <c r="AB317" s="38" t="n">
        <f aca="false">+W317-AC317</f>
        <v>5169774</v>
      </c>
      <c r="AC317" s="34" t="n">
        <f aca="false">+Tabla[[#This Row],[P4]]+Tabla[[#This Row],[P3]]+Tabla[[#This Row],[P2]]+Tabla[[#This Row],[P1]]</f>
        <v>0</v>
      </c>
      <c r="AD317" s="34" t="n">
        <f aca="false">+W317-AC317</f>
        <v>5169774</v>
      </c>
      <c r="AE317" s="21" t="str">
        <f aca="false">IF(AB317&lt;1,"PAGADA","PENDIENTE")</f>
        <v>PENDIENTE</v>
      </c>
      <c r="AF317" s="21"/>
      <c r="AG317" s="29"/>
      <c r="AH317" s="40"/>
      <c r="AI317" s="40" t="n">
        <f aca="false">+IF(Tabla[[#This Row],[FECHA PAGO / ABONO]]&lt;1,0,(MONTH(Tabla[[#This Row],[FECHA PAGO / ABONO]])))</f>
        <v>0</v>
      </c>
      <c r="AJ317" s="40" t="n">
        <f aca="false">+IF(Tabla[[#This Row],[FECHA PAGO / ABONO]]&lt;1,0,(YEAR(Tabla[[#This Row],[FECHA PAGO / ABONO]])))</f>
        <v>0</v>
      </c>
      <c r="AK317" s="41"/>
    </row>
    <row r="318" customFormat="false" ht="14.25" hidden="false" customHeight="false" outlineLevel="0" collapsed="false">
      <c r="A318" s="28" t="s">
        <v>236</v>
      </c>
      <c r="B318" s="29" t="s">
        <v>237</v>
      </c>
      <c r="C318" s="29" t="s">
        <v>69</v>
      </c>
      <c r="D318" s="21" t="n">
        <v>110409</v>
      </c>
      <c r="E318" s="21" t="str">
        <f aca="false">+CONCATENATE(Tabla[[#This Row],[RUT]],Tabla[[#This Row],[PROVEEDOR]],Tabla[[#This Row],[FACTURA]])</f>
        <v>96669520-KRed De Television Chilevision SA110409</v>
      </c>
      <c r="F318" s="57" t="n">
        <v>46079</v>
      </c>
      <c r="G318" s="31" t="n">
        <f aca="false">+F318+30</f>
        <v>46109</v>
      </c>
      <c r="H318" s="29" t="n">
        <f aca="true">+IF(AE318="PAGADA",0,TODAY()-G318)</f>
        <v>95</v>
      </c>
      <c r="I318" s="29" t="str">
        <f aca="false">+IF(H318&gt;180,"Atrasada",IF(H318&gt;150,"150 dias",IF(H318&gt;120,"120 dias",IF(H318&gt;90,"90 dias",IF(H318&gt;60,"60 dias",IF(H318&gt;30,"30 dias","Al Día"))))))</f>
        <v>90 dias</v>
      </c>
      <c r="J318" s="32" t="s">
        <v>80</v>
      </c>
      <c r="K318" s="29" t="s">
        <v>81</v>
      </c>
      <c r="L318" s="33" t="s">
        <v>248</v>
      </c>
      <c r="M318" s="29" t="n">
        <f aca="false">+YEAR(F318)</f>
        <v>2026</v>
      </c>
      <c r="N318" s="29" t="n">
        <v>2026</v>
      </c>
      <c r="O318" s="29" t="n">
        <v>1</v>
      </c>
      <c r="P318" s="29" t="str">
        <f aca="false">+CONCATENATE(Tabla[[#This Row],[MES CAMPAÑA]],"/",Tabla[[#This Row],[AÑO CAMPAÑA]])</f>
        <v>1/2026</v>
      </c>
      <c r="Q318" s="29" t="s">
        <v>161</v>
      </c>
      <c r="R318" s="29"/>
      <c r="S318" s="34" t="n">
        <v>0</v>
      </c>
      <c r="T318" s="34" t="n">
        <v>4911668</v>
      </c>
      <c r="U318" s="34" t="n">
        <v>933217</v>
      </c>
      <c r="V318" s="29"/>
      <c r="W318" s="35" t="n">
        <v>5844885</v>
      </c>
      <c r="X318" s="36"/>
      <c r="Y318" s="37"/>
      <c r="Z318" s="37"/>
      <c r="AA318" s="37"/>
      <c r="AB318" s="38" t="n">
        <f aca="false">+W318-AC318</f>
        <v>5844885</v>
      </c>
      <c r="AC318" s="34" t="n">
        <f aca="false">+Tabla[[#This Row],[P4]]+Tabla[[#This Row],[P3]]+Tabla[[#This Row],[P2]]+Tabla[[#This Row],[P1]]</f>
        <v>0</v>
      </c>
      <c r="AD318" s="34" t="n">
        <f aca="false">+W318-AC318</f>
        <v>5844885</v>
      </c>
      <c r="AE318" s="21" t="str">
        <f aca="false">IF(AB318&lt;1,"PAGADA","PENDIENTE")</f>
        <v>PENDIENTE</v>
      </c>
      <c r="AF318" s="21"/>
      <c r="AG318" s="29"/>
      <c r="AH318" s="40"/>
      <c r="AI318" s="40" t="n">
        <f aca="false">+IF(Tabla[[#This Row],[FECHA PAGO / ABONO]]&lt;1,0,(MONTH(Tabla[[#This Row],[FECHA PAGO / ABONO]])))</f>
        <v>0</v>
      </c>
      <c r="AJ318" s="40" t="n">
        <f aca="false">+IF(Tabla[[#This Row],[FECHA PAGO / ABONO]]&lt;1,0,(YEAR(Tabla[[#This Row],[FECHA PAGO / ABONO]])))</f>
        <v>0</v>
      </c>
      <c r="AK318" s="41"/>
    </row>
    <row r="319" customFormat="false" ht="14.25" hidden="false" customHeight="false" outlineLevel="0" collapsed="false">
      <c r="A319" s="28" t="s">
        <v>236</v>
      </c>
      <c r="B319" s="29" t="s">
        <v>237</v>
      </c>
      <c r="C319" s="29" t="s">
        <v>69</v>
      </c>
      <c r="D319" s="21" t="n">
        <v>110410</v>
      </c>
      <c r="E319" s="21" t="str">
        <f aca="false">+CONCATENATE(Tabla[[#This Row],[RUT]],Tabla[[#This Row],[PROVEEDOR]],Tabla[[#This Row],[FACTURA]])</f>
        <v>96669520-KRed De Television Chilevision SA110410</v>
      </c>
      <c r="F319" s="57" t="n">
        <v>46079</v>
      </c>
      <c r="G319" s="31" t="n">
        <f aca="false">+F319+30</f>
        <v>46109</v>
      </c>
      <c r="H319" s="29" t="n">
        <f aca="true">+IF(AE319="PAGADA",0,TODAY()-G319)</f>
        <v>95</v>
      </c>
      <c r="I319" s="29" t="str">
        <f aca="false">+IF(H319&gt;180,"Atrasada",IF(H319&gt;150,"150 dias",IF(H319&gt;120,"120 dias",IF(H319&gt;90,"90 dias",IF(H319&gt;60,"60 dias",IF(H319&gt;30,"30 dias","Al Día"))))))</f>
        <v>90 dias</v>
      </c>
      <c r="J319" s="32" t="s">
        <v>80</v>
      </c>
      <c r="K319" s="29" t="s">
        <v>81</v>
      </c>
      <c r="L319" s="33" t="s">
        <v>248</v>
      </c>
      <c r="M319" s="29" t="n">
        <f aca="false">+YEAR(F319)</f>
        <v>2026</v>
      </c>
      <c r="N319" s="29" t="n">
        <v>2026</v>
      </c>
      <c r="O319" s="29" t="n">
        <v>1</v>
      </c>
      <c r="P319" s="29" t="str">
        <f aca="false">+CONCATENATE(Tabla[[#This Row],[MES CAMPAÑA]],"/",Tabla[[#This Row],[AÑO CAMPAÑA]])</f>
        <v>1/2026</v>
      </c>
      <c r="Q319" s="29" t="s">
        <v>105</v>
      </c>
      <c r="R319" s="29"/>
      <c r="S319" s="34" t="n">
        <v>0</v>
      </c>
      <c r="T319" s="34" t="n">
        <v>5461006</v>
      </c>
      <c r="U319" s="34" t="n">
        <v>1037591</v>
      </c>
      <c r="V319" s="29"/>
      <c r="W319" s="35" t="n">
        <v>6498597</v>
      </c>
      <c r="X319" s="36"/>
      <c r="Y319" s="37"/>
      <c r="Z319" s="37"/>
      <c r="AA319" s="37"/>
      <c r="AB319" s="38" t="n">
        <f aca="false">+W319-AC319</f>
        <v>6498597</v>
      </c>
      <c r="AC319" s="34" t="n">
        <f aca="false">+Tabla[[#This Row],[P4]]+Tabla[[#This Row],[P3]]+Tabla[[#This Row],[P2]]+Tabla[[#This Row],[P1]]</f>
        <v>0</v>
      </c>
      <c r="AD319" s="34" t="n">
        <f aca="false">+W319-AC319</f>
        <v>6498597</v>
      </c>
      <c r="AE319" s="21" t="str">
        <f aca="false">IF(AB319&lt;1,"PAGADA","PENDIENTE")</f>
        <v>PENDIENTE</v>
      </c>
      <c r="AF319" s="21"/>
      <c r="AG319" s="29"/>
      <c r="AH319" s="40"/>
      <c r="AI319" s="40" t="n">
        <f aca="false">+IF(Tabla[[#This Row],[FECHA PAGO / ABONO]]&lt;1,0,(MONTH(Tabla[[#This Row],[FECHA PAGO / ABONO]])))</f>
        <v>0</v>
      </c>
      <c r="AJ319" s="40" t="n">
        <f aca="false">+IF(Tabla[[#This Row],[FECHA PAGO / ABONO]]&lt;1,0,(YEAR(Tabla[[#This Row],[FECHA PAGO / ABONO]])))</f>
        <v>0</v>
      </c>
      <c r="AK319" s="41"/>
    </row>
    <row r="320" customFormat="false" ht="14.25" hidden="false" customHeight="false" outlineLevel="0" collapsed="false">
      <c r="A320" s="28" t="s">
        <v>236</v>
      </c>
      <c r="B320" s="29" t="s">
        <v>237</v>
      </c>
      <c r="C320" s="29" t="s">
        <v>69</v>
      </c>
      <c r="D320" s="21" t="n">
        <v>110411</v>
      </c>
      <c r="E320" s="21" t="str">
        <f aca="false">+CONCATENATE(Tabla[[#This Row],[RUT]],Tabla[[#This Row],[PROVEEDOR]],Tabla[[#This Row],[FACTURA]])</f>
        <v>96669520-KRed De Television Chilevision SA110411</v>
      </c>
      <c r="F320" s="57" t="n">
        <v>46079</v>
      </c>
      <c r="G320" s="31" t="n">
        <f aca="false">+F320+30</f>
        <v>46109</v>
      </c>
      <c r="H320" s="29" t="n">
        <f aca="true">+IF(AE320="PAGADA",0,TODAY()-G320)</f>
        <v>95</v>
      </c>
      <c r="I320" s="29" t="str">
        <f aca="false">+IF(H320&gt;180,"Atrasada",IF(H320&gt;150,"150 dias",IF(H320&gt;120,"120 dias",IF(H320&gt;90,"90 dias",IF(H320&gt;60,"60 dias",IF(H320&gt;30,"30 dias","Al Día"))))))</f>
        <v>90 dias</v>
      </c>
      <c r="J320" s="32" t="s">
        <v>80</v>
      </c>
      <c r="K320" s="29" t="s">
        <v>81</v>
      </c>
      <c r="L320" s="33" t="s">
        <v>248</v>
      </c>
      <c r="M320" s="29" t="n">
        <f aca="false">+YEAR(F320)</f>
        <v>2026</v>
      </c>
      <c r="N320" s="29" t="n">
        <v>2026</v>
      </c>
      <c r="O320" s="29" t="n">
        <v>1</v>
      </c>
      <c r="P320" s="29" t="str">
        <f aca="false">+CONCATENATE(Tabla[[#This Row],[MES CAMPAÑA]],"/",Tabla[[#This Row],[AÑO CAMPAÑA]])</f>
        <v>1/2026</v>
      </c>
      <c r="Q320" s="29" t="s">
        <v>105</v>
      </c>
      <c r="R320" s="29"/>
      <c r="S320" s="34" t="n">
        <v>0</v>
      </c>
      <c r="T320" s="34" t="n">
        <v>5604467</v>
      </c>
      <c r="U320" s="34" t="n">
        <v>1064849</v>
      </c>
      <c r="V320" s="29"/>
      <c r="W320" s="35" t="n">
        <v>6669316</v>
      </c>
      <c r="X320" s="36"/>
      <c r="Y320" s="37"/>
      <c r="Z320" s="37"/>
      <c r="AA320" s="37"/>
      <c r="AB320" s="38" t="n">
        <f aca="false">+W320-AC320</f>
        <v>6669316</v>
      </c>
      <c r="AC320" s="34" t="n">
        <f aca="false">+Tabla[[#This Row],[P4]]+Tabla[[#This Row],[P3]]+Tabla[[#This Row],[P2]]+Tabla[[#This Row],[P1]]</f>
        <v>0</v>
      </c>
      <c r="AD320" s="34" t="n">
        <f aca="false">+W320-AC320</f>
        <v>6669316</v>
      </c>
      <c r="AE320" s="21" t="str">
        <f aca="false">IF(AB320&lt;1,"PAGADA","PENDIENTE")</f>
        <v>PENDIENTE</v>
      </c>
      <c r="AF320" s="21"/>
      <c r="AG320" s="29"/>
      <c r="AH320" s="40"/>
      <c r="AI320" s="40" t="n">
        <f aca="false">+IF(Tabla[[#This Row],[FECHA PAGO / ABONO]]&lt;1,0,(MONTH(Tabla[[#This Row],[FECHA PAGO / ABONO]])))</f>
        <v>0</v>
      </c>
      <c r="AJ320" s="40" t="n">
        <f aca="false">+IF(Tabla[[#This Row],[FECHA PAGO / ABONO]]&lt;1,0,(YEAR(Tabla[[#This Row],[FECHA PAGO / ABONO]])))</f>
        <v>0</v>
      </c>
      <c r="AK320" s="41"/>
    </row>
    <row r="321" customFormat="false" ht="14.25" hidden="false" customHeight="false" outlineLevel="0" collapsed="false">
      <c r="A321" s="28" t="s">
        <v>236</v>
      </c>
      <c r="B321" s="29" t="s">
        <v>237</v>
      </c>
      <c r="C321" s="29" t="s">
        <v>69</v>
      </c>
      <c r="D321" s="21" t="n">
        <v>110412</v>
      </c>
      <c r="E321" s="21" t="str">
        <f aca="false">+CONCATENATE(Tabla[[#This Row],[RUT]],Tabla[[#This Row],[PROVEEDOR]],Tabla[[#This Row],[FACTURA]])</f>
        <v>96669520-KRed De Television Chilevision SA110412</v>
      </c>
      <c r="F321" s="57" t="n">
        <v>46079</v>
      </c>
      <c r="G321" s="31" t="n">
        <f aca="false">+F321+30</f>
        <v>46109</v>
      </c>
      <c r="H321" s="29" t="n">
        <f aca="true">+IF(AE321="PAGADA",0,TODAY()-G321)</f>
        <v>95</v>
      </c>
      <c r="I321" s="29" t="str">
        <f aca="false">+IF(H321&gt;180,"Atrasada",IF(H321&gt;150,"150 dias",IF(H321&gt;120,"120 dias",IF(H321&gt;90,"90 dias",IF(H321&gt;60,"60 dias",IF(H321&gt;30,"30 dias","Al Día"))))))</f>
        <v>90 dias</v>
      </c>
      <c r="J321" s="32" t="s">
        <v>80</v>
      </c>
      <c r="K321" s="29" t="s">
        <v>81</v>
      </c>
      <c r="L321" s="33" t="s">
        <v>248</v>
      </c>
      <c r="M321" s="29" t="n">
        <f aca="false">+YEAR(F321)</f>
        <v>2026</v>
      </c>
      <c r="N321" s="29" t="n">
        <v>2026</v>
      </c>
      <c r="O321" s="29" t="n">
        <v>1</v>
      </c>
      <c r="P321" s="29" t="str">
        <f aca="false">+CONCATENATE(Tabla[[#This Row],[MES CAMPAÑA]],"/",Tabla[[#This Row],[AÑO CAMPAÑA]])</f>
        <v>1/2026</v>
      </c>
      <c r="Q321" s="29" t="s">
        <v>123</v>
      </c>
      <c r="R321" s="29"/>
      <c r="S321" s="34" t="n">
        <v>0</v>
      </c>
      <c r="T321" s="34" t="n">
        <v>5616000</v>
      </c>
      <c r="U321" s="34" t="n">
        <v>1067040</v>
      </c>
      <c r="V321" s="29"/>
      <c r="W321" s="35" t="n">
        <v>6683040</v>
      </c>
      <c r="X321" s="36"/>
      <c r="Y321" s="37"/>
      <c r="Z321" s="37"/>
      <c r="AA321" s="37"/>
      <c r="AB321" s="38" t="n">
        <f aca="false">+W321-AC321</f>
        <v>6683040</v>
      </c>
      <c r="AC321" s="34" t="n">
        <f aca="false">+Tabla[[#This Row],[P4]]+Tabla[[#This Row],[P3]]+Tabla[[#This Row],[P2]]+Tabla[[#This Row],[P1]]</f>
        <v>0</v>
      </c>
      <c r="AD321" s="34" t="n">
        <f aca="false">+W321-AC321</f>
        <v>6683040</v>
      </c>
      <c r="AE321" s="21" t="str">
        <f aca="false">IF(AB321&lt;1,"PAGADA","PENDIENTE")</f>
        <v>PENDIENTE</v>
      </c>
      <c r="AF321" s="21"/>
      <c r="AG321" s="29"/>
      <c r="AH321" s="40"/>
      <c r="AI321" s="40" t="n">
        <f aca="false">+IF(Tabla[[#This Row],[FECHA PAGO / ABONO]]&lt;1,0,(MONTH(Tabla[[#This Row],[FECHA PAGO / ABONO]])))</f>
        <v>0</v>
      </c>
      <c r="AJ321" s="40" t="n">
        <f aca="false">+IF(Tabla[[#This Row],[FECHA PAGO / ABONO]]&lt;1,0,(YEAR(Tabla[[#This Row],[FECHA PAGO / ABONO]])))</f>
        <v>0</v>
      </c>
      <c r="AK321" s="41"/>
    </row>
    <row r="322" customFormat="false" ht="14.25" hidden="false" customHeight="false" outlineLevel="0" collapsed="false">
      <c r="A322" s="28" t="s">
        <v>236</v>
      </c>
      <c r="B322" s="29" t="s">
        <v>237</v>
      </c>
      <c r="C322" s="29" t="s">
        <v>69</v>
      </c>
      <c r="D322" s="21" t="n">
        <v>110413</v>
      </c>
      <c r="E322" s="21" t="str">
        <f aca="false">+CONCATENATE(Tabla[[#This Row],[RUT]],Tabla[[#This Row],[PROVEEDOR]],Tabla[[#This Row],[FACTURA]])</f>
        <v>96669520-KRed De Television Chilevision SA110413</v>
      </c>
      <c r="F322" s="57" t="n">
        <v>46079</v>
      </c>
      <c r="G322" s="31" t="n">
        <f aca="false">+F322+30</f>
        <v>46109</v>
      </c>
      <c r="H322" s="29" t="n">
        <f aca="true">+IF(AE322="PAGADA",0,TODAY()-G322)</f>
        <v>95</v>
      </c>
      <c r="I322" s="29" t="str">
        <f aca="false">+IF(H322&gt;180,"Atrasada",IF(H322&gt;150,"150 dias",IF(H322&gt;120,"120 dias",IF(H322&gt;90,"90 dias",IF(H322&gt;60,"60 dias",IF(H322&gt;30,"30 dias","Al Día"))))))</f>
        <v>90 dias</v>
      </c>
      <c r="J322" s="32" t="s">
        <v>80</v>
      </c>
      <c r="K322" s="29" t="s">
        <v>81</v>
      </c>
      <c r="L322" s="33" t="s">
        <v>248</v>
      </c>
      <c r="M322" s="29" t="n">
        <f aca="false">+YEAR(F322)</f>
        <v>2026</v>
      </c>
      <c r="N322" s="29" t="n">
        <v>2026</v>
      </c>
      <c r="O322" s="29" t="n">
        <v>1</v>
      </c>
      <c r="P322" s="29" t="str">
        <f aca="false">+CONCATENATE(Tabla[[#This Row],[MES CAMPAÑA]],"/",Tabla[[#This Row],[AÑO CAMPAÑA]])</f>
        <v>1/2026</v>
      </c>
      <c r="Q322" s="29" t="s">
        <v>123</v>
      </c>
      <c r="R322" s="29"/>
      <c r="S322" s="34" t="n">
        <v>0</v>
      </c>
      <c r="T322" s="34" t="n">
        <v>842400</v>
      </c>
      <c r="U322" s="34" t="n">
        <v>160056</v>
      </c>
      <c r="V322" s="29"/>
      <c r="W322" s="35" t="n">
        <v>1002456</v>
      </c>
      <c r="X322" s="36"/>
      <c r="Y322" s="37"/>
      <c r="Z322" s="37"/>
      <c r="AA322" s="37"/>
      <c r="AB322" s="38" t="n">
        <f aca="false">+W322-AC322</f>
        <v>1002456</v>
      </c>
      <c r="AC322" s="34" t="n">
        <f aca="false">+Tabla[[#This Row],[P4]]+Tabla[[#This Row],[P3]]+Tabla[[#This Row],[P2]]+Tabla[[#This Row],[P1]]</f>
        <v>0</v>
      </c>
      <c r="AD322" s="34" t="n">
        <f aca="false">+W322-AC322</f>
        <v>1002456</v>
      </c>
      <c r="AE322" s="21" t="str">
        <f aca="false">IF(AB322&lt;1,"PAGADA","PENDIENTE")</f>
        <v>PENDIENTE</v>
      </c>
      <c r="AF322" s="21"/>
      <c r="AG322" s="29"/>
      <c r="AH322" s="40"/>
      <c r="AI322" s="40" t="n">
        <f aca="false">+IF(Tabla[[#This Row],[FECHA PAGO / ABONO]]&lt;1,0,(MONTH(Tabla[[#This Row],[FECHA PAGO / ABONO]])))</f>
        <v>0</v>
      </c>
      <c r="AJ322" s="40" t="n">
        <f aca="false">+IF(Tabla[[#This Row],[FECHA PAGO / ABONO]]&lt;1,0,(YEAR(Tabla[[#This Row],[FECHA PAGO / ABONO]])))</f>
        <v>0</v>
      </c>
      <c r="AK322" s="41"/>
    </row>
    <row r="323" customFormat="false" ht="14.25" hidden="false" customHeight="false" outlineLevel="0" collapsed="false">
      <c r="A323" s="28" t="s">
        <v>238</v>
      </c>
      <c r="B323" s="29" t="s">
        <v>239</v>
      </c>
      <c r="C323" s="29" t="s">
        <v>229</v>
      </c>
      <c r="D323" s="21" t="n">
        <v>214</v>
      </c>
      <c r="E323" s="21" t="str">
        <f aca="false">+CONCATENATE(Tabla[[#This Row],[RUT]],Tabla[[#This Row],[PROVEEDOR]],Tabla[[#This Row],[FACTURA]])</f>
        <v>77688283-6SOCIEDAD DE PROFESIONALES YY LIMITADA214</v>
      </c>
      <c r="F323" s="57" t="n">
        <v>46079</v>
      </c>
      <c r="G323" s="31" t="n">
        <f aca="false">+F323+30</f>
        <v>46109</v>
      </c>
      <c r="H323" s="29" t="n">
        <f aca="true">+IF(AE323="PAGADA",0,TODAY()-G323)</f>
        <v>0</v>
      </c>
      <c r="I323" s="29" t="str">
        <f aca="false">+IF(H323&gt;180,"Atrasada",IF(H323&gt;150,"150 dias",IF(H323&gt;120,"120 dias",IF(H323&gt;90,"90 dias",IF(H323&gt;60,"60 dias",IF(H323&gt;30,"30 dias","Al Día"))))))</f>
        <v>Al Día</v>
      </c>
      <c r="J323" s="32" t="s">
        <v>31</v>
      </c>
      <c r="K323" s="29" t="s">
        <v>81</v>
      </c>
      <c r="L323" s="33" t="s">
        <v>248</v>
      </c>
      <c r="M323" s="29" t="n">
        <f aca="false">+YEAR(F323)</f>
        <v>2026</v>
      </c>
      <c r="N323" s="29" t="n">
        <v>2026</v>
      </c>
      <c r="O323" s="29" t="n">
        <v>2</v>
      </c>
      <c r="P323" s="29" t="str">
        <f aca="false">+CONCATENATE(Tabla[[#This Row],[MES CAMPAÑA]],"/",Tabla[[#This Row],[AÑO CAMPAÑA]])</f>
        <v>2/2026</v>
      </c>
      <c r="Q323" s="29" t="s">
        <v>274</v>
      </c>
      <c r="R323" s="29"/>
      <c r="S323" s="34" t="n">
        <v>6500000</v>
      </c>
      <c r="T323" s="34" t="n">
        <v>0</v>
      </c>
      <c r="U323" s="34" t="n">
        <v>0</v>
      </c>
      <c r="V323" s="29"/>
      <c r="W323" s="35" t="n">
        <v>6500000</v>
      </c>
      <c r="X323" s="36" t="n">
        <f aca="false">+Tabla[[#This Row],[TOTAL]]</f>
        <v>6500000</v>
      </c>
      <c r="Y323" s="37"/>
      <c r="Z323" s="37"/>
      <c r="AA323" s="37"/>
      <c r="AB323" s="38" t="n">
        <f aca="false">+W323-AC323</f>
        <v>0</v>
      </c>
      <c r="AC323" s="34" t="n">
        <f aca="false">+Tabla[[#This Row],[P4]]+Tabla[[#This Row],[P3]]+Tabla[[#This Row],[P2]]+Tabla[[#This Row],[P1]]</f>
        <v>6500000</v>
      </c>
      <c r="AD323" s="34" t="n">
        <f aca="false">+W323-AC323</f>
        <v>0</v>
      </c>
      <c r="AE323" s="21" t="str">
        <f aca="false">IF(AB323&lt;1,"PAGADA","PENDIENTE")</f>
        <v>PAGADA</v>
      </c>
      <c r="AF323" s="21"/>
      <c r="AG323" s="29" t="s">
        <v>77</v>
      </c>
      <c r="AH323" s="39" t="n">
        <v>46079</v>
      </c>
      <c r="AI323" s="40" t="n">
        <f aca="false">+IF(Tabla[[#This Row],[FECHA PAGO / ABONO]]&lt;1,0,(MONTH(Tabla[[#This Row],[FECHA PAGO / ABONO]])))</f>
        <v>2</v>
      </c>
      <c r="AJ323" s="40" t="n">
        <f aca="false">+IF(Tabla[[#This Row],[FECHA PAGO / ABONO]]&lt;1,0,(YEAR(Tabla[[#This Row],[FECHA PAGO / ABONO]])))</f>
        <v>2026</v>
      </c>
      <c r="AK323" s="41"/>
    </row>
    <row r="324" customFormat="false" ht="14.25" hidden="false" customHeight="false" outlineLevel="0" collapsed="false">
      <c r="A324" s="28" t="s">
        <v>121</v>
      </c>
      <c r="B324" s="29" t="s">
        <v>122</v>
      </c>
      <c r="C324" s="29" t="s">
        <v>69</v>
      </c>
      <c r="D324" s="21" t="n">
        <v>11116</v>
      </c>
      <c r="E324" s="21" t="str">
        <f aca="false">+CONCATENATE(Tabla[[#This Row],[RUT]],Tabla[[#This Row],[PROVEEDOR]],Tabla[[#This Row],[FACTURA]])</f>
        <v>76166681-9HS CHILE SPA11116</v>
      </c>
      <c r="F324" s="57" t="n">
        <v>46080</v>
      </c>
      <c r="G324" s="31" t="n">
        <f aca="false">+F324+30</f>
        <v>46110</v>
      </c>
      <c r="H324" s="29" t="n">
        <f aca="true">+IF(AE324="PAGADA",0,TODAY()-G324)</f>
        <v>94</v>
      </c>
      <c r="I324" s="29" t="str">
        <f aca="false">+IF(H324&gt;180,"Atrasada",IF(H324&gt;150,"150 dias",IF(H324&gt;120,"120 dias",IF(H324&gt;90,"90 dias",IF(H324&gt;60,"60 dias",IF(H324&gt;30,"30 dias","Al Día"))))))</f>
        <v>90 dias</v>
      </c>
      <c r="J324" s="32" t="s">
        <v>80</v>
      </c>
      <c r="K324" s="29" t="s">
        <v>81</v>
      </c>
      <c r="L324" s="33" t="s">
        <v>248</v>
      </c>
      <c r="M324" s="29" t="n">
        <f aca="false">+YEAR(F324)</f>
        <v>2026</v>
      </c>
      <c r="N324" s="29" t="n">
        <v>2025</v>
      </c>
      <c r="O324" s="29" t="n">
        <v>1</v>
      </c>
      <c r="P324" s="29" t="str">
        <f aca="false">+CONCATENATE(Tabla[[#This Row],[MES CAMPAÑA]],"/",Tabla[[#This Row],[AÑO CAMPAÑA]])</f>
        <v>1/2025</v>
      </c>
      <c r="Q324" s="29" t="s">
        <v>130</v>
      </c>
      <c r="R324" s="29"/>
      <c r="S324" s="34" t="n">
        <v>0</v>
      </c>
      <c r="T324" s="34" t="n">
        <v>12857143</v>
      </c>
      <c r="U324" s="34" t="n">
        <v>2442857</v>
      </c>
      <c r="V324" s="29"/>
      <c r="W324" s="35" t="n">
        <v>15300000</v>
      </c>
      <c r="X324" s="36"/>
      <c r="Y324" s="37"/>
      <c r="Z324" s="37"/>
      <c r="AA324" s="37"/>
      <c r="AB324" s="38" t="n">
        <f aca="false">+W324-AC324</f>
        <v>15300000</v>
      </c>
      <c r="AC324" s="34" t="n">
        <f aca="false">+Tabla[[#This Row],[P4]]+Tabla[[#This Row],[P3]]+Tabla[[#This Row],[P2]]+Tabla[[#This Row],[P1]]</f>
        <v>0</v>
      </c>
      <c r="AD324" s="34" t="n">
        <f aca="false">+W324-AC324</f>
        <v>15300000</v>
      </c>
      <c r="AE324" s="21" t="str">
        <f aca="false">IF(AB324&lt;1,"PAGADA","PENDIENTE")</f>
        <v>PENDIENTE</v>
      </c>
      <c r="AF324" s="21"/>
      <c r="AG324" s="29"/>
      <c r="AH324" s="40"/>
      <c r="AI324" s="40" t="n">
        <f aca="false">+IF(Tabla[[#This Row],[FECHA PAGO / ABONO]]&lt;1,0,(MONTH(Tabla[[#This Row],[FECHA PAGO / ABONO]])))</f>
        <v>0</v>
      </c>
      <c r="AJ324" s="40" t="n">
        <f aca="false">+IF(Tabla[[#This Row],[FECHA PAGO / ABONO]]&lt;1,0,(YEAR(Tabla[[#This Row],[FECHA PAGO / ABONO]])))</f>
        <v>0</v>
      </c>
      <c r="AK324" s="41"/>
    </row>
    <row r="325" customFormat="false" ht="14.25" hidden="false" customHeight="false" outlineLevel="0" collapsed="false">
      <c r="A325" s="28" t="s">
        <v>121</v>
      </c>
      <c r="B325" s="29" t="s">
        <v>122</v>
      </c>
      <c r="C325" s="29" t="s">
        <v>69</v>
      </c>
      <c r="D325" s="21" t="n">
        <v>11117</v>
      </c>
      <c r="E325" s="21" t="str">
        <f aca="false">+CONCATENATE(Tabla[[#This Row],[RUT]],Tabla[[#This Row],[PROVEEDOR]],Tabla[[#This Row],[FACTURA]])</f>
        <v>76166681-9HS CHILE SPA11117</v>
      </c>
      <c r="F325" s="57" t="n">
        <v>46080</v>
      </c>
      <c r="G325" s="31" t="n">
        <f aca="false">+F325+30</f>
        <v>46110</v>
      </c>
      <c r="H325" s="29" t="n">
        <f aca="true">+IF(AE325="PAGADA",0,TODAY()-G325)</f>
        <v>94</v>
      </c>
      <c r="I325" s="29" t="str">
        <f aca="false">+IF(H325&gt;180,"Atrasada",IF(H325&gt;150,"150 dias",IF(H325&gt;120,"120 dias",IF(H325&gt;90,"90 dias",IF(H325&gt;60,"60 dias",IF(H325&gt;30,"30 dias","Al Día"))))))</f>
        <v>90 dias</v>
      </c>
      <c r="J325" s="32" t="s">
        <v>80</v>
      </c>
      <c r="K325" s="29" t="s">
        <v>81</v>
      </c>
      <c r="L325" s="33" t="s">
        <v>248</v>
      </c>
      <c r="M325" s="29" t="n">
        <f aca="false">+YEAR(F325)</f>
        <v>2026</v>
      </c>
      <c r="N325" s="29" t="n">
        <v>2025</v>
      </c>
      <c r="O325" s="29" t="n">
        <v>1</v>
      </c>
      <c r="P325" s="29" t="str">
        <f aca="false">+CONCATENATE(Tabla[[#This Row],[MES CAMPAÑA]],"/",Tabla[[#This Row],[AÑO CAMPAÑA]])</f>
        <v>1/2025</v>
      </c>
      <c r="Q325" s="29" t="s">
        <v>265</v>
      </c>
      <c r="R325" s="29"/>
      <c r="S325" s="34" t="n">
        <v>0</v>
      </c>
      <c r="T325" s="34" t="n">
        <v>680010</v>
      </c>
      <c r="U325" s="34" t="n">
        <v>129202</v>
      </c>
      <c r="V325" s="29"/>
      <c r="W325" s="35" t="n">
        <v>809212</v>
      </c>
      <c r="X325" s="36"/>
      <c r="Y325" s="37"/>
      <c r="Z325" s="37"/>
      <c r="AA325" s="37"/>
      <c r="AB325" s="38" t="n">
        <f aca="false">+W325-AC325</f>
        <v>809212</v>
      </c>
      <c r="AC325" s="34" t="n">
        <f aca="false">+Tabla[[#This Row],[P4]]+Tabla[[#This Row],[P3]]+Tabla[[#This Row],[P2]]+Tabla[[#This Row],[P1]]</f>
        <v>0</v>
      </c>
      <c r="AD325" s="34" t="n">
        <f aca="false">+W325-AC325</f>
        <v>809212</v>
      </c>
      <c r="AE325" s="21" t="str">
        <f aca="false">IF(AB325&lt;1,"PAGADA","PENDIENTE")</f>
        <v>PENDIENTE</v>
      </c>
      <c r="AF325" s="21"/>
      <c r="AG325" s="29"/>
      <c r="AH325" s="40"/>
      <c r="AI325" s="40" t="n">
        <f aca="false">+IF(Tabla[[#This Row],[FECHA PAGO / ABONO]]&lt;1,0,(MONTH(Tabla[[#This Row],[FECHA PAGO / ABONO]])))</f>
        <v>0</v>
      </c>
      <c r="AJ325" s="40" t="n">
        <f aca="false">+IF(Tabla[[#This Row],[FECHA PAGO / ABONO]]&lt;1,0,(YEAR(Tabla[[#This Row],[FECHA PAGO / ABONO]])))</f>
        <v>0</v>
      </c>
      <c r="AK325" s="41"/>
    </row>
    <row r="326" customFormat="false" ht="14.25" hidden="false" customHeight="false" outlineLevel="0" collapsed="false">
      <c r="A326" s="28" t="s">
        <v>121</v>
      </c>
      <c r="B326" s="29" t="s">
        <v>122</v>
      </c>
      <c r="C326" s="29" t="s">
        <v>69</v>
      </c>
      <c r="D326" s="21" t="n">
        <v>11118</v>
      </c>
      <c r="E326" s="21" t="str">
        <f aca="false">+CONCATENATE(Tabla[[#This Row],[RUT]],Tabla[[#This Row],[PROVEEDOR]],Tabla[[#This Row],[FACTURA]])</f>
        <v>76166681-9HS CHILE SPA11118</v>
      </c>
      <c r="F326" s="57" t="n">
        <v>46080</v>
      </c>
      <c r="G326" s="31" t="n">
        <f aca="false">+F326+30</f>
        <v>46110</v>
      </c>
      <c r="H326" s="29" t="n">
        <f aca="true">+IF(AE326="PAGADA",0,TODAY()-G326)</f>
        <v>94</v>
      </c>
      <c r="I326" s="29" t="str">
        <f aca="false">+IF(H326&gt;180,"Atrasada",IF(H326&gt;150,"150 dias",IF(H326&gt;120,"120 dias",IF(H326&gt;90,"90 dias",IF(H326&gt;60,"60 dias",IF(H326&gt;30,"30 dias","Al Día"))))))</f>
        <v>90 dias</v>
      </c>
      <c r="J326" s="32" t="s">
        <v>80</v>
      </c>
      <c r="K326" s="29" t="s">
        <v>81</v>
      </c>
      <c r="L326" s="33" t="s">
        <v>248</v>
      </c>
      <c r="M326" s="29" t="n">
        <f aca="false">+YEAR(F326)</f>
        <v>2026</v>
      </c>
      <c r="N326" s="29" t="n">
        <v>2025</v>
      </c>
      <c r="O326" s="29" t="n">
        <v>1</v>
      </c>
      <c r="P326" s="29" t="str">
        <f aca="false">+CONCATENATE(Tabla[[#This Row],[MES CAMPAÑA]],"/",Tabla[[#This Row],[AÑO CAMPAÑA]])</f>
        <v>1/2025</v>
      </c>
      <c r="Q326" s="29" t="s">
        <v>265</v>
      </c>
      <c r="R326" s="29"/>
      <c r="S326" s="34" t="n">
        <v>0</v>
      </c>
      <c r="T326" s="34" t="n">
        <v>879990</v>
      </c>
      <c r="U326" s="34" t="n">
        <v>167198</v>
      </c>
      <c r="V326" s="29"/>
      <c r="W326" s="35" t="n">
        <v>1047188</v>
      </c>
      <c r="X326" s="36"/>
      <c r="Y326" s="37"/>
      <c r="Z326" s="37"/>
      <c r="AA326" s="37"/>
      <c r="AB326" s="38" t="n">
        <f aca="false">+W326-AC326</f>
        <v>1047188</v>
      </c>
      <c r="AC326" s="34" t="n">
        <f aca="false">+Tabla[[#This Row],[P4]]+Tabla[[#This Row],[P3]]+Tabla[[#This Row],[P2]]+Tabla[[#This Row],[P1]]</f>
        <v>0</v>
      </c>
      <c r="AD326" s="34" t="n">
        <f aca="false">+W326-AC326</f>
        <v>1047188</v>
      </c>
      <c r="AE326" s="21" t="str">
        <f aca="false">IF(AB326&lt;1,"PAGADA","PENDIENTE")</f>
        <v>PENDIENTE</v>
      </c>
      <c r="AF326" s="21"/>
      <c r="AG326" s="29"/>
      <c r="AH326" s="40"/>
      <c r="AI326" s="40" t="n">
        <f aca="false">+IF(Tabla[[#This Row],[FECHA PAGO / ABONO]]&lt;1,0,(MONTH(Tabla[[#This Row],[FECHA PAGO / ABONO]])))</f>
        <v>0</v>
      </c>
      <c r="AJ326" s="40" t="n">
        <f aca="false">+IF(Tabla[[#This Row],[FECHA PAGO / ABONO]]&lt;1,0,(YEAR(Tabla[[#This Row],[FECHA PAGO / ABONO]])))</f>
        <v>0</v>
      </c>
      <c r="AK326" s="41"/>
    </row>
    <row r="327" customFormat="false" ht="14.25" hidden="false" customHeight="false" outlineLevel="0" collapsed="false">
      <c r="A327" s="28" t="s">
        <v>121</v>
      </c>
      <c r="B327" s="29" t="s">
        <v>122</v>
      </c>
      <c r="C327" s="29" t="s">
        <v>69</v>
      </c>
      <c r="D327" s="21" t="n">
        <v>11119</v>
      </c>
      <c r="E327" s="21" t="str">
        <f aca="false">+CONCATENATE(Tabla[[#This Row],[RUT]],Tabla[[#This Row],[PROVEEDOR]],Tabla[[#This Row],[FACTURA]])</f>
        <v>76166681-9HS CHILE SPA11119</v>
      </c>
      <c r="F327" s="57" t="n">
        <v>46080</v>
      </c>
      <c r="G327" s="31" t="n">
        <f aca="false">+F327+30</f>
        <v>46110</v>
      </c>
      <c r="H327" s="29" t="n">
        <f aca="true">+IF(AE327="PAGADA",0,TODAY()-G327)</f>
        <v>94</v>
      </c>
      <c r="I327" s="29" t="str">
        <f aca="false">+IF(H327&gt;180,"Atrasada",IF(H327&gt;150,"150 dias",IF(H327&gt;120,"120 dias",IF(H327&gt;90,"90 dias",IF(H327&gt;60,"60 dias",IF(H327&gt;30,"30 dias","Al Día"))))))</f>
        <v>90 dias</v>
      </c>
      <c r="J327" s="32" t="s">
        <v>80</v>
      </c>
      <c r="K327" s="29" t="s">
        <v>81</v>
      </c>
      <c r="L327" s="33" t="s">
        <v>248</v>
      </c>
      <c r="M327" s="29" t="n">
        <f aca="false">+YEAR(F327)</f>
        <v>2026</v>
      </c>
      <c r="N327" s="29" t="n">
        <v>2025</v>
      </c>
      <c r="O327" s="29" t="n">
        <v>1</v>
      </c>
      <c r="P327" s="29" t="str">
        <f aca="false">+CONCATENATE(Tabla[[#This Row],[MES CAMPAÑA]],"/",Tabla[[#This Row],[AÑO CAMPAÑA]])</f>
        <v>1/2025</v>
      </c>
      <c r="Q327" s="29" t="s">
        <v>265</v>
      </c>
      <c r="R327" s="29"/>
      <c r="S327" s="34" t="n">
        <v>0</v>
      </c>
      <c r="T327" s="34" t="n">
        <v>8440000</v>
      </c>
      <c r="U327" s="34" t="n">
        <v>1603600</v>
      </c>
      <c r="V327" s="29"/>
      <c r="W327" s="35" t="n">
        <v>10043600</v>
      </c>
      <c r="X327" s="36"/>
      <c r="Y327" s="37"/>
      <c r="Z327" s="37"/>
      <c r="AA327" s="37"/>
      <c r="AB327" s="38" t="n">
        <f aca="false">+W327-AC327</f>
        <v>10043600</v>
      </c>
      <c r="AC327" s="34" t="n">
        <f aca="false">+Tabla[[#This Row],[P4]]+Tabla[[#This Row],[P3]]+Tabla[[#This Row],[P2]]+Tabla[[#This Row],[P1]]</f>
        <v>0</v>
      </c>
      <c r="AD327" s="34" t="n">
        <f aca="false">+W327-AC327</f>
        <v>10043600</v>
      </c>
      <c r="AE327" s="21" t="str">
        <f aca="false">IF(AB327&lt;1,"PAGADA","PENDIENTE")</f>
        <v>PENDIENTE</v>
      </c>
      <c r="AF327" s="21"/>
      <c r="AG327" s="29"/>
      <c r="AH327" s="40"/>
      <c r="AI327" s="40" t="n">
        <f aca="false">+IF(Tabla[[#This Row],[FECHA PAGO / ABONO]]&lt;1,0,(MONTH(Tabla[[#This Row],[FECHA PAGO / ABONO]])))</f>
        <v>0</v>
      </c>
      <c r="AJ327" s="40" t="n">
        <f aca="false">+IF(Tabla[[#This Row],[FECHA PAGO / ABONO]]&lt;1,0,(YEAR(Tabla[[#This Row],[FECHA PAGO / ABONO]])))</f>
        <v>0</v>
      </c>
      <c r="AK327" s="41"/>
    </row>
    <row r="328" customFormat="false" ht="14.25" hidden="false" customHeight="false" outlineLevel="0" collapsed="false">
      <c r="A328" s="28" t="s">
        <v>121</v>
      </c>
      <c r="B328" s="29" t="s">
        <v>122</v>
      </c>
      <c r="C328" s="29" t="s">
        <v>69</v>
      </c>
      <c r="D328" s="21" t="n">
        <v>11120</v>
      </c>
      <c r="E328" s="21" t="str">
        <f aca="false">+CONCATENATE(Tabla[[#This Row],[RUT]],Tabla[[#This Row],[PROVEEDOR]],Tabla[[#This Row],[FACTURA]])</f>
        <v>76166681-9HS CHILE SPA11120</v>
      </c>
      <c r="F328" s="57" t="n">
        <v>46080</v>
      </c>
      <c r="G328" s="31" t="n">
        <f aca="false">+F328+30</f>
        <v>46110</v>
      </c>
      <c r="H328" s="29" t="n">
        <f aca="true">+IF(AE328="PAGADA",0,TODAY()-G328)</f>
        <v>94</v>
      </c>
      <c r="I328" s="29" t="str">
        <f aca="false">+IF(H328&gt;180,"Atrasada",IF(H328&gt;150,"150 dias",IF(H328&gt;120,"120 dias",IF(H328&gt;90,"90 dias",IF(H328&gt;60,"60 dias",IF(H328&gt;30,"30 dias","Al Día"))))))</f>
        <v>90 dias</v>
      </c>
      <c r="J328" s="32" t="s">
        <v>80</v>
      </c>
      <c r="K328" s="29" t="s">
        <v>81</v>
      </c>
      <c r="L328" s="33" t="s">
        <v>248</v>
      </c>
      <c r="M328" s="29" t="n">
        <f aca="false">+YEAR(F328)</f>
        <v>2026</v>
      </c>
      <c r="N328" s="29" t="n">
        <v>2025</v>
      </c>
      <c r="O328" s="29" t="n">
        <v>1</v>
      </c>
      <c r="P328" s="29" t="str">
        <f aca="false">+CONCATENATE(Tabla[[#This Row],[MES CAMPAÑA]],"/",Tabla[[#This Row],[AÑO CAMPAÑA]])</f>
        <v>1/2025</v>
      </c>
      <c r="Q328" s="29" t="s">
        <v>123</v>
      </c>
      <c r="R328" s="29"/>
      <c r="S328" s="34" t="n">
        <v>0</v>
      </c>
      <c r="T328" s="34" t="n">
        <v>1209000</v>
      </c>
      <c r="U328" s="34" t="n">
        <v>229710</v>
      </c>
      <c r="V328" s="29"/>
      <c r="W328" s="35" t="n">
        <v>1438710</v>
      </c>
      <c r="X328" s="36"/>
      <c r="Y328" s="37"/>
      <c r="Z328" s="37"/>
      <c r="AA328" s="37"/>
      <c r="AB328" s="38" t="n">
        <f aca="false">+W328-AC328</f>
        <v>1438710</v>
      </c>
      <c r="AC328" s="34" t="n">
        <f aca="false">+Tabla[[#This Row],[P4]]+Tabla[[#This Row],[P3]]+Tabla[[#This Row],[P2]]+Tabla[[#This Row],[P1]]</f>
        <v>0</v>
      </c>
      <c r="AD328" s="34" t="n">
        <f aca="false">+W328-AC328</f>
        <v>1438710</v>
      </c>
      <c r="AE328" s="21" t="str">
        <f aca="false">IF(AB328&lt;1,"PAGADA","PENDIENTE")</f>
        <v>PENDIENTE</v>
      </c>
      <c r="AF328" s="21"/>
      <c r="AG328" s="29"/>
      <c r="AH328" s="40"/>
      <c r="AI328" s="40" t="n">
        <f aca="false">+IF(Tabla[[#This Row],[FECHA PAGO / ABONO]]&lt;1,0,(MONTH(Tabla[[#This Row],[FECHA PAGO / ABONO]])))</f>
        <v>0</v>
      </c>
      <c r="AJ328" s="40" t="n">
        <f aca="false">+IF(Tabla[[#This Row],[FECHA PAGO / ABONO]]&lt;1,0,(YEAR(Tabla[[#This Row],[FECHA PAGO / ABONO]])))</f>
        <v>0</v>
      </c>
      <c r="AK328" s="41"/>
    </row>
    <row r="329" customFormat="false" ht="14.25" hidden="false" customHeight="false" outlineLevel="0" collapsed="false">
      <c r="A329" s="28" t="s">
        <v>227</v>
      </c>
      <c r="B329" s="29" t="s">
        <v>228</v>
      </c>
      <c r="C329" s="29" t="s">
        <v>229</v>
      </c>
      <c r="D329" s="21" t="n">
        <v>10132</v>
      </c>
      <c r="E329" s="21" t="str">
        <f aca="false">+CONCATENATE(Tabla[[#This Row],[RUT]],Tabla[[#This Row],[PROVEEDOR]],Tabla[[#This Row],[FACTURA]])</f>
        <v>77549724-6YHC CONSULTORES LIMITADA10132</v>
      </c>
      <c r="F329" s="57" t="n">
        <v>46080</v>
      </c>
      <c r="G329" s="31" t="n">
        <f aca="false">+F329+30</f>
        <v>46110</v>
      </c>
      <c r="H329" s="29" t="n">
        <f aca="true">+IF(AE329="PAGADA",0,TODAY()-G329)</f>
        <v>0</v>
      </c>
      <c r="I329" s="29" t="str">
        <f aca="false">+IF(H329&gt;180,"Atrasada",IF(H329&gt;150,"150 dias",IF(H329&gt;120,"120 dias",IF(H329&gt;90,"90 dias",IF(H329&gt;60,"60 dias",IF(H329&gt;30,"30 dias","Al Día"))))))</f>
        <v>Al Día</v>
      </c>
      <c r="J329" s="32" t="s">
        <v>31</v>
      </c>
      <c r="K329" s="29" t="s">
        <v>81</v>
      </c>
      <c r="L329" s="33" t="s">
        <v>248</v>
      </c>
      <c r="M329" s="29" t="n">
        <f aca="false">+YEAR(F329)</f>
        <v>2026</v>
      </c>
      <c r="N329" s="29" t="n">
        <v>2026</v>
      </c>
      <c r="O329" s="29" t="n">
        <v>2</v>
      </c>
      <c r="P329" s="29" t="str">
        <f aca="false">+CONCATENATE(Tabla[[#This Row],[MES CAMPAÑA]],"/",Tabla[[#This Row],[AÑO CAMPAÑA]])</f>
        <v>2/2026</v>
      </c>
      <c r="Q329" s="29" t="s">
        <v>274</v>
      </c>
      <c r="R329" s="29"/>
      <c r="S329" s="34" t="n">
        <v>1333030</v>
      </c>
      <c r="T329" s="34" t="n">
        <v>0</v>
      </c>
      <c r="U329" s="34" t="n">
        <v>0</v>
      </c>
      <c r="V329" s="29"/>
      <c r="W329" s="35" t="n">
        <v>1333030</v>
      </c>
      <c r="X329" s="36" t="n">
        <f aca="false">+Tabla[[#This Row],[TOTAL]]</f>
        <v>1333030</v>
      </c>
      <c r="Y329" s="37"/>
      <c r="Z329" s="37"/>
      <c r="AA329" s="37"/>
      <c r="AB329" s="38" t="n">
        <f aca="false">+W329-AC329</f>
        <v>0</v>
      </c>
      <c r="AC329" s="34" t="n">
        <f aca="false">+Tabla[[#This Row],[P4]]+Tabla[[#This Row],[P3]]+Tabla[[#This Row],[P2]]+Tabla[[#This Row],[P1]]</f>
        <v>1333030</v>
      </c>
      <c r="AD329" s="34" t="n">
        <f aca="false">+W329-AC329</f>
        <v>0</v>
      </c>
      <c r="AE329" s="21" t="str">
        <f aca="false">IF(AB329&lt;1,"PAGADA","PENDIENTE")</f>
        <v>PAGADA</v>
      </c>
      <c r="AF329" s="21"/>
      <c r="AG329" s="29" t="s">
        <v>77</v>
      </c>
      <c r="AH329" s="39" t="n">
        <v>46084</v>
      </c>
      <c r="AI329" s="40" t="n">
        <f aca="false">+IF(Tabla[[#This Row],[FECHA PAGO / ABONO]]&lt;1,0,(MONTH(Tabla[[#This Row],[FECHA PAGO / ABONO]])))</f>
        <v>3</v>
      </c>
      <c r="AJ329" s="40" t="n">
        <f aca="false">+IF(Tabla[[#This Row],[FECHA PAGO / ABONO]]&lt;1,0,(YEAR(Tabla[[#This Row],[FECHA PAGO / ABONO]])))</f>
        <v>2026</v>
      </c>
      <c r="AK329" s="41"/>
    </row>
    <row r="330" customFormat="false" ht="14.25" hidden="false" customHeight="false" outlineLevel="0" collapsed="false">
      <c r="A330" s="28" t="s">
        <v>234</v>
      </c>
      <c r="B330" s="29" t="s">
        <v>235</v>
      </c>
      <c r="C330" s="29" t="s">
        <v>69</v>
      </c>
      <c r="D330" s="21" t="n">
        <v>35280</v>
      </c>
      <c r="E330" s="21" t="str">
        <f aca="false">+CONCATENATE(Tabla[[#This Row],[RUT]],Tabla[[#This Row],[PROVEEDOR]],Tabla[[#This Row],[FACTURA]])</f>
        <v>77022910-3MASSIVA  S.A.35280</v>
      </c>
      <c r="F330" s="57" t="n">
        <v>46080</v>
      </c>
      <c r="G330" s="31" t="n">
        <f aca="false">+F330+30</f>
        <v>46110</v>
      </c>
      <c r="H330" s="29" t="n">
        <f aca="true">+IF(AE330="PAGADA",0,TODAY()-G330)</f>
        <v>0</v>
      </c>
      <c r="I330" s="29" t="str">
        <f aca="false">+IF(H330&gt;180,"Atrasada",IF(H330&gt;150,"150 dias",IF(H330&gt;120,"120 dias",IF(H330&gt;90,"90 dias",IF(H330&gt;60,"60 dias",IF(H330&gt;30,"30 dias","Al Día"))))))</f>
        <v>Al Día</v>
      </c>
      <c r="J330" s="32" t="s">
        <v>80</v>
      </c>
      <c r="K330" s="29" t="s">
        <v>81</v>
      </c>
      <c r="L330" s="33" t="s">
        <v>248</v>
      </c>
      <c r="M330" s="29" t="n">
        <f aca="false">+YEAR(F330)</f>
        <v>2026</v>
      </c>
      <c r="N330" s="29" t="n">
        <v>2026</v>
      </c>
      <c r="O330" s="29" t="n">
        <v>1</v>
      </c>
      <c r="P330" s="29" t="str">
        <f aca="false">+CONCATENATE(Tabla[[#This Row],[MES CAMPAÑA]],"/",Tabla[[#This Row],[AÑO CAMPAÑA]])</f>
        <v>1/2026</v>
      </c>
      <c r="Q330" s="29" t="s">
        <v>123</v>
      </c>
      <c r="R330" s="29"/>
      <c r="S330" s="34" t="n">
        <v>0</v>
      </c>
      <c r="T330" s="34" t="n">
        <v>4622800</v>
      </c>
      <c r="U330" s="34" t="n">
        <v>878332</v>
      </c>
      <c r="V330" s="29"/>
      <c r="W330" s="35" t="n">
        <v>5501132</v>
      </c>
      <c r="X330" s="36" t="n">
        <f aca="false">+Tabla[[#This Row],[TOTAL]]</f>
        <v>5501132</v>
      </c>
      <c r="Y330" s="37"/>
      <c r="Z330" s="37"/>
      <c r="AA330" s="37"/>
      <c r="AB330" s="38" t="n">
        <f aca="false">+W330-AC330</f>
        <v>0</v>
      </c>
      <c r="AC330" s="34" t="n">
        <f aca="false">+Tabla[[#This Row],[P4]]+Tabla[[#This Row],[P3]]+Tabla[[#This Row],[P2]]+Tabla[[#This Row],[P1]]</f>
        <v>5501132</v>
      </c>
      <c r="AD330" s="34" t="n">
        <f aca="false">+W330-AC330</f>
        <v>0</v>
      </c>
      <c r="AE330" s="21" t="str">
        <f aca="false">IF(AB330&lt;1,"PAGADA","PENDIENTE")</f>
        <v>PAGADA</v>
      </c>
      <c r="AF330" s="21"/>
      <c r="AG330" s="29" t="s">
        <v>77</v>
      </c>
      <c r="AH330" s="39" t="n">
        <v>46176</v>
      </c>
      <c r="AI330" s="40" t="n">
        <f aca="false">+IF(Tabla[[#This Row],[FECHA PAGO / ABONO]]&lt;1,0,(MONTH(Tabla[[#This Row],[FECHA PAGO / ABONO]])))</f>
        <v>6</v>
      </c>
      <c r="AJ330" s="40" t="n">
        <f aca="false">+IF(Tabla[[#This Row],[FECHA PAGO / ABONO]]&lt;1,0,(YEAR(Tabla[[#This Row],[FECHA PAGO / ABONO]])))</f>
        <v>2026</v>
      </c>
      <c r="AK330" s="41"/>
    </row>
    <row r="331" customFormat="false" ht="14.25" hidden="false" customHeight="false" outlineLevel="0" collapsed="false">
      <c r="A331" s="28" t="s">
        <v>234</v>
      </c>
      <c r="B331" s="29" t="s">
        <v>235</v>
      </c>
      <c r="C331" s="29" t="s">
        <v>69</v>
      </c>
      <c r="D331" s="21" t="n">
        <v>35281</v>
      </c>
      <c r="E331" s="21" t="str">
        <f aca="false">+CONCATENATE(Tabla[[#This Row],[RUT]],Tabla[[#This Row],[PROVEEDOR]],Tabla[[#This Row],[FACTURA]])</f>
        <v>77022910-3MASSIVA  S.A.35281</v>
      </c>
      <c r="F331" s="57" t="n">
        <v>46080</v>
      </c>
      <c r="G331" s="31" t="n">
        <f aca="false">+F331+30</f>
        <v>46110</v>
      </c>
      <c r="H331" s="29" t="n">
        <f aca="true">+IF(AE331="PAGADA",0,TODAY()-G331)</f>
        <v>0</v>
      </c>
      <c r="I331" s="29" t="str">
        <f aca="false">+IF(H331&gt;180,"Atrasada",IF(H331&gt;150,"150 dias",IF(H331&gt;120,"120 dias",IF(H331&gt;90,"90 dias",IF(H331&gt;60,"60 dias",IF(H331&gt;30,"30 dias","Al Día"))))))</f>
        <v>Al Día</v>
      </c>
      <c r="J331" s="32" t="s">
        <v>80</v>
      </c>
      <c r="K331" s="29" t="s">
        <v>81</v>
      </c>
      <c r="L331" s="33" t="s">
        <v>248</v>
      </c>
      <c r="M331" s="29" t="n">
        <f aca="false">+YEAR(F331)</f>
        <v>2026</v>
      </c>
      <c r="N331" s="29" t="n">
        <v>2026</v>
      </c>
      <c r="O331" s="29" t="n">
        <v>1</v>
      </c>
      <c r="P331" s="29" t="str">
        <f aca="false">+CONCATENATE(Tabla[[#This Row],[MES CAMPAÑA]],"/",Tabla[[#This Row],[AÑO CAMPAÑA]])</f>
        <v>1/2026</v>
      </c>
      <c r="Q331" s="29" t="s">
        <v>108</v>
      </c>
      <c r="R331" s="29"/>
      <c r="S331" s="34" t="n">
        <v>0</v>
      </c>
      <c r="T331" s="34" t="n">
        <v>4200281</v>
      </c>
      <c r="U331" s="34" t="n">
        <v>798053</v>
      </c>
      <c r="V331" s="29"/>
      <c r="W331" s="35" t="n">
        <v>4998334</v>
      </c>
      <c r="X331" s="36" t="n">
        <f aca="false">+Tabla[[#This Row],[TOTAL]]</f>
        <v>4998334</v>
      </c>
      <c r="Y331" s="37"/>
      <c r="Z331" s="37"/>
      <c r="AA331" s="37"/>
      <c r="AB331" s="38" t="n">
        <f aca="false">+W331-AC331</f>
        <v>0</v>
      </c>
      <c r="AC331" s="34" t="n">
        <f aca="false">+Tabla[[#This Row],[P4]]+Tabla[[#This Row],[P3]]+Tabla[[#This Row],[P2]]+Tabla[[#This Row],[P1]]</f>
        <v>4998334</v>
      </c>
      <c r="AD331" s="34" t="n">
        <f aca="false">+W331-AC331</f>
        <v>0</v>
      </c>
      <c r="AE331" s="21" t="str">
        <f aca="false">IF(AB331&lt;1,"PAGADA","PENDIENTE")</f>
        <v>PAGADA</v>
      </c>
      <c r="AF331" s="21"/>
      <c r="AG331" s="29" t="s">
        <v>77</v>
      </c>
      <c r="AH331" s="39" t="n">
        <v>46176</v>
      </c>
      <c r="AI331" s="40" t="n">
        <f aca="false">+IF(Tabla[[#This Row],[FECHA PAGO / ABONO]]&lt;1,0,(MONTH(Tabla[[#This Row],[FECHA PAGO / ABONO]])))</f>
        <v>6</v>
      </c>
      <c r="AJ331" s="40" t="n">
        <f aca="false">+IF(Tabla[[#This Row],[FECHA PAGO / ABONO]]&lt;1,0,(YEAR(Tabla[[#This Row],[FECHA PAGO / ABONO]])))</f>
        <v>2026</v>
      </c>
      <c r="AK331" s="41"/>
    </row>
    <row r="332" customFormat="false" ht="14.25" hidden="false" customHeight="false" outlineLevel="0" collapsed="false">
      <c r="A332" s="28" t="s">
        <v>199</v>
      </c>
      <c r="B332" s="29" t="s">
        <v>200</v>
      </c>
      <c r="C332" s="29" t="s">
        <v>69</v>
      </c>
      <c r="D332" s="21" t="n">
        <v>6476</v>
      </c>
      <c r="E332" s="21" t="str">
        <f aca="false">+CONCATENATE(Tabla[[#This Row],[RUT]],Tabla[[#This Row],[PROVEEDOR]],Tabla[[#This Row],[FACTURA]])</f>
        <v>96945160-3YES SOCIEDAD ANONIMA6476</v>
      </c>
      <c r="F332" s="57" t="n">
        <v>46080</v>
      </c>
      <c r="G332" s="31" t="n">
        <f aca="false">+F332+30</f>
        <v>46110</v>
      </c>
      <c r="H332" s="29" t="n">
        <f aca="true">+IF(AE332="PAGADA",0,TODAY()-G332)</f>
        <v>0</v>
      </c>
      <c r="I332" s="29" t="str">
        <f aca="false">+IF(H332&gt;180,"Atrasada",IF(H332&gt;150,"150 dias",IF(H332&gt;120,"120 dias",IF(H332&gt;90,"90 dias",IF(H332&gt;60,"60 dias",IF(H332&gt;30,"30 dias","Al Día"))))))</f>
        <v>Al Día</v>
      </c>
      <c r="J332" s="32" t="s">
        <v>80</v>
      </c>
      <c r="K332" s="29" t="s">
        <v>81</v>
      </c>
      <c r="L332" s="33" t="s">
        <v>248</v>
      </c>
      <c r="M332" s="29" t="n">
        <f aca="false">+YEAR(F332)</f>
        <v>2026</v>
      </c>
      <c r="N332" s="29" t="n">
        <v>2026</v>
      </c>
      <c r="O332" s="29" t="n">
        <v>1</v>
      </c>
      <c r="P332" s="29" t="str">
        <f aca="false">+CONCATENATE(Tabla[[#This Row],[MES CAMPAÑA]],"/",Tabla[[#This Row],[AÑO CAMPAÑA]])</f>
        <v>1/2026</v>
      </c>
      <c r="Q332" s="29" t="s">
        <v>92</v>
      </c>
      <c r="R332" s="29"/>
      <c r="S332" s="34" t="n">
        <v>0</v>
      </c>
      <c r="T332" s="34" t="n">
        <v>1163514</v>
      </c>
      <c r="U332" s="34" t="n">
        <v>221068</v>
      </c>
      <c r="V332" s="29"/>
      <c r="W332" s="35" t="n">
        <v>1384582</v>
      </c>
      <c r="X332" s="36" t="n">
        <f aca="false">+Tabla[[#This Row],[TOTAL]]</f>
        <v>1384582</v>
      </c>
      <c r="Y332" s="37"/>
      <c r="Z332" s="37"/>
      <c r="AA332" s="37"/>
      <c r="AB332" s="38" t="n">
        <f aca="false">+W332-AC332</f>
        <v>0</v>
      </c>
      <c r="AC332" s="34" t="n">
        <f aca="false">+Tabla[[#This Row],[P4]]+Tabla[[#This Row],[P3]]+Tabla[[#This Row],[P2]]+Tabla[[#This Row],[P1]]</f>
        <v>1384582</v>
      </c>
      <c r="AD332" s="34" t="n">
        <f aca="false">+W332-AC332</f>
        <v>0</v>
      </c>
      <c r="AE332" s="21" t="str">
        <f aca="false">IF(AB332&lt;1,"PAGADA","PENDIENTE")</f>
        <v>PAGADA</v>
      </c>
      <c r="AF332" s="21"/>
      <c r="AG332" s="29" t="s">
        <v>77</v>
      </c>
      <c r="AH332" s="39" t="n">
        <v>46195</v>
      </c>
      <c r="AI332" s="40" t="n">
        <f aca="false">+IF(Tabla[[#This Row],[FECHA PAGO / ABONO]]&lt;1,0,(MONTH(Tabla[[#This Row],[FECHA PAGO / ABONO]])))</f>
        <v>6</v>
      </c>
      <c r="AJ332" s="40" t="n">
        <f aca="false">+IF(Tabla[[#This Row],[FECHA PAGO / ABONO]]&lt;1,0,(YEAR(Tabla[[#This Row],[FECHA PAGO / ABONO]])))</f>
        <v>2026</v>
      </c>
      <c r="AK332" s="41"/>
    </row>
    <row r="333" customFormat="false" ht="14.25" hidden="false" customHeight="false" outlineLevel="0" collapsed="false">
      <c r="A333" s="28" t="s">
        <v>67</v>
      </c>
      <c r="B333" s="29" t="s">
        <v>68</v>
      </c>
      <c r="C333" s="29" t="s">
        <v>69</v>
      </c>
      <c r="D333" s="21" t="n">
        <v>55264</v>
      </c>
      <c r="E333" s="21" t="str">
        <f aca="false">+CONCATENATE(Tabla[[#This Row],[RUT]],Tabla[[#This Row],[PROVEEDOR]],Tabla[[#This Row],[FACTURA]])</f>
        <v>76453707-6DUEMINT SPA55264</v>
      </c>
      <c r="F333" s="57" t="n">
        <v>46082</v>
      </c>
      <c r="G333" s="31" t="n">
        <f aca="false">+F333+30</f>
        <v>46112</v>
      </c>
      <c r="H333" s="29" t="n">
        <f aca="true">+IF(AE333="PAGADA",0,TODAY()-G333)</f>
        <v>0</v>
      </c>
      <c r="I333" s="29" t="str">
        <f aca="false">+IF(H333&gt;180,"Atrasada",IF(H333&gt;150,"150 dias",IF(H333&gt;120,"120 dias",IF(H333&gt;90,"90 dias",IF(H333&gt;60,"60 dias",IF(H333&gt;30,"30 dias","Al Día"))))))</f>
        <v>Al Día</v>
      </c>
      <c r="J333" s="32" t="s">
        <v>31</v>
      </c>
      <c r="K333" s="29" t="s">
        <v>81</v>
      </c>
      <c r="L333" s="33" t="s">
        <v>248</v>
      </c>
      <c r="M333" s="29" t="n">
        <f aca="false">+YEAR(F333)</f>
        <v>2026</v>
      </c>
      <c r="N333" s="29" t="n">
        <v>2026</v>
      </c>
      <c r="O333" s="29" t="n">
        <v>2</v>
      </c>
      <c r="P333" s="29" t="str">
        <f aca="false">+CONCATENATE(Tabla[[#This Row],[MES CAMPAÑA]],"/",Tabla[[#This Row],[AÑO CAMPAÑA]])</f>
        <v>2/2026</v>
      </c>
      <c r="Q333" s="29" t="s">
        <v>274</v>
      </c>
      <c r="R333" s="29"/>
      <c r="S333" s="34" t="n">
        <v>0</v>
      </c>
      <c r="T333" s="34" t="n">
        <v>119389</v>
      </c>
      <c r="U333" s="34" t="n">
        <v>22684</v>
      </c>
      <c r="V333" s="29"/>
      <c r="W333" s="35" t="n">
        <v>142073</v>
      </c>
      <c r="X333" s="36" t="n">
        <f aca="false">+Tabla[[#This Row],[TOTAL]]</f>
        <v>142073</v>
      </c>
      <c r="Y333" s="37"/>
      <c r="Z333" s="37"/>
      <c r="AA333" s="37"/>
      <c r="AB333" s="38" t="n">
        <f aca="false">+W333-AC333</f>
        <v>0</v>
      </c>
      <c r="AC333" s="34" t="n">
        <f aca="false">+Tabla[[#This Row],[P4]]+Tabla[[#This Row],[P3]]+Tabla[[#This Row],[P2]]+Tabla[[#This Row],[P1]]</f>
        <v>142073</v>
      </c>
      <c r="AD333" s="34" t="n">
        <f aca="false">+W333-AC333</f>
        <v>0</v>
      </c>
      <c r="AE333" s="21" t="str">
        <f aca="false">IF(AB333&lt;1,"PAGADA","PENDIENTE")</f>
        <v>PAGADA</v>
      </c>
      <c r="AF333" s="21"/>
      <c r="AG333" s="29"/>
      <c r="AH333" s="40"/>
      <c r="AI333" s="40" t="n">
        <f aca="false">+IF(Tabla[[#This Row],[FECHA PAGO / ABONO]]&lt;1,0,(MONTH(Tabla[[#This Row],[FECHA PAGO / ABONO]])))</f>
        <v>0</v>
      </c>
      <c r="AJ333" s="40" t="n">
        <f aca="false">+IF(Tabla[[#This Row],[FECHA PAGO / ABONO]]&lt;1,0,(YEAR(Tabla[[#This Row],[FECHA PAGO / ABONO]])))</f>
        <v>0</v>
      </c>
      <c r="AK333" s="41"/>
    </row>
    <row r="334" s="56" customFormat="true" ht="14.25" hidden="false" customHeight="false" outlineLevel="0" collapsed="false">
      <c r="A334" s="42" t="s">
        <v>75</v>
      </c>
      <c r="B334" s="43" t="s">
        <v>76</v>
      </c>
      <c r="C334" s="43" t="s">
        <v>69</v>
      </c>
      <c r="D334" s="43" t="n">
        <v>445</v>
      </c>
      <c r="E334" s="43" t="str">
        <f aca="false">+CONCATENATE(Tabla[[#This Row],[RUT]],Tabla[[#This Row],[PROVEEDOR]],Tabla[[#This Row],[FACTURA]])</f>
        <v>76744663-2INVERSIONES ON-MEDIA CHILE SPA445</v>
      </c>
      <c r="F334" s="45" t="n">
        <v>46083</v>
      </c>
      <c r="G334" s="45" t="n">
        <f aca="false">+F334+30</f>
        <v>46113</v>
      </c>
      <c r="H334" s="43" t="n">
        <f aca="true">+IF(AE334="PAGADA",0,TODAY()-G334)</f>
        <v>0</v>
      </c>
      <c r="I334" s="43" t="str">
        <f aca="false">+IF(H334&gt;180,"Atrasada",IF(H334&gt;150,"150 dias",IF(H334&gt;120,"120 dias",IF(H334&gt;90,"90 dias",IF(H334&gt;60,"60 dias",IF(H334&gt;30,"30 dias","Al Día"))))))</f>
        <v>Al Día</v>
      </c>
      <c r="J334" s="46" t="s">
        <v>31</v>
      </c>
      <c r="K334" s="43" t="s">
        <v>81</v>
      </c>
      <c r="L334" s="47" t="s">
        <v>248</v>
      </c>
      <c r="M334" s="43" t="n">
        <f aca="false">+YEAR(F334)</f>
        <v>2026</v>
      </c>
      <c r="N334" s="43" t="n">
        <v>2026</v>
      </c>
      <c r="O334" s="43" t="n">
        <v>2</v>
      </c>
      <c r="P334" s="43" t="str">
        <f aca="false">+CONCATENATE(Tabla[[#This Row],[MES CAMPAÑA]],"/",Tabla[[#This Row],[AÑO CAMPAÑA]])</f>
        <v>2/2026</v>
      </c>
      <c r="Q334" s="43" t="s">
        <v>274</v>
      </c>
      <c r="R334" s="43"/>
      <c r="S334" s="48" t="n">
        <v>0</v>
      </c>
      <c r="T334" s="48" t="n">
        <v>369364</v>
      </c>
      <c r="U334" s="48" t="n">
        <v>70179</v>
      </c>
      <c r="V334" s="43"/>
      <c r="W334" s="49" t="n">
        <v>439543</v>
      </c>
      <c r="X334" s="50" t="n">
        <f aca="false">+Tabla[[#This Row],[TOTAL]]</f>
        <v>439543</v>
      </c>
      <c r="Y334" s="51"/>
      <c r="Z334" s="51"/>
      <c r="AA334" s="51"/>
      <c r="AB334" s="48" t="n">
        <f aca="false">+W334-AC334</f>
        <v>0</v>
      </c>
      <c r="AC334" s="48" t="n">
        <f aca="false">+Tabla[[#This Row],[P4]]+Tabla[[#This Row],[P3]]+Tabla[[#This Row],[P2]]+Tabla[[#This Row],[P1]]</f>
        <v>439543</v>
      </c>
      <c r="AD334" s="48" t="n">
        <f aca="false">+W334-AC334</f>
        <v>0</v>
      </c>
      <c r="AE334" s="43" t="str">
        <f aca="false">IF(AB334&lt;1,"PAGADA","PENDIENTE")</f>
        <v>PAGADA</v>
      </c>
      <c r="AF334" s="43"/>
      <c r="AG334" s="29" t="s">
        <v>77</v>
      </c>
      <c r="AH334" s="52" t="n">
        <v>46120</v>
      </c>
      <c r="AI334" s="53" t="n">
        <f aca="false">+IF(Tabla[[#This Row],[FECHA PAGO / ABONO]]&lt;1,0,(MONTH(Tabla[[#This Row],[FECHA PAGO / ABONO]])))</f>
        <v>4</v>
      </c>
      <c r="AJ334" s="53" t="n">
        <f aca="false">+IF(Tabla[[#This Row],[FECHA PAGO / ABONO]]&lt;1,0,(YEAR(Tabla[[#This Row],[FECHA PAGO / ABONO]])))</f>
        <v>2026</v>
      </c>
      <c r="AK334" s="54"/>
      <c r="AL334" s="3"/>
      <c r="AM334" s="3"/>
      <c r="AN334" s="3"/>
      <c r="AO334" s="3"/>
      <c r="AP334" s="3"/>
      <c r="AQ334" s="3"/>
      <c r="AR334" s="3"/>
      <c r="AS334" s="55"/>
      <c r="AT334" s="55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 customFormat="false" ht="14.25" hidden="false" customHeight="false" outlineLevel="0" collapsed="false">
      <c r="A335" s="28" t="s">
        <v>275</v>
      </c>
      <c r="B335" s="29" t="s">
        <v>276</v>
      </c>
      <c r="C335" s="29" t="s">
        <v>69</v>
      </c>
      <c r="D335" s="21" t="n">
        <v>145092</v>
      </c>
      <c r="E335" s="21" t="str">
        <f aca="false">+CONCATENATE(Tabla[[#This Row],[RUT]],Tabla[[#This Row],[PROVEEDOR]],Tabla[[#This Row],[FACTURA]])</f>
        <v>76047103-8Gestion Regional de Medios S.A.145092</v>
      </c>
      <c r="F335" s="57" t="n">
        <v>46084</v>
      </c>
      <c r="G335" s="31" t="n">
        <f aca="false">+F335+30</f>
        <v>46114</v>
      </c>
      <c r="H335" s="29" t="n">
        <f aca="true">+IF(AE335="PAGADA",0,TODAY()-G335)</f>
        <v>0</v>
      </c>
      <c r="I335" s="29" t="str">
        <f aca="false">+IF(H335&gt;180,"Atrasada",IF(H335&gt;150,"150 dias",IF(H335&gt;120,"120 dias",IF(H335&gt;90,"90 dias",IF(H335&gt;60,"60 dias",IF(H335&gt;30,"30 dias","Al Día"))))))</f>
        <v>Al Día</v>
      </c>
      <c r="J335" s="32" t="s">
        <v>80</v>
      </c>
      <c r="K335" s="29" t="s">
        <v>81</v>
      </c>
      <c r="L335" s="33" t="s">
        <v>277</v>
      </c>
      <c r="M335" s="29" t="n">
        <f aca="false">+YEAR(F335)</f>
        <v>2026</v>
      </c>
      <c r="N335" s="29" t="n">
        <v>2026</v>
      </c>
      <c r="O335" s="29" t="n">
        <v>1</v>
      </c>
      <c r="P335" s="29" t="str">
        <f aca="false">+CONCATENATE(Tabla[[#This Row],[MES CAMPAÑA]],"/",Tabla[[#This Row],[AÑO CAMPAÑA]])</f>
        <v>1/2026</v>
      </c>
      <c r="Q335" s="29" t="s">
        <v>265</v>
      </c>
      <c r="R335" s="29"/>
      <c r="S335" s="34" t="n">
        <v>0</v>
      </c>
      <c r="T335" s="34" t="n">
        <v>400000</v>
      </c>
      <c r="U335" s="34" t="n">
        <v>76000</v>
      </c>
      <c r="V335" s="29"/>
      <c r="W335" s="35" t="n">
        <v>476000</v>
      </c>
      <c r="X335" s="36" t="n">
        <f aca="false">+Tabla[[#This Row],[TOTAL]]</f>
        <v>476000</v>
      </c>
      <c r="Y335" s="37"/>
      <c r="Z335" s="37"/>
      <c r="AA335" s="37"/>
      <c r="AB335" s="38" t="n">
        <f aca="false">+W335-AC335</f>
        <v>0</v>
      </c>
      <c r="AC335" s="34" t="n">
        <f aca="false">+Tabla[[#This Row],[P4]]+Tabla[[#This Row],[P3]]+Tabla[[#This Row],[P2]]+Tabla[[#This Row],[P1]]</f>
        <v>476000</v>
      </c>
      <c r="AD335" s="34" t="n">
        <f aca="false">+W335-AC335</f>
        <v>0</v>
      </c>
      <c r="AE335" s="21" t="str">
        <f aca="false">IF(AB335&lt;1,"PAGADA","PENDIENTE")</f>
        <v>PAGADA</v>
      </c>
      <c r="AF335" s="21" t="s">
        <v>251</v>
      </c>
      <c r="AG335" s="29" t="s">
        <v>77</v>
      </c>
      <c r="AH335" s="39" t="n">
        <v>46169</v>
      </c>
      <c r="AI335" s="40" t="n">
        <f aca="false">+IF(Tabla[[#This Row],[FECHA PAGO / ABONO]]&lt;1,0,(MONTH(Tabla[[#This Row],[FECHA PAGO / ABONO]])))</f>
        <v>5</v>
      </c>
      <c r="AJ335" s="40" t="n">
        <f aca="false">+IF(Tabla[[#This Row],[FECHA PAGO / ABONO]]&lt;1,0,(YEAR(Tabla[[#This Row],[FECHA PAGO / ABONO]])))</f>
        <v>2026</v>
      </c>
      <c r="AK335" s="41"/>
    </row>
    <row r="336" customFormat="false" ht="14.25" hidden="false" customHeight="false" outlineLevel="0" collapsed="false">
      <c r="A336" s="28" t="s">
        <v>275</v>
      </c>
      <c r="B336" s="29" t="s">
        <v>276</v>
      </c>
      <c r="C336" s="29" t="s">
        <v>69</v>
      </c>
      <c r="D336" s="21" t="n">
        <v>145093</v>
      </c>
      <c r="E336" s="21" t="str">
        <f aca="false">+CONCATENATE(Tabla[[#This Row],[RUT]],Tabla[[#This Row],[PROVEEDOR]],Tabla[[#This Row],[FACTURA]])</f>
        <v>76047103-8Gestion Regional de Medios S.A.145093</v>
      </c>
      <c r="F336" s="57" t="n">
        <v>46084</v>
      </c>
      <c r="G336" s="31" t="n">
        <f aca="false">+F336+30</f>
        <v>46114</v>
      </c>
      <c r="H336" s="29" t="n">
        <f aca="true">+IF(AE336="PAGADA",0,TODAY()-G336)</f>
        <v>0</v>
      </c>
      <c r="I336" s="29" t="str">
        <f aca="false">+IF(H336&gt;180,"Atrasada",IF(H336&gt;150,"150 dias",IF(H336&gt;120,"120 dias",IF(H336&gt;90,"90 dias",IF(H336&gt;60,"60 dias",IF(H336&gt;30,"30 dias","Al Día"))))))</f>
        <v>Al Día</v>
      </c>
      <c r="J336" s="32" t="s">
        <v>80</v>
      </c>
      <c r="K336" s="29" t="s">
        <v>81</v>
      </c>
      <c r="L336" s="33" t="s">
        <v>277</v>
      </c>
      <c r="M336" s="29" t="n">
        <f aca="false">+YEAR(F336)</f>
        <v>2026</v>
      </c>
      <c r="N336" s="29" t="n">
        <v>2026</v>
      </c>
      <c r="O336" s="29" t="n">
        <v>1</v>
      </c>
      <c r="P336" s="29" t="str">
        <f aca="false">+CONCATENATE(Tabla[[#This Row],[MES CAMPAÑA]],"/",Tabla[[#This Row],[AÑO CAMPAÑA]])</f>
        <v>1/2026</v>
      </c>
      <c r="Q336" s="29" t="s">
        <v>265</v>
      </c>
      <c r="R336" s="29"/>
      <c r="S336" s="34" t="n">
        <v>0</v>
      </c>
      <c r="T336" s="34" t="n">
        <v>350000</v>
      </c>
      <c r="U336" s="34" t="n">
        <v>66500</v>
      </c>
      <c r="V336" s="29"/>
      <c r="W336" s="35" t="n">
        <v>416500</v>
      </c>
      <c r="X336" s="36" t="n">
        <f aca="false">+Tabla[[#This Row],[TOTAL]]</f>
        <v>416500</v>
      </c>
      <c r="Y336" s="37"/>
      <c r="Z336" s="37"/>
      <c r="AA336" s="37"/>
      <c r="AB336" s="38" t="n">
        <f aca="false">+W336-AC336</f>
        <v>0</v>
      </c>
      <c r="AC336" s="34" t="n">
        <f aca="false">+Tabla[[#This Row],[P4]]+Tabla[[#This Row],[P3]]+Tabla[[#This Row],[P2]]+Tabla[[#This Row],[P1]]</f>
        <v>416500</v>
      </c>
      <c r="AD336" s="34" t="n">
        <f aca="false">+W336-AC336</f>
        <v>0</v>
      </c>
      <c r="AE336" s="21" t="str">
        <f aca="false">IF(AB336&lt;1,"PAGADA","PENDIENTE")</f>
        <v>PAGADA</v>
      </c>
      <c r="AF336" s="21" t="s">
        <v>251</v>
      </c>
      <c r="AG336" s="29" t="s">
        <v>77</v>
      </c>
      <c r="AH336" s="39" t="n">
        <v>46169</v>
      </c>
      <c r="AI336" s="40" t="n">
        <f aca="false">+IF(Tabla[[#This Row],[FECHA PAGO / ABONO]]&lt;1,0,(MONTH(Tabla[[#This Row],[FECHA PAGO / ABONO]])))</f>
        <v>5</v>
      </c>
      <c r="AJ336" s="40" t="n">
        <f aca="false">+IF(Tabla[[#This Row],[FECHA PAGO / ABONO]]&lt;1,0,(YEAR(Tabla[[#This Row],[FECHA PAGO / ABONO]])))</f>
        <v>2026</v>
      </c>
      <c r="AK336" s="41"/>
    </row>
    <row r="337" customFormat="false" ht="14.25" hidden="false" customHeight="false" outlineLevel="0" collapsed="false">
      <c r="A337" s="28" t="s">
        <v>275</v>
      </c>
      <c r="B337" s="29" t="s">
        <v>276</v>
      </c>
      <c r="C337" s="29" t="s">
        <v>69</v>
      </c>
      <c r="D337" s="21" t="n">
        <v>145094</v>
      </c>
      <c r="E337" s="21" t="str">
        <f aca="false">+CONCATENATE(Tabla[[#This Row],[RUT]],Tabla[[#This Row],[PROVEEDOR]],Tabla[[#This Row],[FACTURA]])</f>
        <v>76047103-8Gestion Regional de Medios S.A.145094</v>
      </c>
      <c r="F337" s="57" t="n">
        <v>46084</v>
      </c>
      <c r="G337" s="31" t="n">
        <f aca="false">+F337+30</f>
        <v>46114</v>
      </c>
      <c r="H337" s="29" t="n">
        <f aca="true">+IF(AE337="PAGADA",0,TODAY()-G337)</f>
        <v>0</v>
      </c>
      <c r="I337" s="29" t="str">
        <f aca="false">+IF(H337&gt;180,"Atrasada",IF(H337&gt;150,"150 dias",IF(H337&gt;120,"120 dias",IF(H337&gt;90,"90 dias",IF(H337&gt;60,"60 dias",IF(H337&gt;30,"30 dias","Al Día"))))))</f>
        <v>Al Día</v>
      </c>
      <c r="J337" s="32" t="s">
        <v>80</v>
      </c>
      <c r="K337" s="29" t="s">
        <v>81</v>
      </c>
      <c r="L337" s="33" t="s">
        <v>277</v>
      </c>
      <c r="M337" s="29" t="n">
        <f aca="false">+YEAR(F337)</f>
        <v>2026</v>
      </c>
      <c r="N337" s="29" t="n">
        <v>2026</v>
      </c>
      <c r="O337" s="29" t="n">
        <v>1</v>
      </c>
      <c r="P337" s="29" t="str">
        <f aca="false">+CONCATENATE(Tabla[[#This Row],[MES CAMPAÑA]],"/",Tabla[[#This Row],[AÑO CAMPAÑA]])</f>
        <v>1/2026</v>
      </c>
      <c r="Q337" s="29" t="s">
        <v>265</v>
      </c>
      <c r="R337" s="29"/>
      <c r="S337" s="34" t="n">
        <v>0</v>
      </c>
      <c r="T337" s="34" t="n">
        <v>400000</v>
      </c>
      <c r="U337" s="34" t="n">
        <v>76000</v>
      </c>
      <c r="V337" s="29"/>
      <c r="W337" s="35" t="n">
        <v>476000</v>
      </c>
      <c r="X337" s="36" t="n">
        <f aca="false">+Tabla[[#This Row],[TOTAL]]</f>
        <v>476000</v>
      </c>
      <c r="Y337" s="37"/>
      <c r="Z337" s="37"/>
      <c r="AA337" s="37"/>
      <c r="AB337" s="38" t="n">
        <f aca="false">+W337-AC337</f>
        <v>0</v>
      </c>
      <c r="AC337" s="34" t="n">
        <f aca="false">+Tabla[[#This Row],[P4]]+Tabla[[#This Row],[P3]]+Tabla[[#This Row],[P2]]+Tabla[[#This Row],[P1]]</f>
        <v>476000</v>
      </c>
      <c r="AD337" s="34" t="n">
        <f aca="false">+W337-AC337</f>
        <v>0</v>
      </c>
      <c r="AE337" s="21" t="str">
        <f aca="false">IF(AB337&lt;1,"PAGADA","PENDIENTE")</f>
        <v>PAGADA</v>
      </c>
      <c r="AF337" s="21" t="s">
        <v>251</v>
      </c>
      <c r="AG337" s="29" t="s">
        <v>77</v>
      </c>
      <c r="AH337" s="39" t="n">
        <v>46169</v>
      </c>
      <c r="AI337" s="40" t="n">
        <f aca="false">+IF(Tabla[[#This Row],[FECHA PAGO / ABONO]]&lt;1,0,(MONTH(Tabla[[#This Row],[FECHA PAGO / ABONO]])))</f>
        <v>5</v>
      </c>
      <c r="AJ337" s="40" t="n">
        <f aca="false">+IF(Tabla[[#This Row],[FECHA PAGO / ABONO]]&lt;1,0,(YEAR(Tabla[[#This Row],[FECHA PAGO / ABONO]])))</f>
        <v>2026</v>
      </c>
      <c r="AK337" s="41"/>
    </row>
    <row r="338" customFormat="false" ht="14.25" hidden="false" customHeight="false" outlineLevel="0" collapsed="false">
      <c r="A338" s="28" t="s">
        <v>275</v>
      </c>
      <c r="B338" s="29" t="s">
        <v>276</v>
      </c>
      <c r="C338" s="29" t="s">
        <v>69</v>
      </c>
      <c r="D338" s="21" t="n">
        <v>145095</v>
      </c>
      <c r="E338" s="21" t="str">
        <f aca="false">+CONCATENATE(Tabla[[#This Row],[RUT]],Tabla[[#This Row],[PROVEEDOR]],Tabla[[#This Row],[FACTURA]])</f>
        <v>76047103-8Gestion Regional de Medios S.A.145095</v>
      </c>
      <c r="F338" s="57" t="n">
        <v>46084</v>
      </c>
      <c r="G338" s="31" t="n">
        <f aca="false">+F338+30</f>
        <v>46114</v>
      </c>
      <c r="H338" s="29" t="n">
        <f aca="true">+IF(AE338="PAGADA",0,TODAY()-G338)</f>
        <v>0</v>
      </c>
      <c r="I338" s="29" t="str">
        <f aca="false">+IF(H338&gt;180,"Atrasada",IF(H338&gt;150,"150 dias",IF(H338&gt;120,"120 dias",IF(H338&gt;90,"90 dias",IF(H338&gt;60,"60 dias",IF(H338&gt;30,"30 dias","Al Día"))))))</f>
        <v>Al Día</v>
      </c>
      <c r="J338" s="32" t="s">
        <v>80</v>
      </c>
      <c r="K338" s="29" t="s">
        <v>81</v>
      </c>
      <c r="L338" s="33" t="s">
        <v>277</v>
      </c>
      <c r="M338" s="29" t="n">
        <f aca="false">+YEAR(F338)</f>
        <v>2026</v>
      </c>
      <c r="N338" s="29" t="n">
        <v>2026</v>
      </c>
      <c r="O338" s="29" t="n">
        <v>1</v>
      </c>
      <c r="P338" s="29" t="str">
        <f aca="false">+CONCATENATE(Tabla[[#This Row],[MES CAMPAÑA]],"/",Tabla[[#This Row],[AÑO CAMPAÑA]])</f>
        <v>1/2026</v>
      </c>
      <c r="Q338" s="29" t="s">
        <v>265</v>
      </c>
      <c r="R338" s="29"/>
      <c r="S338" s="34" t="n">
        <v>0</v>
      </c>
      <c r="T338" s="34" t="n">
        <v>450000</v>
      </c>
      <c r="U338" s="34" t="n">
        <v>85500</v>
      </c>
      <c r="V338" s="29"/>
      <c r="W338" s="35" t="n">
        <v>535500</v>
      </c>
      <c r="X338" s="36" t="n">
        <f aca="false">+Tabla[[#This Row],[TOTAL]]</f>
        <v>535500</v>
      </c>
      <c r="Y338" s="37"/>
      <c r="Z338" s="37"/>
      <c r="AA338" s="37"/>
      <c r="AB338" s="38" t="n">
        <f aca="false">+W338-AC338</f>
        <v>0</v>
      </c>
      <c r="AC338" s="34" t="n">
        <f aca="false">+Tabla[[#This Row],[P4]]+Tabla[[#This Row],[P3]]+Tabla[[#This Row],[P2]]+Tabla[[#This Row],[P1]]</f>
        <v>535500</v>
      </c>
      <c r="AD338" s="34" t="n">
        <f aca="false">+W338-AC338</f>
        <v>0</v>
      </c>
      <c r="AE338" s="21" t="str">
        <f aca="false">IF(AB338&lt;1,"PAGADA","PENDIENTE")</f>
        <v>PAGADA</v>
      </c>
      <c r="AF338" s="21" t="s">
        <v>251</v>
      </c>
      <c r="AG338" s="29" t="s">
        <v>77</v>
      </c>
      <c r="AH338" s="39" t="n">
        <v>46169</v>
      </c>
      <c r="AI338" s="40" t="n">
        <f aca="false">+IF(Tabla[[#This Row],[FECHA PAGO / ABONO]]&lt;1,0,(MONTH(Tabla[[#This Row],[FECHA PAGO / ABONO]])))</f>
        <v>5</v>
      </c>
      <c r="AJ338" s="40" t="n">
        <f aca="false">+IF(Tabla[[#This Row],[FECHA PAGO / ABONO]]&lt;1,0,(YEAR(Tabla[[#This Row],[FECHA PAGO / ABONO]])))</f>
        <v>2026</v>
      </c>
      <c r="AK338" s="41"/>
    </row>
    <row r="339" customFormat="false" ht="14.25" hidden="false" customHeight="false" outlineLevel="0" collapsed="false">
      <c r="A339" s="28" t="s">
        <v>275</v>
      </c>
      <c r="B339" s="29" t="s">
        <v>276</v>
      </c>
      <c r="C339" s="29" t="s">
        <v>69</v>
      </c>
      <c r="D339" s="21" t="n">
        <v>145096</v>
      </c>
      <c r="E339" s="21" t="str">
        <f aca="false">+CONCATENATE(Tabla[[#This Row],[RUT]],Tabla[[#This Row],[PROVEEDOR]],Tabla[[#This Row],[FACTURA]])</f>
        <v>76047103-8Gestion Regional de Medios S.A.145096</v>
      </c>
      <c r="F339" s="57" t="n">
        <v>46084</v>
      </c>
      <c r="G339" s="31" t="n">
        <f aca="false">+F339+30</f>
        <v>46114</v>
      </c>
      <c r="H339" s="29" t="n">
        <f aca="true">+IF(AE339="PAGADA",0,TODAY()-G339)</f>
        <v>0</v>
      </c>
      <c r="I339" s="29" t="str">
        <f aca="false">+IF(H339&gt;180,"Atrasada",IF(H339&gt;150,"150 dias",IF(H339&gt;120,"120 dias",IF(H339&gt;90,"90 dias",IF(H339&gt;60,"60 dias",IF(H339&gt;30,"30 dias","Al Día"))))))</f>
        <v>Al Día</v>
      </c>
      <c r="J339" s="32" t="s">
        <v>80</v>
      </c>
      <c r="K339" s="29" t="s">
        <v>81</v>
      </c>
      <c r="L339" s="33" t="s">
        <v>277</v>
      </c>
      <c r="M339" s="29" t="n">
        <f aca="false">+YEAR(F339)</f>
        <v>2026</v>
      </c>
      <c r="N339" s="29" t="n">
        <v>2026</v>
      </c>
      <c r="O339" s="29" t="n">
        <v>1</v>
      </c>
      <c r="P339" s="29" t="str">
        <f aca="false">+CONCATENATE(Tabla[[#This Row],[MES CAMPAÑA]],"/",Tabla[[#This Row],[AÑO CAMPAÑA]])</f>
        <v>1/2026</v>
      </c>
      <c r="Q339" s="29" t="s">
        <v>265</v>
      </c>
      <c r="R339" s="29"/>
      <c r="S339" s="34" t="n">
        <v>0</v>
      </c>
      <c r="T339" s="34" t="n">
        <v>700000</v>
      </c>
      <c r="U339" s="34" t="n">
        <v>133000</v>
      </c>
      <c r="V339" s="29"/>
      <c r="W339" s="35" t="n">
        <v>833000</v>
      </c>
      <c r="X339" s="36" t="n">
        <f aca="false">+Tabla[[#This Row],[TOTAL]]</f>
        <v>833000</v>
      </c>
      <c r="Y339" s="37"/>
      <c r="Z339" s="37"/>
      <c r="AA339" s="37"/>
      <c r="AB339" s="38" t="n">
        <f aca="false">+W339-AC339</f>
        <v>0</v>
      </c>
      <c r="AC339" s="34" t="n">
        <f aca="false">+Tabla[[#This Row],[P4]]+Tabla[[#This Row],[P3]]+Tabla[[#This Row],[P2]]+Tabla[[#This Row],[P1]]</f>
        <v>833000</v>
      </c>
      <c r="AD339" s="34" t="n">
        <f aca="false">+W339-AC339</f>
        <v>0</v>
      </c>
      <c r="AE339" s="21" t="str">
        <f aca="false">IF(AB339&lt;1,"PAGADA","PENDIENTE")</f>
        <v>PAGADA</v>
      </c>
      <c r="AF339" s="21" t="s">
        <v>278</v>
      </c>
      <c r="AG339" s="29" t="s">
        <v>77</v>
      </c>
      <c r="AH339" s="39" t="n">
        <v>46178</v>
      </c>
      <c r="AI339" s="40" t="n">
        <f aca="false">+IF(Tabla[[#This Row],[FECHA PAGO / ABONO]]&lt;1,0,(MONTH(Tabla[[#This Row],[FECHA PAGO / ABONO]])))</f>
        <v>6</v>
      </c>
      <c r="AJ339" s="40" t="n">
        <f aca="false">+IF(Tabla[[#This Row],[FECHA PAGO / ABONO]]&lt;1,0,(YEAR(Tabla[[#This Row],[FECHA PAGO / ABONO]])))</f>
        <v>2026</v>
      </c>
      <c r="AK339" s="41"/>
    </row>
    <row r="340" customFormat="false" ht="14.25" hidden="false" customHeight="false" outlineLevel="0" collapsed="false">
      <c r="A340" s="28" t="s">
        <v>275</v>
      </c>
      <c r="B340" s="29" t="s">
        <v>276</v>
      </c>
      <c r="C340" s="29" t="s">
        <v>69</v>
      </c>
      <c r="D340" s="21" t="n">
        <v>145097</v>
      </c>
      <c r="E340" s="21" t="str">
        <f aca="false">+CONCATENATE(Tabla[[#This Row],[RUT]],Tabla[[#This Row],[PROVEEDOR]],Tabla[[#This Row],[FACTURA]])</f>
        <v>76047103-8Gestion Regional de Medios S.A.145097</v>
      </c>
      <c r="F340" s="57" t="n">
        <v>46084</v>
      </c>
      <c r="G340" s="31" t="n">
        <f aca="false">+F340+30</f>
        <v>46114</v>
      </c>
      <c r="H340" s="29" t="n">
        <f aca="true">+IF(AE340="PAGADA",0,TODAY()-G340)</f>
        <v>0</v>
      </c>
      <c r="I340" s="29" t="str">
        <f aca="false">+IF(H340&gt;180,"Atrasada",IF(H340&gt;150,"150 dias",IF(H340&gt;120,"120 dias",IF(H340&gt;90,"90 dias",IF(H340&gt;60,"60 dias",IF(H340&gt;30,"30 dias","Al Día"))))))</f>
        <v>Al Día</v>
      </c>
      <c r="J340" s="32" t="s">
        <v>80</v>
      </c>
      <c r="K340" s="29" t="s">
        <v>81</v>
      </c>
      <c r="L340" s="33" t="s">
        <v>277</v>
      </c>
      <c r="M340" s="29" t="n">
        <f aca="false">+YEAR(F340)</f>
        <v>2026</v>
      </c>
      <c r="N340" s="29" t="n">
        <v>2026</v>
      </c>
      <c r="O340" s="29" t="n">
        <v>1</v>
      </c>
      <c r="P340" s="29" t="str">
        <f aca="false">+CONCATENATE(Tabla[[#This Row],[MES CAMPAÑA]],"/",Tabla[[#This Row],[AÑO CAMPAÑA]])</f>
        <v>1/2026</v>
      </c>
      <c r="Q340" s="29" t="s">
        <v>265</v>
      </c>
      <c r="R340" s="29"/>
      <c r="S340" s="34" t="n">
        <v>0</v>
      </c>
      <c r="T340" s="34" t="n">
        <v>550000</v>
      </c>
      <c r="U340" s="34" t="n">
        <v>104500</v>
      </c>
      <c r="V340" s="29"/>
      <c r="W340" s="35" t="n">
        <v>654500</v>
      </c>
      <c r="X340" s="36" t="n">
        <f aca="false">+Tabla[[#This Row],[TOTAL]]</f>
        <v>654500</v>
      </c>
      <c r="Y340" s="37"/>
      <c r="Z340" s="37"/>
      <c r="AA340" s="37"/>
      <c r="AB340" s="38" t="n">
        <f aca="false">+W340-AC340</f>
        <v>0</v>
      </c>
      <c r="AC340" s="34" t="n">
        <f aca="false">+Tabla[[#This Row],[P4]]+Tabla[[#This Row],[P3]]+Tabla[[#This Row],[P2]]+Tabla[[#This Row],[P1]]</f>
        <v>654500</v>
      </c>
      <c r="AD340" s="34" t="n">
        <f aca="false">+W340-AC340</f>
        <v>0</v>
      </c>
      <c r="AE340" s="21" t="str">
        <f aca="false">IF(AB340&lt;1,"PAGADA","PENDIENTE")</f>
        <v>PAGADA</v>
      </c>
      <c r="AF340" s="21" t="s">
        <v>278</v>
      </c>
      <c r="AG340" s="29" t="s">
        <v>77</v>
      </c>
      <c r="AH340" s="39" t="n">
        <v>46178</v>
      </c>
      <c r="AI340" s="40" t="n">
        <f aca="false">+IF(Tabla[[#This Row],[FECHA PAGO / ABONO]]&lt;1,0,(MONTH(Tabla[[#This Row],[FECHA PAGO / ABONO]])))</f>
        <v>6</v>
      </c>
      <c r="AJ340" s="40" t="n">
        <f aca="false">+IF(Tabla[[#This Row],[FECHA PAGO / ABONO]]&lt;1,0,(YEAR(Tabla[[#This Row],[FECHA PAGO / ABONO]])))</f>
        <v>2026</v>
      </c>
      <c r="AK340" s="41"/>
    </row>
    <row r="341" customFormat="false" ht="14.25" hidden="false" customHeight="false" outlineLevel="0" collapsed="false">
      <c r="A341" s="28" t="s">
        <v>275</v>
      </c>
      <c r="B341" s="29" t="s">
        <v>276</v>
      </c>
      <c r="C341" s="29" t="s">
        <v>69</v>
      </c>
      <c r="D341" s="21" t="n">
        <v>145098</v>
      </c>
      <c r="E341" s="21" t="str">
        <f aca="false">+CONCATENATE(Tabla[[#This Row],[RUT]],Tabla[[#This Row],[PROVEEDOR]],Tabla[[#This Row],[FACTURA]])</f>
        <v>76047103-8Gestion Regional de Medios S.A.145098</v>
      </c>
      <c r="F341" s="57" t="n">
        <v>46084</v>
      </c>
      <c r="G341" s="31" t="n">
        <f aca="false">+F341+30</f>
        <v>46114</v>
      </c>
      <c r="H341" s="29" t="n">
        <f aca="true">+IF(AE341="PAGADA",0,TODAY()-G341)</f>
        <v>0</v>
      </c>
      <c r="I341" s="29" t="str">
        <f aca="false">+IF(H341&gt;180,"Atrasada",IF(H341&gt;150,"150 dias",IF(H341&gt;120,"120 dias",IF(H341&gt;90,"90 dias",IF(H341&gt;60,"60 dias",IF(H341&gt;30,"30 dias","Al Día"))))))</f>
        <v>Al Día</v>
      </c>
      <c r="J341" s="32" t="s">
        <v>80</v>
      </c>
      <c r="K341" s="29" t="s">
        <v>81</v>
      </c>
      <c r="L341" s="33" t="s">
        <v>277</v>
      </c>
      <c r="M341" s="29" t="n">
        <f aca="false">+YEAR(F341)</f>
        <v>2026</v>
      </c>
      <c r="N341" s="29" t="n">
        <v>2026</v>
      </c>
      <c r="O341" s="29" t="n">
        <v>1</v>
      </c>
      <c r="P341" s="29" t="str">
        <f aca="false">+CONCATENATE(Tabla[[#This Row],[MES CAMPAÑA]],"/",Tabla[[#This Row],[AÑO CAMPAÑA]])</f>
        <v>1/2026</v>
      </c>
      <c r="Q341" s="29" t="s">
        <v>265</v>
      </c>
      <c r="R341" s="29"/>
      <c r="S341" s="34" t="n">
        <v>0</v>
      </c>
      <c r="T341" s="34" t="n">
        <v>450000</v>
      </c>
      <c r="U341" s="34" t="n">
        <v>85500</v>
      </c>
      <c r="V341" s="29"/>
      <c r="W341" s="35" t="n">
        <v>535500</v>
      </c>
      <c r="X341" s="36" t="n">
        <f aca="false">+Tabla[[#This Row],[TOTAL]]</f>
        <v>535500</v>
      </c>
      <c r="Y341" s="37"/>
      <c r="Z341" s="37"/>
      <c r="AA341" s="37"/>
      <c r="AB341" s="38" t="n">
        <f aca="false">+W341-AC341</f>
        <v>0</v>
      </c>
      <c r="AC341" s="34" t="n">
        <f aca="false">+Tabla[[#This Row],[P4]]+Tabla[[#This Row],[P3]]+Tabla[[#This Row],[P2]]+Tabla[[#This Row],[P1]]</f>
        <v>535500</v>
      </c>
      <c r="AD341" s="34" t="n">
        <f aca="false">+W341-AC341</f>
        <v>0</v>
      </c>
      <c r="AE341" s="21" t="str">
        <f aca="false">IF(AB341&lt;1,"PAGADA","PENDIENTE")</f>
        <v>PAGADA</v>
      </c>
      <c r="AF341" s="21" t="s">
        <v>278</v>
      </c>
      <c r="AG341" s="29" t="s">
        <v>77</v>
      </c>
      <c r="AH341" s="39" t="n">
        <v>46178</v>
      </c>
      <c r="AI341" s="40" t="n">
        <f aca="false">+IF(Tabla[[#This Row],[FECHA PAGO / ABONO]]&lt;1,0,(MONTH(Tabla[[#This Row],[FECHA PAGO / ABONO]])))</f>
        <v>6</v>
      </c>
      <c r="AJ341" s="40" t="n">
        <f aca="false">+IF(Tabla[[#This Row],[FECHA PAGO / ABONO]]&lt;1,0,(YEAR(Tabla[[#This Row],[FECHA PAGO / ABONO]])))</f>
        <v>2026</v>
      </c>
      <c r="AK341" s="41"/>
    </row>
    <row r="342" customFormat="false" ht="14.25" hidden="false" customHeight="false" outlineLevel="0" collapsed="false">
      <c r="A342" s="28" t="s">
        <v>275</v>
      </c>
      <c r="B342" s="29" t="s">
        <v>276</v>
      </c>
      <c r="C342" s="29" t="s">
        <v>69</v>
      </c>
      <c r="D342" s="21" t="n">
        <v>145099</v>
      </c>
      <c r="E342" s="21" t="str">
        <f aca="false">+CONCATENATE(Tabla[[#This Row],[RUT]],Tabla[[#This Row],[PROVEEDOR]],Tabla[[#This Row],[FACTURA]])</f>
        <v>76047103-8Gestion Regional de Medios S.A.145099</v>
      </c>
      <c r="F342" s="57" t="n">
        <v>46084</v>
      </c>
      <c r="G342" s="31" t="n">
        <f aca="false">+F342+30</f>
        <v>46114</v>
      </c>
      <c r="H342" s="29" t="n">
        <f aca="true">+IF(AE342="PAGADA",0,TODAY()-G342)</f>
        <v>0</v>
      </c>
      <c r="I342" s="29" t="str">
        <f aca="false">+IF(H342&gt;180,"Atrasada",IF(H342&gt;150,"150 dias",IF(H342&gt;120,"120 dias",IF(H342&gt;90,"90 dias",IF(H342&gt;60,"60 dias",IF(H342&gt;30,"30 dias","Al Día"))))))</f>
        <v>Al Día</v>
      </c>
      <c r="J342" s="32" t="s">
        <v>80</v>
      </c>
      <c r="K342" s="29" t="s">
        <v>81</v>
      </c>
      <c r="L342" s="33" t="s">
        <v>277</v>
      </c>
      <c r="M342" s="29" t="n">
        <f aca="false">+YEAR(F342)</f>
        <v>2026</v>
      </c>
      <c r="N342" s="29" t="n">
        <v>2026</v>
      </c>
      <c r="O342" s="29" t="n">
        <v>1</v>
      </c>
      <c r="P342" s="29" t="str">
        <f aca="false">+CONCATENATE(Tabla[[#This Row],[MES CAMPAÑA]],"/",Tabla[[#This Row],[AÑO CAMPAÑA]])</f>
        <v>1/2026</v>
      </c>
      <c r="Q342" s="29" t="s">
        <v>265</v>
      </c>
      <c r="R342" s="29"/>
      <c r="S342" s="34" t="n">
        <v>0</v>
      </c>
      <c r="T342" s="34" t="n">
        <v>1300000</v>
      </c>
      <c r="U342" s="34" t="n">
        <v>247000</v>
      </c>
      <c r="V342" s="29"/>
      <c r="W342" s="35" t="n">
        <v>1547000</v>
      </c>
      <c r="X342" s="36" t="n">
        <f aca="false">+Tabla[[#This Row],[TOTAL]]</f>
        <v>1547000</v>
      </c>
      <c r="Y342" s="37"/>
      <c r="Z342" s="37"/>
      <c r="AA342" s="37"/>
      <c r="AB342" s="38" t="n">
        <f aca="false">+W342-AC342</f>
        <v>0</v>
      </c>
      <c r="AC342" s="34" t="n">
        <f aca="false">+Tabla[[#This Row],[P4]]+Tabla[[#This Row],[P3]]+Tabla[[#This Row],[P2]]+Tabla[[#This Row],[P1]]</f>
        <v>1547000</v>
      </c>
      <c r="AD342" s="34" t="n">
        <f aca="false">+W342-AC342</f>
        <v>0</v>
      </c>
      <c r="AE342" s="21" t="str">
        <f aca="false">IF(AB342&lt;1,"PAGADA","PENDIENTE")</f>
        <v>PAGADA</v>
      </c>
      <c r="AF342" s="21" t="s">
        <v>278</v>
      </c>
      <c r="AG342" s="29" t="s">
        <v>77</v>
      </c>
      <c r="AH342" s="39" t="n">
        <v>46178</v>
      </c>
      <c r="AI342" s="40" t="n">
        <f aca="false">+IF(Tabla[[#This Row],[FECHA PAGO / ABONO]]&lt;1,0,(MONTH(Tabla[[#This Row],[FECHA PAGO / ABONO]])))</f>
        <v>6</v>
      </c>
      <c r="AJ342" s="40" t="n">
        <f aca="false">+IF(Tabla[[#This Row],[FECHA PAGO / ABONO]]&lt;1,0,(YEAR(Tabla[[#This Row],[FECHA PAGO / ABONO]])))</f>
        <v>2026</v>
      </c>
      <c r="AK342" s="41"/>
    </row>
    <row r="343" customFormat="false" ht="14.25" hidden="false" customHeight="false" outlineLevel="0" collapsed="false">
      <c r="A343" s="28" t="s">
        <v>275</v>
      </c>
      <c r="B343" s="29" t="s">
        <v>276</v>
      </c>
      <c r="C343" s="29" t="s">
        <v>69</v>
      </c>
      <c r="D343" s="21" t="n">
        <v>145100</v>
      </c>
      <c r="E343" s="21" t="str">
        <f aca="false">+CONCATENATE(Tabla[[#This Row],[RUT]],Tabla[[#This Row],[PROVEEDOR]],Tabla[[#This Row],[FACTURA]])</f>
        <v>76047103-8Gestion Regional de Medios S.A.145100</v>
      </c>
      <c r="F343" s="57" t="n">
        <v>46084</v>
      </c>
      <c r="G343" s="31" t="n">
        <f aca="false">+F343+30</f>
        <v>46114</v>
      </c>
      <c r="H343" s="29" t="n">
        <f aca="true">+IF(AE343="PAGADA",0,TODAY()-G343)</f>
        <v>0</v>
      </c>
      <c r="I343" s="29" t="str">
        <f aca="false">+IF(H343&gt;180,"Atrasada",IF(H343&gt;150,"150 dias",IF(H343&gt;120,"120 dias",IF(H343&gt;90,"90 dias",IF(H343&gt;60,"60 dias",IF(H343&gt;30,"30 dias","Al Día"))))))</f>
        <v>Al Día</v>
      </c>
      <c r="J343" s="32" t="s">
        <v>80</v>
      </c>
      <c r="K343" s="29" t="s">
        <v>81</v>
      </c>
      <c r="L343" s="33" t="s">
        <v>277</v>
      </c>
      <c r="M343" s="29" t="n">
        <f aca="false">+YEAR(F343)</f>
        <v>2026</v>
      </c>
      <c r="N343" s="29" t="n">
        <v>2026</v>
      </c>
      <c r="O343" s="29" t="n">
        <v>1</v>
      </c>
      <c r="P343" s="29" t="str">
        <f aca="false">+CONCATENATE(Tabla[[#This Row],[MES CAMPAÑA]],"/",Tabla[[#This Row],[AÑO CAMPAÑA]])</f>
        <v>1/2026</v>
      </c>
      <c r="Q343" s="29" t="s">
        <v>265</v>
      </c>
      <c r="R343" s="29"/>
      <c r="S343" s="34" t="n">
        <v>0</v>
      </c>
      <c r="T343" s="34" t="n">
        <v>550000</v>
      </c>
      <c r="U343" s="34" t="n">
        <v>104500</v>
      </c>
      <c r="V343" s="29"/>
      <c r="W343" s="35" t="n">
        <v>654500</v>
      </c>
      <c r="X343" s="36" t="n">
        <f aca="false">+Tabla[[#This Row],[TOTAL]]</f>
        <v>654500</v>
      </c>
      <c r="Y343" s="37"/>
      <c r="Z343" s="37"/>
      <c r="AA343" s="37"/>
      <c r="AB343" s="38" t="n">
        <f aca="false">+W343-AC343</f>
        <v>0</v>
      </c>
      <c r="AC343" s="34" t="n">
        <f aca="false">+Tabla[[#This Row],[P4]]+Tabla[[#This Row],[P3]]+Tabla[[#This Row],[P2]]+Tabla[[#This Row],[P1]]</f>
        <v>654500</v>
      </c>
      <c r="AD343" s="34" t="n">
        <f aca="false">+W343-AC343</f>
        <v>0</v>
      </c>
      <c r="AE343" s="21" t="str">
        <f aca="false">IF(AB343&lt;1,"PAGADA","PENDIENTE")</f>
        <v>PAGADA</v>
      </c>
      <c r="AF343" s="21" t="s">
        <v>278</v>
      </c>
      <c r="AG343" s="29" t="s">
        <v>77</v>
      </c>
      <c r="AH343" s="39" t="n">
        <v>46178</v>
      </c>
      <c r="AI343" s="40" t="n">
        <f aca="false">+IF(Tabla[[#This Row],[FECHA PAGO / ABONO]]&lt;1,0,(MONTH(Tabla[[#This Row],[FECHA PAGO / ABONO]])))</f>
        <v>6</v>
      </c>
      <c r="AJ343" s="40" t="n">
        <f aca="false">+IF(Tabla[[#This Row],[FECHA PAGO / ABONO]]&lt;1,0,(YEAR(Tabla[[#This Row],[FECHA PAGO / ABONO]])))</f>
        <v>2026</v>
      </c>
      <c r="AK343" s="41"/>
    </row>
    <row r="344" customFormat="false" ht="14.25" hidden="false" customHeight="false" outlineLevel="0" collapsed="false">
      <c r="A344" s="28" t="s">
        <v>275</v>
      </c>
      <c r="B344" s="29" t="s">
        <v>276</v>
      </c>
      <c r="C344" s="29" t="s">
        <v>69</v>
      </c>
      <c r="D344" s="21" t="n">
        <v>145101</v>
      </c>
      <c r="E344" s="21" t="str">
        <f aca="false">+CONCATENATE(Tabla[[#This Row],[RUT]],Tabla[[#This Row],[PROVEEDOR]],Tabla[[#This Row],[FACTURA]])</f>
        <v>76047103-8Gestion Regional de Medios S.A.145101</v>
      </c>
      <c r="F344" s="57" t="n">
        <v>46084</v>
      </c>
      <c r="G344" s="31" t="n">
        <f aca="false">+F344+30</f>
        <v>46114</v>
      </c>
      <c r="H344" s="29" t="n">
        <f aca="true">+IF(AE344="PAGADA",0,TODAY()-G344)</f>
        <v>0</v>
      </c>
      <c r="I344" s="29" t="str">
        <f aca="false">+IF(H344&gt;180,"Atrasada",IF(H344&gt;150,"150 dias",IF(H344&gt;120,"120 dias",IF(H344&gt;90,"90 dias",IF(H344&gt;60,"60 dias",IF(H344&gt;30,"30 dias","Al Día"))))))</f>
        <v>Al Día</v>
      </c>
      <c r="J344" s="32" t="s">
        <v>80</v>
      </c>
      <c r="K344" s="29" t="s">
        <v>81</v>
      </c>
      <c r="L344" s="33" t="s">
        <v>277</v>
      </c>
      <c r="M344" s="29" t="n">
        <f aca="false">+YEAR(F344)</f>
        <v>2026</v>
      </c>
      <c r="N344" s="29" t="n">
        <v>2026</v>
      </c>
      <c r="O344" s="29" t="n">
        <v>1</v>
      </c>
      <c r="P344" s="29" t="str">
        <f aca="false">+CONCATENATE(Tabla[[#This Row],[MES CAMPAÑA]],"/",Tabla[[#This Row],[AÑO CAMPAÑA]])</f>
        <v>1/2026</v>
      </c>
      <c r="Q344" s="29" t="s">
        <v>265</v>
      </c>
      <c r="R344" s="29"/>
      <c r="S344" s="34" t="n">
        <v>0</v>
      </c>
      <c r="T344" s="34" t="n">
        <v>350000</v>
      </c>
      <c r="U344" s="34" t="n">
        <v>66500</v>
      </c>
      <c r="V344" s="29"/>
      <c r="W344" s="35" t="n">
        <v>416500</v>
      </c>
      <c r="X344" s="36" t="n">
        <f aca="false">+Tabla[[#This Row],[TOTAL]]</f>
        <v>416500</v>
      </c>
      <c r="Y344" s="37"/>
      <c r="Z344" s="37"/>
      <c r="AA344" s="37"/>
      <c r="AB344" s="38" t="n">
        <f aca="false">+W344-AC344</f>
        <v>0</v>
      </c>
      <c r="AC344" s="34" t="n">
        <f aca="false">+Tabla[[#This Row],[P4]]+Tabla[[#This Row],[P3]]+Tabla[[#This Row],[P2]]+Tabla[[#This Row],[P1]]</f>
        <v>416500</v>
      </c>
      <c r="AD344" s="34" t="n">
        <f aca="false">+W344-AC344</f>
        <v>0</v>
      </c>
      <c r="AE344" s="21" t="str">
        <f aca="false">IF(AB344&lt;1,"PAGADA","PENDIENTE")</f>
        <v>PAGADA</v>
      </c>
      <c r="AF344" s="21" t="s">
        <v>278</v>
      </c>
      <c r="AG344" s="29" t="s">
        <v>77</v>
      </c>
      <c r="AH344" s="39" t="n">
        <v>46178</v>
      </c>
      <c r="AI344" s="40" t="n">
        <f aca="false">+IF(Tabla[[#This Row],[FECHA PAGO / ABONO]]&lt;1,0,(MONTH(Tabla[[#This Row],[FECHA PAGO / ABONO]])))</f>
        <v>6</v>
      </c>
      <c r="AJ344" s="40" t="n">
        <f aca="false">+IF(Tabla[[#This Row],[FECHA PAGO / ABONO]]&lt;1,0,(YEAR(Tabla[[#This Row],[FECHA PAGO / ABONO]])))</f>
        <v>2026</v>
      </c>
      <c r="AK344" s="41"/>
    </row>
    <row r="345" customFormat="false" ht="14.25" hidden="false" customHeight="false" outlineLevel="0" collapsed="false">
      <c r="A345" s="28" t="s">
        <v>242</v>
      </c>
      <c r="B345" s="29" t="s">
        <v>243</v>
      </c>
      <c r="C345" s="29" t="s">
        <v>69</v>
      </c>
      <c r="D345" s="21" t="n">
        <v>15723047</v>
      </c>
      <c r="E345" s="21" t="str">
        <f aca="false">+CONCATENATE(Tabla[[#This Row],[RUT]],Tabla[[#This Row],[PROVEEDOR]],Tabla[[#This Row],[FACTURA]])</f>
        <v>90193000-7Empresa El Mercurio S.A.P.15723047</v>
      </c>
      <c r="F345" s="57" t="n">
        <v>46084</v>
      </c>
      <c r="G345" s="31" t="n">
        <f aca="false">+F345+30</f>
        <v>46114</v>
      </c>
      <c r="H345" s="29" t="n">
        <f aca="true">+IF(AE345="PAGADA",0,TODAY()-G345)</f>
        <v>0</v>
      </c>
      <c r="I345" s="29" t="str">
        <f aca="false">+IF(H345&gt;180,"Atrasada",IF(H345&gt;150,"150 dias",IF(H345&gt;120,"120 dias",IF(H345&gt;90,"90 dias",IF(H345&gt;60,"60 dias",IF(H345&gt;30,"30 dias","Al Día"))))))</f>
        <v>Al Día</v>
      </c>
      <c r="J345" s="32" t="s">
        <v>80</v>
      </c>
      <c r="K345" s="29" t="s">
        <v>81</v>
      </c>
      <c r="L345" s="33" t="s">
        <v>277</v>
      </c>
      <c r="M345" s="29" t="n">
        <f aca="false">+YEAR(F345)</f>
        <v>2026</v>
      </c>
      <c r="N345" s="29" t="n">
        <v>2026</v>
      </c>
      <c r="O345" s="29" t="n">
        <v>1</v>
      </c>
      <c r="P345" s="29" t="str">
        <f aca="false">+CONCATENATE(Tabla[[#This Row],[MES CAMPAÑA]],"/",Tabla[[#This Row],[AÑO CAMPAÑA]])</f>
        <v>1/2026</v>
      </c>
      <c r="Q345" s="29" t="s">
        <v>279</v>
      </c>
      <c r="R345" s="29"/>
      <c r="S345" s="34" t="n">
        <v>0</v>
      </c>
      <c r="T345" s="34" t="n">
        <v>3800000</v>
      </c>
      <c r="U345" s="34" t="n">
        <v>722000</v>
      </c>
      <c r="V345" s="29"/>
      <c r="W345" s="35" t="n">
        <v>4522000</v>
      </c>
      <c r="X345" s="36" t="n">
        <f aca="false">+Tabla[[#This Row],[TOTAL]]</f>
        <v>4522000</v>
      </c>
      <c r="Y345" s="37"/>
      <c r="Z345" s="37"/>
      <c r="AA345" s="37"/>
      <c r="AB345" s="38" t="n">
        <f aca="false">+W345-AC345</f>
        <v>0</v>
      </c>
      <c r="AC345" s="34" t="n">
        <f aca="false">+Tabla[[#This Row],[P4]]+Tabla[[#This Row],[P3]]+Tabla[[#This Row],[P2]]+Tabla[[#This Row],[P1]]</f>
        <v>4522000</v>
      </c>
      <c r="AD345" s="34" t="n">
        <f aca="false">+W345-AC345</f>
        <v>0</v>
      </c>
      <c r="AE345" s="21" t="str">
        <f aca="false">IF(AB345&lt;1,"PAGADA","PENDIENTE")</f>
        <v>PAGADA</v>
      </c>
      <c r="AF345" s="21" t="s">
        <v>266</v>
      </c>
      <c r="AG345" s="29" t="s">
        <v>77</v>
      </c>
      <c r="AH345" s="39" t="n">
        <v>46129</v>
      </c>
      <c r="AI345" s="40" t="n">
        <f aca="false">+IF(Tabla[[#This Row],[FECHA PAGO / ABONO]]&lt;1,0,(MONTH(Tabla[[#This Row],[FECHA PAGO / ABONO]])))</f>
        <v>4</v>
      </c>
      <c r="AJ345" s="40" t="n">
        <f aca="false">+IF(Tabla[[#This Row],[FECHA PAGO / ABONO]]&lt;1,0,(YEAR(Tabla[[#This Row],[FECHA PAGO / ABONO]])))</f>
        <v>2026</v>
      </c>
      <c r="AK345" s="41"/>
    </row>
    <row r="346" customFormat="false" ht="14.25" hidden="false" customHeight="false" outlineLevel="0" collapsed="false">
      <c r="A346" s="28" t="s">
        <v>151</v>
      </c>
      <c r="B346" s="29" t="s">
        <v>152</v>
      </c>
      <c r="C346" s="29" t="s">
        <v>69</v>
      </c>
      <c r="D346" s="21" t="n">
        <v>9113</v>
      </c>
      <c r="E346" s="21" t="str">
        <f aca="false">+CONCATENATE(Tabla[[#This Row],[RUT]],Tabla[[#This Row],[PROVEEDOR]],Tabla[[#This Row],[FACTURA]])</f>
        <v>70938800-2CORP MUNICIPAL DE DESARROLLO SOCIAL DE IQUIQUE9113</v>
      </c>
      <c r="F346" s="57" t="n">
        <v>46084</v>
      </c>
      <c r="G346" s="31" t="n">
        <f aca="false">+F346+30</f>
        <v>46114</v>
      </c>
      <c r="H346" s="29" t="n">
        <f aca="true">+IF(AE346="PAGADA",0,TODAY()-G346)</f>
        <v>90</v>
      </c>
      <c r="I346" s="29" t="str">
        <f aca="false">+IF(H346&gt;180,"Atrasada",IF(H346&gt;150,"150 dias",IF(H346&gt;120,"120 dias",IF(H346&gt;90,"90 dias",IF(H346&gt;60,"60 dias",IF(H346&gt;30,"30 dias","Al Día"))))))</f>
        <v>60 dias</v>
      </c>
      <c r="J346" s="32" t="s">
        <v>80</v>
      </c>
      <c r="K346" s="29" t="s">
        <v>81</v>
      </c>
      <c r="L346" s="33" t="s">
        <v>277</v>
      </c>
      <c r="M346" s="29" t="n">
        <f aca="false">+YEAR(F346)</f>
        <v>2026</v>
      </c>
      <c r="N346" s="29" t="n">
        <v>2026</v>
      </c>
      <c r="O346" s="29" t="n">
        <v>1</v>
      </c>
      <c r="P346" s="29" t="str">
        <f aca="false">+CONCATENATE(Tabla[[#This Row],[MES CAMPAÑA]],"/",Tabla[[#This Row],[AÑO CAMPAÑA]])</f>
        <v>1/2026</v>
      </c>
      <c r="Q346" s="29" t="s">
        <v>108</v>
      </c>
      <c r="R346" s="29"/>
      <c r="S346" s="34" t="n">
        <v>0</v>
      </c>
      <c r="T346" s="34" t="n">
        <v>500000</v>
      </c>
      <c r="U346" s="34" t="n">
        <v>95000</v>
      </c>
      <c r="V346" s="29"/>
      <c r="W346" s="35" t="n">
        <v>595000</v>
      </c>
      <c r="X346" s="36"/>
      <c r="Y346" s="37"/>
      <c r="Z346" s="37"/>
      <c r="AA346" s="37"/>
      <c r="AB346" s="38" t="n">
        <f aca="false">+W346-AC346</f>
        <v>595000</v>
      </c>
      <c r="AC346" s="34" t="n">
        <f aca="false">+Tabla[[#This Row],[P4]]+Tabla[[#This Row],[P3]]+Tabla[[#This Row],[P2]]+Tabla[[#This Row],[P1]]</f>
        <v>0</v>
      </c>
      <c r="AD346" s="34" t="n">
        <f aca="false">+W346-AC346</f>
        <v>595000</v>
      </c>
      <c r="AE346" s="21" t="str">
        <f aca="false">IF(AB346&lt;1,"PAGADA","PENDIENTE")</f>
        <v>PENDIENTE</v>
      </c>
      <c r="AF346" s="21"/>
      <c r="AG346" s="29"/>
      <c r="AH346" s="40"/>
      <c r="AI346" s="40" t="n">
        <f aca="false">+IF(Tabla[[#This Row],[FECHA PAGO / ABONO]]&lt;1,0,(MONTH(Tabla[[#This Row],[FECHA PAGO / ABONO]])))</f>
        <v>0</v>
      </c>
      <c r="AJ346" s="40" t="n">
        <f aca="false">+IF(Tabla[[#This Row],[FECHA PAGO / ABONO]]&lt;1,0,(YEAR(Tabla[[#This Row],[FECHA PAGO / ABONO]])))</f>
        <v>0</v>
      </c>
      <c r="AK346" s="41"/>
    </row>
    <row r="347" customFormat="false" ht="14.25" hidden="false" customHeight="false" outlineLevel="0" collapsed="false">
      <c r="A347" s="28" t="s">
        <v>88</v>
      </c>
      <c r="B347" s="29" t="s">
        <v>89</v>
      </c>
      <c r="C347" s="29" t="s">
        <v>69</v>
      </c>
      <c r="D347" s="21" t="n">
        <v>15016</v>
      </c>
      <c r="E347" s="21" t="str">
        <f aca="false">+CONCATENATE(Tabla[[#This Row],[RUT]],Tabla[[#This Row],[PROVEEDOR]],Tabla[[#This Row],[FACTURA]])</f>
        <v>96721110-9VerificaciÃ³n e Inversiones Publicitarias SpA15016</v>
      </c>
      <c r="F347" s="57" t="n">
        <v>46085</v>
      </c>
      <c r="G347" s="31" t="n">
        <f aca="false">+F347+30</f>
        <v>46115</v>
      </c>
      <c r="H347" s="29" t="n">
        <f aca="true">+IF(AE347="PAGADA",0,TODAY()-G347)</f>
        <v>0</v>
      </c>
      <c r="I347" s="29" t="str">
        <f aca="false">+IF(H347&gt;180,"Atrasada",IF(H347&gt;150,"150 dias",IF(H347&gt;120,"120 dias",IF(H347&gt;90,"90 dias",IF(H347&gt;60,"60 dias",IF(H347&gt;30,"30 dias","Al Día"))))))</f>
        <v>Al Día</v>
      </c>
      <c r="J347" s="32" t="s">
        <v>31</v>
      </c>
      <c r="K347" s="29" t="s">
        <v>81</v>
      </c>
      <c r="L347" s="33" t="s">
        <v>277</v>
      </c>
      <c r="M347" s="29" t="n">
        <f aca="false">+YEAR(F347)</f>
        <v>2026</v>
      </c>
      <c r="N347" s="29" t="n">
        <v>2026</v>
      </c>
      <c r="O347" s="29" t="n">
        <v>3</v>
      </c>
      <c r="P347" s="29" t="str">
        <f aca="false">+CONCATENATE(Tabla[[#This Row],[MES CAMPAÑA]],"/",Tabla[[#This Row],[AÑO CAMPAÑA]])</f>
        <v>3/2026</v>
      </c>
      <c r="Q347" s="29" t="s">
        <v>73</v>
      </c>
      <c r="R347" s="29"/>
      <c r="S347" s="34" t="n">
        <v>0</v>
      </c>
      <c r="T347" s="34" t="n">
        <v>3183705</v>
      </c>
      <c r="U347" s="34" t="n">
        <v>604904</v>
      </c>
      <c r="V347" s="29"/>
      <c r="W347" s="35" t="n">
        <v>3788609</v>
      </c>
      <c r="X347" s="36" t="n">
        <f aca="false">+Tabla[[#This Row],[TOTAL]]</f>
        <v>3788609</v>
      </c>
      <c r="Y347" s="37"/>
      <c r="Z347" s="37"/>
      <c r="AA347" s="37"/>
      <c r="AB347" s="38" t="n">
        <f aca="false">+W347-AC347</f>
        <v>0</v>
      </c>
      <c r="AC347" s="34" t="n">
        <f aca="false">+Tabla[[#This Row],[P4]]+Tabla[[#This Row],[P3]]+Tabla[[#This Row],[P2]]+Tabla[[#This Row],[P1]]</f>
        <v>3788609</v>
      </c>
      <c r="AD347" s="34" t="n">
        <f aca="false">+W347-AC347</f>
        <v>0</v>
      </c>
      <c r="AE347" s="21" t="str">
        <f aca="false">IF(AB347&lt;1,"PAGADA","PENDIENTE")</f>
        <v>PAGADA</v>
      </c>
      <c r="AF347" s="21"/>
      <c r="AG347" s="29" t="s">
        <v>77</v>
      </c>
      <c r="AH347" s="39" t="n">
        <v>46161</v>
      </c>
      <c r="AI347" s="40" t="n">
        <f aca="false">+IF(Tabla[[#This Row],[FECHA PAGO / ABONO]]&lt;1,0,(MONTH(Tabla[[#This Row],[FECHA PAGO / ABONO]])))</f>
        <v>5</v>
      </c>
      <c r="AJ347" s="40" t="n">
        <f aca="false">+IF(Tabla[[#This Row],[FECHA PAGO / ABONO]]&lt;1,0,(YEAR(Tabla[[#This Row],[FECHA PAGO / ABONO]])))</f>
        <v>2026</v>
      </c>
      <c r="AK347" s="41"/>
    </row>
    <row r="348" customFormat="false" ht="14.25" hidden="false" customHeight="false" outlineLevel="0" collapsed="false">
      <c r="A348" s="28" t="s">
        <v>242</v>
      </c>
      <c r="B348" s="29" t="s">
        <v>243</v>
      </c>
      <c r="C348" s="29" t="s">
        <v>69</v>
      </c>
      <c r="D348" s="21" t="n">
        <v>15723181</v>
      </c>
      <c r="E348" s="21" t="str">
        <f aca="false">+CONCATENATE(Tabla[[#This Row],[RUT]],Tabla[[#This Row],[PROVEEDOR]],Tabla[[#This Row],[FACTURA]])</f>
        <v>90193000-7Empresa El Mercurio S.A.P.15723181</v>
      </c>
      <c r="F348" s="57" t="n">
        <v>46085</v>
      </c>
      <c r="G348" s="31" t="n">
        <f aca="false">+F348+30</f>
        <v>46115</v>
      </c>
      <c r="H348" s="29" t="n">
        <f aca="true">+IF(AE348="PAGADA",0,TODAY()-G348)</f>
        <v>0</v>
      </c>
      <c r="I348" s="29" t="str">
        <f aca="false">+IF(H348&gt;180,"Atrasada",IF(H348&gt;150,"150 dias",IF(H348&gt;120,"120 dias",IF(H348&gt;90,"90 dias",IF(H348&gt;60,"60 dias",IF(H348&gt;30,"30 dias","Al Día"))))))</f>
        <v>Al Día</v>
      </c>
      <c r="J348" s="32" t="s">
        <v>80</v>
      </c>
      <c r="K348" s="29" t="s">
        <v>81</v>
      </c>
      <c r="L348" s="33" t="s">
        <v>277</v>
      </c>
      <c r="M348" s="29" t="n">
        <f aca="false">+YEAR(F348)</f>
        <v>2026</v>
      </c>
      <c r="N348" s="29" t="n">
        <v>2026</v>
      </c>
      <c r="O348" s="29" t="n">
        <v>1</v>
      </c>
      <c r="P348" s="29" t="str">
        <f aca="false">+CONCATENATE(Tabla[[#This Row],[MES CAMPAÑA]],"/",Tabla[[#This Row],[AÑO CAMPAÑA]])</f>
        <v>1/2026</v>
      </c>
      <c r="Q348" s="29" t="s">
        <v>265</v>
      </c>
      <c r="R348" s="29"/>
      <c r="S348" s="34" t="n">
        <v>0</v>
      </c>
      <c r="T348" s="34" t="n">
        <v>1200000</v>
      </c>
      <c r="U348" s="34" t="n">
        <v>228000</v>
      </c>
      <c r="V348" s="29"/>
      <c r="W348" s="35" t="n">
        <v>1428000</v>
      </c>
      <c r="X348" s="36" t="n">
        <f aca="false">+Tabla[[#This Row],[TOTAL]]</f>
        <v>1428000</v>
      </c>
      <c r="Y348" s="37"/>
      <c r="Z348" s="37"/>
      <c r="AA348" s="37"/>
      <c r="AB348" s="38" t="n">
        <f aca="false">+W348-AC348</f>
        <v>0</v>
      </c>
      <c r="AC348" s="34" t="n">
        <f aca="false">+Tabla[[#This Row],[P4]]+Tabla[[#This Row],[P3]]+Tabla[[#This Row],[P2]]+Tabla[[#This Row],[P1]]</f>
        <v>1428000</v>
      </c>
      <c r="AD348" s="34" t="n">
        <f aca="false">+W348-AC348</f>
        <v>0</v>
      </c>
      <c r="AE348" s="21" t="str">
        <f aca="false">IF(AB348&lt;1,"PAGADA","PENDIENTE")</f>
        <v>PAGADA</v>
      </c>
      <c r="AF348" s="21" t="s">
        <v>266</v>
      </c>
      <c r="AG348" s="29" t="s">
        <v>77</v>
      </c>
      <c r="AH348" s="39" t="n">
        <v>46146</v>
      </c>
      <c r="AI348" s="40" t="n">
        <f aca="false">+IF(Tabla[[#This Row],[FECHA PAGO / ABONO]]&lt;1,0,(MONTH(Tabla[[#This Row],[FECHA PAGO / ABONO]])))</f>
        <v>5</v>
      </c>
      <c r="AJ348" s="40" t="n">
        <f aca="false">+IF(Tabla[[#This Row],[FECHA PAGO / ABONO]]&lt;1,0,(YEAR(Tabla[[#This Row],[FECHA PAGO / ABONO]])))</f>
        <v>2026</v>
      </c>
      <c r="AK348" s="41"/>
    </row>
    <row r="349" customFormat="false" ht="14.25" hidden="false" customHeight="false" outlineLevel="0" collapsed="false">
      <c r="A349" s="28" t="s">
        <v>177</v>
      </c>
      <c r="B349" s="29" t="s">
        <v>178</v>
      </c>
      <c r="C349" s="29" t="s">
        <v>69</v>
      </c>
      <c r="D349" s="21" t="n">
        <v>37972</v>
      </c>
      <c r="E349" s="21" t="str">
        <f aca="false">+CONCATENATE(Tabla[[#This Row],[RUT]],Tabla[[#This Row],[PROVEEDOR]],Tabla[[#This Row],[FACTURA]])</f>
        <v>84383200-8GLOBAL MEDIA SPA37972</v>
      </c>
      <c r="F349" s="57" t="n">
        <v>46086</v>
      </c>
      <c r="G349" s="31" t="n">
        <f aca="false">+F349+30</f>
        <v>46116</v>
      </c>
      <c r="H349" s="29" t="n">
        <f aca="true">+IF(AE349="PAGADA",0,TODAY()-G349)</f>
        <v>88</v>
      </c>
      <c r="I349" s="29" t="str">
        <f aca="false">+IF(H349&gt;180,"Atrasada",IF(H349&gt;150,"150 dias",IF(H349&gt;120,"120 dias",IF(H349&gt;90,"90 dias",IF(H349&gt;60,"60 dias",IF(H349&gt;30,"30 dias","Al Día"))))))</f>
        <v>60 dias</v>
      </c>
      <c r="J349" s="32" t="s">
        <v>80</v>
      </c>
      <c r="K349" s="29" t="s">
        <v>81</v>
      </c>
      <c r="L349" s="33" t="s">
        <v>277</v>
      </c>
      <c r="M349" s="29" t="n">
        <f aca="false">+YEAR(F349)</f>
        <v>2026</v>
      </c>
      <c r="N349" s="29" t="n">
        <v>2026</v>
      </c>
      <c r="O349" s="29" t="n">
        <v>1</v>
      </c>
      <c r="P349" s="29" t="str">
        <f aca="false">+CONCATENATE(Tabla[[#This Row],[MES CAMPAÑA]],"/",Tabla[[#This Row],[AÑO CAMPAÑA]])</f>
        <v>1/2026</v>
      </c>
      <c r="Q349" s="29" t="s">
        <v>92</v>
      </c>
      <c r="R349" s="29"/>
      <c r="S349" s="34" t="n">
        <v>0</v>
      </c>
      <c r="T349" s="34" t="n">
        <v>626861</v>
      </c>
      <c r="U349" s="34" t="n">
        <v>119104</v>
      </c>
      <c r="V349" s="29"/>
      <c r="W349" s="35" t="n">
        <v>745965</v>
      </c>
      <c r="X349" s="36"/>
      <c r="Y349" s="37"/>
      <c r="Z349" s="37"/>
      <c r="AA349" s="37"/>
      <c r="AB349" s="38" t="n">
        <f aca="false">+W349-AC349</f>
        <v>745965</v>
      </c>
      <c r="AC349" s="34" t="n">
        <f aca="false">+Tabla[[#This Row],[P4]]+Tabla[[#This Row],[P3]]+Tabla[[#This Row],[P2]]+Tabla[[#This Row],[P1]]</f>
        <v>0</v>
      </c>
      <c r="AD349" s="34" t="n">
        <f aca="false">+W349-AC349</f>
        <v>745965</v>
      </c>
      <c r="AE349" s="21" t="str">
        <f aca="false">IF(AB349&lt;1,"PAGADA","PENDIENTE")</f>
        <v>PENDIENTE</v>
      </c>
      <c r="AF349" s="21"/>
      <c r="AG349" s="29"/>
      <c r="AH349" s="40"/>
      <c r="AI349" s="40" t="n">
        <f aca="false">+IF(Tabla[[#This Row],[FECHA PAGO / ABONO]]&lt;1,0,(MONTH(Tabla[[#This Row],[FECHA PAGO / ABONO]])))</f>
        <v>0</v>
      </c>
      <c r="AJ349" s="40" t="n">
        <f aca="false">+IF(Tabla[[#This Row],[FECHA PAGO / ABONO]]&lt;1,0,(YEAR(Tabla[[#This Row],[FECHA PAGO / ABONO]])))</f>
        <v>0</v>
      </c>
      <c r="AK349" s="41"/>
    </row>
    <row r="350" customFormat="false" ht="14.25" hidden="false" customHeight="false" outlineLevel="0" collapsed="false">
      <c r="A350" s="28" t="s">
        <v>177</v>
      </c>
      <c r="B350" s="29" t="s">
        <v>178</v>
      </c>
      <c r="C350" s="29" t="s">
        <v>69</v>
      </c>
      <c r="D350" s="21" t="n">
        <v>37973</v>
      </c>
      <c r="E350" s="21" t="str">
        <f aca="false">+CONCATENATE(Tabla[[#This Row],[RUT]],Tabla[[#This Row],[PROVEEDOR]],Tabla[[#This Row],[FACTURA]])</f>
        <v>84383200-8GLOBAL MEDIA SPA37973</v>
      </c>
      <c r="F350" s="57" t="n">
        <v>46086</v>
      </c>
      <c r="G350" s="31" t="n">
        <f aca="false">+F350+30</f>
        <v>46116</v>
      </c>
      <c r="H350" s="29" t="n">
        <f aca="true">+IF(AE350="PAGADA",0,TODAY()-G350)</f>
        <v>88</v>
      </c>
      <c r="I350" s="29" t="str">
        <f aca="false">+IF(H350&gt;180,"Atrasada",IF(H350&gt;150,"150 dias",IF(H350&gt;120,"120 dias",IF(H350&gt;90,"90 dias",IF(H350&gt;60,"60 dias",IF(H350&gt;30,"30 dias","Al Día"))))))</f>
        <v>60 dias</v>
      </c>
      <c r="J350" s="32" t="s">
        <v>80</v>
      </c>
      <c r="K350" s="29" t="s">
        <v>81</v>
      </c>
      <c r="L350" s="33" t="s">
        <v>277</v>
      </c>
      <c r="M350" s="29" t="n">
        <f aca="false">+YEAR(F350)</f>
        <v>2026</v>
      </c>
      <c r="N350" s="29" t="n">
        <v>2026</v>
      </c>
      <c r="O350" s="29" t="n">
        <v>1</v>
      </c>
      <c r="P350" s="29" t="str">
        <f aca="false">+CONCATENATE(Tabla[[#This Row],[MES CAMPAÑA]],"/",Tabla[[#This Row],[AÑO CAMPAÑA]])</f>
        <v>1/2026</v>
      </c>
      <c r="Q350" s="29" t="s">
        <v>130</v>
      </c>
      <c r="R350" s="29"/>
      <c r="S350" s="34" t="n">
        <v>0</v>
      </c>
      <c r="T350" s="34" t="n">
        <v>800000</v>
      </c>
      <c r="U350" s="34" t="n">
        <v>152000</v>
      </c>
      <c r="V350" s="29"/>
      <c r="W350" s="35" t="n">
        <v>952000</v>
      </c>
      <c r="X350" s="36"/>
      <c r="Y350" s="37"/>
      <c r="Z350" s="37"/>
      <c r="AA350" s="37"/>
      <c r="AB350" s="38" t="n">
        <f aca="false">+W350-AC350</f>
        <v>952000</v>
      </c>
      <c r="AC350" s="34" t="n">
        <f aca="false">+Tabla[[#This Row],[P4]]+Tabla[[#This Row],[P3]]+Tabla[[#This Row],[P2]]+Tabla[[#This Row],[P1]]</f>
        <v>0</v>
      </c>
      <c r="AD350" s="34" t="n">
        <f aca="false">+W350-AC350</f>
        <v>952000</v>
      </c>
      <c r="AE350" s="21" t="str">
        <f aca="false">IF(AB350&lt;1,"PAGADA","PENDIENTE")</f>
        <v>PENDIENTE</v>
      </c>
      <c r="AF350" s="21"/>
      <c r="AG350" s="29"/>
      <c r="AH350" s="40"/>
      <c r="AI350" s="40" t="n">
        <f aca="false">+IF(Tabla[[#This Row],[FECHA PAGO / ABONO]]&lt;1,0,(MONTH(Tabla[[#This Row],[FECHA PAGO / ABONO]])))</f>
        <v>0</v>
      </c>
      <c r="AJ350" s="40" t="n">
        <f aca="false">+IF(Tabla[[#This Row],[FECHA PAGO / ABONO]]&lt;1,0,(YEAR(Tabla[[#This Row],[FECHA PAGO / ABONO]])))</f>
        <v>0</v>
      </c>
      <c r="AK350" s="41"/>
    </row>
    <row r="351" customFormat="false" ht="14.25" hidden="false" customHeight="false" outlineLevel="0" collapsed="false">
      <c r="A351" s="28" t="s">
        <v>101</v>
      </c>
      <c r="B351" s="29" t="s">
        <v>102</v>
      </c>
      <c r="C351" s="29" t="s">
        <v>69</v>
      </c>
      <c r="D351" s="21" t="n">
        <v>29599756</v>
      </c>
      <c r="E351" s="21" t="str">
        <f aca="false">+CONCATENATE(Tabla[[#This Row],[RUT]],Tabla[[#This Row],[PROVEEDOR]],Tabla[[#This Row],[FACTURA]])</f>
        <v>97006000-6BANCO DE CREDITO E INVERSIONES29599756</v>
      </c>
      <c r="F351" s="57" t="n">
        <v>46087</v>
      </c>
      <c r="G351" s="31" t="n">
        <f aca="false">+F351+30</f>
        <v>46117</v>
      </c>
      <c r="H351" s="29" t="n">
        <f aca="true">+IF(AE351="PAGADA",0,TODAY()-G351)</f>
        <v>0</v>
      </c>
      <c r="I351" s="29" t="str">
        <f aca="false">+IF(H351&gt;180,"Atrasada",IF(H351&gt;150,"150 dias",IF(H351&gt;120,"120 dias",IF(H351&gt;90,"90 dias",IF(H351&gt;60,"60 dias",IF(H351&gt;30,"30 dias","Al Día"))))))</f>
        <v>Al Día</v>
      </c>
      <c r="J351" s="32" t="s">
        <v>31</v>
      </c>
      <c r="K351" s="29" t="s">
        <v>81</v>
      </c>
      <c r="L351" s="33" t="s">
        <v>277</v>
      </c>
      <c r="M351" s="29" t="n">
        <f aca="false">+YEAR(F351)</f>
        <v>2026</v>
      </c>
      <c r="N351" s="29" t="n">
        <v>2026</v>
      </c>
      <c r="O351" s="29" t="n">
        <v>3</v>
      </c>
      <c r="P351" s="29" t="str">
        <f aca="false">+CONCATENATE(Tabla[[#This Row],[MES CAMPAÑA]],"/",Tabla[[#This Row],[AÑO CAMPAÑA]])</f>
        <v>3/2026</v>
      </c>
      <c r="Q351" s="29" t="s">
        <v>73</v>
      </c>
      <c r="R351" s="29"/>
      <c r="S351" s="34" t="n">
        <v>0</v>
      </c>
      <c r="T351" s="34" t="n">
        <v>14735</v>
      </c>
      <c r="U351" s="34" t="n">
        <v>2800</v>
      </c>
      <c r="V351" s="29"/>
      <c r="W351" s="35" t="n">
        <v>17535</v>
      </c>
      <c r="X351" s="36" t="n">
        <f aca="false">+Tabla[[#This Row],[TOTAL]]</f>
        <v>17535</v>
      </c>
      <c r="Y351" s="37"/>
      <c r="Z351" s="37"/>
      <c r="AA351" s="37"/>
      <c r="AB351" s="38" t="n">
        <f aca="false">+W351-AC351</f>
        <v>0</v>
      </c>
      <c r="AC351" s="34" t="n">
        <f aca="false">+Tabla[[#This Row],[P4]]+Tabla[[#This Row],[P3]]+Tabla[[#This Row],[P2]]+Tabla[[#This Row],[P1]]</f>
        <v>17535</v>
      </c>
      <c r="AD351" s="34" t="n">
        <f aca="false">+W351-AC351</f>
        <v>0</v>
      </c>
      <c r="AE351" s="21" t="str">
        <f aca="false">IF(AB351&lt;1,"PAGADA","PENDIENTE")</f>
        <v>PAGADA</v>
      </c>
      <c r="AF351" s="21"/>
      <c r="AG351" s="29"/>
      <c r="AH351" s="40"/>
      <c r="AI351" s="40" t="n">
        <f aca="false">+IF(Tabla[[#This Row],[FECHA PAGO / ABONO]]&lt;1,0,(MONTH(Tabla[[#This Row],[FECHA PAGO / ABONO]])))</f>
        <v>0</v>
      </c>
      <c r="AJ351" s="40" t="n">
        <f aca="false">+IF(Tabla[[#This Row],[FECHA PAGO / ABONO]]&lt;1,0,(YEAR(Tabla[[#This Row],[FECHA PAGO / ABONO]])))</f>
        <v>0</v>
      </c>
      <c r="AK351" s="41"/>
    </row>
    <row r="352" customFormat="false" ht="14.25" hidden="false" customHeight="false" outlineLevel="0" collapsed="false">
      <c r="A352" s="28" t="s">
        <v>103</v>
      </c>
      <c r="B352" s="29" t="s">
        <v>104</v>
      </c>
      <c r="C352" s="29" t="s">
        <v>69</v>
      </c>
      <c r="D352" s="21" t="n">
        <v>1652880</v>
      </c>
      <c r="E352" s="21" t="str">
        <f aca="false">+CONCATENATE(Tabla[[#This Row],[RUT]],Tabla[[#This Row],[PROVEEDOR]],Tabla[[#This Row],[FACTURA]])</f>
        <v>76590840-KZURICH SANTANDER SEGUROS GENERALES CHILE S1652880</v>
      </c>
      <c r="F352" s="57" t="n">
        <v>46091</v>
      </c>
      <c r="G352" s="31" t="n">
        <f aca="false">+F352+30</f>
        <v>46121</v>
      </c>
      <c r="H352" s="29" t="n">
        <f aca="true">+IF(AE352="PAGADA",0,TODAY()-G352)</f>
        <v>0</v>
      </c>
      <c r="I352" s="29" t="str">
        <f aca="false">+IF(H352&gt;180,"Atrasada",IF(H352&gt;150,"150 dias",IF(H352&gt;120,"120 dias",IF(H352&gt;90,"90 dias",IF(H352&gt;60,"60 dias",IF(H352&gt;30,"30 dias","Al Día"))))))</f>
        <v>Al Día</v>
      </c>
      <c r="J352" s="32" t="s">
        <v>31</v>
      </c>
      <c r="K352" s="29" t="s">
        <v>81</v>
      </c>
      <c r="L352" s="33" t="s">
        <v>277</v>
      </c>
      <c r="M352" s="29" t="n">
        <f aca="false">+YEAR(F352)</f>
        <v>2026</v>
      </c>
      <c r="N352" s="29" t="n">
        <v>2026</v>
      </c>
      <c r="O352" s="29" t="n">
        <v>3</v>
      </c>
      <c r="P352" s="29" t="str">
        <f aca="false">+CONCATENATE(Tabla[[#This Row],[MES CAMPAÑA]],"/",Tabla[[#This Row],[AÑO CAMPAÑA]])</f>
        <v>3/2026</v>
      </c>
      <c r="Q352" s="29" t="s">
        <v>73</v>
      </c>
      <c r="R352" s="29"/>
      <c r="S352" s="34" t="n">
        <v>0</v>
      </c>
      <c r="T352" s="34" t="n">
        <v>7480</v>
      </c>
      <c r="U352" s="34" t="n">
        <v>1421</v>
      </c>
      <c r="V352" s="29"/>
      <c r="W352" s="35" t="n">
        <v>8901</v>
      </c>
      <c r="X352" s="36" t="n">
        <f aca="false">+Tabla[[#This Row],[TOTAL]]</f>
        <v>8901</v>
      </c>
      <c r="Y352" s="37"/>
      <c r="Z352" s="37"/>
      <c r="AA352" s="37"/>
      <c r="AB352" s="38" t="n">
        <f aca="false">+W352-AC352</f>
        <v>0</v>
      </c>
      <c r="AC352" s="34" t="n">
        <f aca="false">+Tabla[[#This Row],[P4]]+Tabla[[#This Row],[P3]]+Tabla[[#This Row],[P2]]+Tabla[[#This Row],[P1]]</f>
        <v>8901</v>
      </c>
      <c r="AD352" s="34" t="n">
        <f aca="false">+W352-AC352</f>
        <v>0</v>
      </c>
      <c r="AE352" s="21" t="str">
        <f aca="false">IF(AB352&lt;1,"PAGADA","PENDIENTE")</f>
        <v>PAGADA</v>
      </c>
      <c r="AF352" s="21"/>
      <c r="AG352" s="29"/>
      <c r="AH352" s="40"/>
      <c r="AI352" s="40" t="n">
        <f aca="false">+IF(Tabla[[#This Row],[FECHA PAGO / ABONO]]&lt;1,0,(MONTH(Tabla[[#This Row],[FECHA PAGO / ABONO]])))</f>
        <v>0</v>
      </c>
      <c r="AJ352" s="40" t="n">
        <f aca="false">+IF(Tabla[[#This Row],[FECHA PAGO / ABONO]]&lt;1,0,(YEAR(Tabla[[#This Row],[FECHA PAGO / ABONO]])))</f>
        <v>0</v>
      </c>
      <c r="AK352" s="41"/>
    </row>
    <row r="353" customFormat="false" ht="14.25" hidden="false" customHeight="false" outlineLevel="0" collapsed="false">
      <c r="A353" s="28" t="s">
        <v>93</v>
      </c>
      <c r="B353" s="29" t="s">
        <v>94</v>
      </c>
      <c r="C353" s="29" t="s">
        <v>69</v>
      </c>
      <c r="D353" s="21" t="n">
        <v>526</v>
      </c>
      <c r="E353" s="21" t="str">
        <f aca="false">+CONCATENATE(Tabla[[#This Row],[RUT]],Tabla[[#This Row],[PROVEEDOR]],Tabla[[#This Row],[FACTURA]])</f>
        <v>77278997-1CHILE 4 SPA526</v>
      </c>
      <c r="F353" s="57" t="n">
        <v>46092</v>
      </c>
      <c r="G353" s="31" t="n">
        <f aca="false">+F353+30</f>
        <v>46122</v>
      </c>
      <c r="H353" s="29" t="n">
        <f aca="true">+IF(AE353="PAGADA",0,TODAY()-G353)</f>
        <v>0</v>
      </c>
      <c r="I353" s="29" t="str">
        <f aca="false">+IF(H353&gt;180,"Atrasada",IF(H353&gt;150,"150 dias",IF(H353&gt;120,"120 dias",IF(H353&gt;90,"90 dias",IF(H353&gt;60,"60 dias",IF(H353&gt;30,"30 dias","Al Día"))))))</f>
        <v>Al Día</v>
      </c>
      <c r="J353" s="32" t="s">
        <v>31</v>
      </c>
      <c r="K353" s="29" t="s">
        <v>81</v>
      </c>
      <c r="L353" s="33" t="s">
        <v>277</v>
      </c>
      <c r="M353" s="29" t="n">
        <f aca="false">+YEAR(F353)</f>
        <v>2026</v>
      </c>
      <c r="N353" s="29" t="n">
        <v>2026</v>
      </c>
      <c r="O353" s="29" t="n">
        <v>3</v>
      </c>
      <c r="P353" s="29" t="str">
        <f aca="false">+CONCATENATE(Tabla[[#This Row],[MES CAMPAÑA]],"/",Tabla[[#This Row],[AÑO CAMPAÑA]])</f>
        <v>3/2026</v>
      </c>
      <c r="Q353" s="29" t="s">
        <v>73</v>
      </c>
      <c r="R353" s="29"/>
      <c r="S353" s="34" t="n">
        <v>0</v>
      </c>
      <c r="T353" s="34" t="n">
        <v>2991437</v>
      </c>
      <c r="U353" s="34" t="n">
        <v>568373</v>
      </c>
      <c r="V353" s="29"/>
      <c r="W353" s="35" t="n">
        <v>3559810</v>
      </c>
      <c r="X353" s="36" t="n">
        <f aca="false">+Tabla[[#This Row],[TOTAL]]</f>
        <v>3559810</v>
      </c>
      <c r="Y353" s="37"/>
      <c r="Z353" s="37"/>
      <c r="AA353" s="37"/>
      <c r="AB353" s="38" t="n">
        <f aca="false">+W353-AC353</f>
        <v>0</v>
      </c>
      <c r="AC353" s="34" t="n">
        <f aca="false">+Tabla[[#This Row],[P4]]+Tabla[[#This Row],[P3]]+Tabla[[#This Row],[P2]]+Tabla[[#This Row],[P1]]</f>
        <v>3559810</v>
      </c>
      <c r="AD353" s="34" t="n">
        <f aca="false">+W353-AC353</f>
        <v>0</v>
      </c>
      <c r="AE353" s="21" t="str">
        <f aca="false">IF(AB353&lt;1,"PAGADA","PENDIENTE")</f>
        <v>PAGADA</v>
      </c>
      <c r="AF353" s="21"/>
      <c r="AG353" s="29" t="s">
        <v>77</v>
      </c>
      <c r="AH353" s="39" t="n">
        <v>46178</v>
      </c>
      <c r="AI353" s="40" t="n">
        <f aca="false">+IF(Tabla[[#This Row],[FECHA PAGO / ABONO]]&lt;1,0,(MONTH(Tabla[[#This Row],[FECHA PAGO / ABONO]])))</f>
        <v>6</v>
      </c>
      <c r="AJ353" s="40" t="n">
        <f aca="false">+IF(Tabla[[#This Row],[FECHA PAGO / ABONO]]&lt;1,0,(YEAR(Tabla[[#This Row],[FECHA PAGO / ABONO]])))</f>
        <v>2026</v>
      </c>
      <c r="AK353" s="41"/>
    </row>
    <row r="354" customFormat="false" ht="14.25" hidden="false" customHeight="false" outlineLevel="0" collapsed="false">
      <c r="A354" s="28" t="s">
        <v>109</v>
      </c>
      <c r="B354" s="29" t="s">
        <v>110</v>
      </c>
      <c r="C354" s="29" t="s">
        <v>69</v>
      </c>
      <c r="D354" s="21" t="n">
        <v>2555</v>
      </c>
      <c r="E354" s="21" t="str">
        <f aca="false">+CONCATENATE(Tabla[[#This Row],[RUT]],Tabla[[#This Row],[PROVEEDOR]],Tabla[[#This Row],[FACTURA]])</f>
        <v>76091612-9ALTA ESFERA COMUNICACIONES LIMITADA2555</v>
      </c>
      <c r="F354" s="57" t="n">
        <v>46092</v>
      </c>
      <c r="G354" s="31" t="n">
        <f aca="false">+F354+30</f>
        <v>46122</v>
      </c>
      <c r="H354" s="29" t="n">
        <f aca="true">+IF(AE354="PAGADA",0,TODAY()-G354)</f>
        <v>82</v>
      </c>
      <c r="I354" s="29" t="str">
        <f aca="false">+IF(H354&gt;180,"Atrasada",IF(H354&gt;150,"150 dias",IF(H354&gt;120,"120 dias",IF(H354&gt;90,"90 dias",IF(H354&gt;60,"60 dias",IF(H354&gt;30,"30 dias","Al Día"))))))</f>
        <v>60 dias</v>
      </c>
      <c r="J354" s="32" t="s">
        <v>80</v>
      </c>
      <c r="K354" s="29" t="s">
        <v>81</v>
      </c>
      <c r="L354" s="33" t="s">
        <v>277</v>
      </c>
      <c r="M354" s="29" t="n">
        <f aca="false">+YEAR(F354)</f>
        <v>2026</v>
      </c>
      <c r="N354" s="29" t="n">
        <v>2025</v>
      </c>
      <c r="O354" s="29" t="n">
        <v>12</v>
      </c>
      <c r="P354" s="29" t="str">
        <f aca="false">+CONCATENATE(Tabla[[#This Row],[MES CAMPAÑA]],"/",Tabla[[#This Row],[AÑO CAMPAÑA]])</f>
        <v>12/2025</v>
      </c>
      <c r="Q354" s="29" t="s">
        <v>111</v>
      </c>
      <c r="R354" s="29"/>
      <c r="S354" s="34" t="n">
        <v>0</v>
      </c>
      <c r="T354" s="34" t="n">
        <v>8996609</v>
      </c>
      <c r="U354" s="34" t="n">
        <v>1709356</v>
      </c>
      <c r="V354" s="29"/>
      <c r="W354" s="35" t="n">
        <v>10705965</v>
      </c>
      <c r="X354" s="36"/>
      <c r="Y354" s="37"/>
      <c r="Z354" s="37"/>
      <c r="AA354" s="37"/>
      <c r="AB354" s="38" t="n">
        <f aca="false">+W354-AC354</f>
        <v>10705965</v>
      </c>
      <c r="AC354" s="34" t="n">
        <f aca="false">+Tabla[[#This Row],[P4]]+Tabla[[#This Row],[P3]]+Tabla[[#This Row],[P2]]+Tabla[[#This Row],[P1]]</f>
        <v>0</v>
      </c>
      <c r="AD354" s="34" t="n">
        <f aca="false">+W354-AC354</f>
        <v>10705965</v>
      </c>
      <c r="AE354" s="21" t="str">
        <f aca="false">IF(AB354&lt;1,"PAGADA","PENDIENTE")</f>
        <v>PENDIENTE</v>
      </c>
      <c r="AF354" s="21"/>
      <c r="AG354" s="29"/>
      <c r="AH354" s="40"/>
      <c r="AI354" s="40" t="n">
        <f aca="false">+IF(Tabla[[#This Row],[FECHA PAGO / ABONO]]&lt;1,0,(MONTH(Tabla[[#This Row],[FECHA PAGO / ABONO]])))</f>
        <v>0</v>
      </c>
      <c r="AJ354" s="40" t="n">
        <f aca="false">+IF(Tabla[[#This Row],[FECHA PAGO / ABONO]]&lt;1,0,(YEAR(Tabla[[#This Row],[FECHA PAGO / ABONO]])))</f>
        <v>0</v>
      </c>
      <c r="AK354" s="41"/>
    </row>
    <row r="355" customFormat="false" ht="14.25" hidden="false" customHeight="false" outlineLevel="0" collapsed="false">
      <c r="A355" s="28" t="s">
        <v>101</v>
      </c>
      <c r="B355" s="29" t="s">
        <v>102</v>
      </c>
      <c r="C355" s="29" t="s">
        <v>69</v>
      </c>
      <c r="D355" s="21" t="n">
        <v>29662747</v>
      </c>
      <c r="E355" s="21" t="str">
        <f aca="false">+CONCATENATE(Tabla[[#This Row],[RUT]],Tabla[[#This Row],[PROVEEDOR]],Tabla[[#This Row],[FACTURA]])</f>
        <v>97006000-6BANCO DE CREDITO E INVERSIONES29662747</v>
      </c>
      <c r="F355" s="57" t="n">
        <v>46092</v>
      </c>
      <c r="G355" s="31" t="n">
        <f aca="false">+F355+30</f>
        <v>46122</v>
      </c>
      <c r="H355" s="29" t="n">
        <f aca="true">+IF(AE355="PAGADA",0,TODAY()-G355)</f>
        <v>0</v>
      </c>
      <c r="I355" s="29" t="str">
        <f aca="false">+IF(H355&gt;180,"Atrasada",IF(H355&gt;150,"150 dias",IF(H355&gt;120,"120 dias",IF(H355&gt;90,"90 dias",IF(H355&gt;60,"60 dias",IF(H355&gt;30,"30 dias","Al Día"))))))</f>
        <v>Al Día</v>
      </c>
      <c r="J355" s="32" t="s">
        <v>31</v>
      </c>
      <c r="K355" s="29" t="s">
        <v>81</v>
      </c>
      <c r="L355" s="33" t="s">
        <v>277</v>
      </c>
      <c r="M355" s="29" t="n">
        <f aca="false">+YEAR(F355)</f>
        <v>2026</v>
      </c>
      <c r="N355" s="29" t="n">
        <v>2026</v>
      </c>
      <c r="O355" s="29" t="n">
        <v>3</v>
      </c>
      <c r="P355" s="29" t="str">
        <f aca="false">+CONCATENATE(Tabla[[#This Row],[MES CAMPAÑA]],"/",Tabla[[#This Row],[AÑO CAMPAÑA]])</f>
        <v>3/2026</v>
      </c>
      <c r="Q355" s="29" t="s">
        <v>73</v>
      </c>
      <c r="R355" s="29"/>
      <c r="S355" s="34" t="n">
        <v>0</v>
      </c>
      <c r="T355" s="34" t="n">
        <v>186597</v>
      </c>
      <c r="U355" s="34" t="n">
        <v>35453</v>
      </c>
      <c r="V355" s="29"/>
      <c r="W355" s="35" t="n">
        <v>222050</v>
      </c>
      <c r="X355" s="36" t="n">
        <f aca="false">+Tabla[[#This Row],[TOTAL]]</f>
        <v>222050</v>
      </c>
      <c r="Y355" s="37"/>
      <c r="Z355" s="37"/>
      <c r="AA355" s="37"/>
      <c r="AB355" s="38" t="n">
        <f aca="false">+W355-AC355</f>
        <v>0</v>
      </c>
      <c r="AC355" s="34" t="n">
        <f aca="false">+Tabla[[#This Row],[P4]]+Tabla[[#This Row],[P3]]+Tabla[[#This Row],[P2]]+Tabla[[#This Row],[P1]]</f>
        <v>222050</v>
      </c>
      <c r="AD355" s="34" t="n">
        <f aca="false">+W355-AC355</f>
        <v>0</v>
      </c>
      <c r="AE355" s="21" t="str">
        <f aca="false">IF(AB355&lt;1,"PAGADA","PENDIENTE")</f>
        <v>PAGADA</v>
      </c>
      <c r="AF355" s="21"/>
      <c r="AG355" s="29"/>
      <c r="AH355" s="40"/>
      <c r="AI355" s="40" t="n">
        <f aca="false">+IF(Tabla[[#This Row],[FECHA PAGO / ABONO]]&lt;1,0,(MONTH(Tabla[[#This Row],[FECHA PAGO / ABONO]])))</f>
        <v>0</v>
      </c>
      <c r="AJ355" s="40" t="n">
        <f aca="false">+IF(Tabla[[#This Row],[FECHA PAGO / ABONO]]&lt;1,0,(YEAR(Tabla[[#This Row],[FECHA PAGO / ABONO]])))</f>
        <v>0</v>
      </c>
      <c r="AK355" s="41"/>
    </row>
    <row r="356" customFormat="false" ht="14.25" hidden="false" customHeight="false" outlineLevel="0" collapsed="false">
      <c r="A356" s="28" t="s">
        <v>101</v>
      </c>
      <c r="B356" s="29" t="s">
        <v>102</v>
      </c>
      <c r="C356" s="29" t="s">
        <v>69</v>
      </c>
      <c r="D356" s="21" t="n">
        <v>29662748</v>
      </c>
      <c r="E356" s="21" t="str">
        <f aca="false">+CONCATENATE(Tabla[[#This Row],[RUT]],Tabla[[#This Row],[PROVEEDOR]],Tabla[[#This Row],[FACTURA]])</f>
        <v>97006000-6BANCO DE CREDITO E INVERSIONES29662748</v>
      </c>
      <c r="F356" s="57" t="n">
        <v>46092</v>
      </c>
      <c r="G356" s="31" t="n">
        <f aca="false">+F356+30</f>
        <v>46122</v>
      </c>
      <c r="H356" s="29" t="n">
        <f aca="true">+IF(AE356="PAGADA",0,TODAY()-G356)</f>
        <v>0</v>
      </c>
      <c r="I356" s="29" t="str">
        <f aca="false">+IF(H356&gt;180,"Atrasada",IF(H356&gt;150,"150 dias",IF(H356&gt;120,"120 dias",IF(H356&gt;90,"90 dias",IF(H356&gt;60,"60 dias",IF(H356&gt;30,"30 dias","Al Día"))))))</f>
        <v>Al Día</v>
      </c>
      <c r="J356" s="32" t="s">
        <v>31</v>
      </c>
      <c r="K356" s="29" t="s">
        <v>81</v>
      </c>
      <c r="L356" s="33" t="s">
        <v>277</v>
      </c>
      <c r="M356" s="29" t="n">
        <f aca="false">+YEAR(F356)</f>
        <v>2026</v>
      </c>
      <c r="N356" s="29" t="n">
        <v>2026</v>
      </c>
      <c r="O356" s="29" t="n">
        <v>3</v>
      </c>
      <c r="P356" s="29" t="str">
        <f aca="false">+CONCATENATE(Tabla[[#This Row],[MES CAMPAÑA]],"/",Tabla[[#This Row],[AÑO CAMPAÑA]])</f>
        <v>3/2026</v>
      </c>
      <c r="Q356" s="29" t="s">
        <v>73</v>
      </c>
      <c r="R356" s="29"/>
      <c r="S356" s="34" t="n">
        <v>0</v>
      </c>
      <c r="T356" s="34" t="n">
        <v>608</v>
      </c>
      <c r="U356" s="34" t="n">
        <v>116</v>
      </c>
      <c r="V356" s="29"/>
      <c r="W356" s="35" t="n">
        <v>724</v>
      </c>
      <c r="X356" s="36" t="n">
        <f aca="false">+Tabla[[#This Row],[TOTAL]]</f>
        <v>724</v>
      </c>
      <c r="Y356" s="37"/>
      <c r="Z356" s="37"/>
      <c r="AA356" s="37"/>
      <c r="AB356" s="38" t="n">
        <f aca="false">+W356-AC356</f>
        <v>0</v>
      </c>
      <c r="AC356" s="34" t="n">
        <f aca="false">+Tabla[[#This Row],[P4]]+Tabla[[#This Row],[P3]]+Tabla[[#This Row],[P2]]+Tabla[[#This Row],[P1]]</f>
        <v>724</v>
      </c>
      <c r="AD356" s="34" t="n">
        <f aca="false">+W356-AC356</f>
        <v>0</v>
      </c>
      <c r="AE356" s="21" t="str">
        <f aca="false">IF(AB356&lt;1,"PAGADA","PENDIENTE")</f>
        <v>PAGADA</v>
      </c>
      <c r="AF356" s="21"/>
      <c r="AG356" s="29"/>
      <c r="AH356" s="40"/>
      <c r="AI356" s="40" t="n">
        <f aca="false">+IF(Tabla[[#This Row],[FECHA PAGO / ABONO]]&lt;1,0,(MONTH(Tabla[[#This Row],[FECHA PAGO / ABONO]])))</f>
        <v>0</v>
      </c>
      <c r="AJ356" s="40" t="n">
        <f aca="false">+IF(Tabla[[#This Row],[FECHA PAGO / ABONO]]&lt;1,0,(YEAR(Tabla[[#This Row],[FECHA PAGO / ABONO]])))</f>
        <v>0</v>
      </c>
      <c r="AK356" s="41"/>
    </row>
    <row r="357" customFormat="false" ht="14.25" hidden="false" customHeight="false" outlineLevel="0" collapsed="false">
      <c r="A357" s="28" t="s">
        <v>101</v>
      </c>
      <c r="B357" s="29" t="s">
        <v>102</v>
      </c>
      <c r="C357" s="29" t="s">
        <v>69</v>
      </c>
      <c r="D357" s="21" t="n">
        <v>29662749</v>
      </c>
      <c r="E357" s="21" t="str">
        <f aca="false">+CONCATENATE(Tabla[[#This Row],[RUT]],Tabla[[#This Row],[PROVEEDOR]],Tabla[[#This Row],[FACTURA]])</f>
        <v>97006000-6BANCO DE CREDITO E INVERSIONES29662749</v>
      </c>
      <c r="F357" s="57" t="n">
        <v>46092</v>
      </c>
      <c r="G357" s="31" t="n">
        <f aca="false">+F357+30</f>
        <v>46122</v>
      </c>
      <c r="H357" s="29" t="n">
        <f aca="true">+IF(AE357="PAGADA",0,TODAY()-G357)</f>
        <v>0</v>
      </c>
      <c r="I357" s="29" t="str">
        <f aca="false">+IF(H357&gt;180,"Atrasada",IF(H357&gt;150,"150 dias",IF(H357&gt;120,"120 dias",IF(H357&gt;90,"90 dias",IF(H357&gt;60,"60 dias",IF(H357&gt;30,"30 dias","Al Día"))))))</f>
        <v>Al Día</v>
      </c>
      <c r="J357" s="32" t="s">
        <v>31</v>
      </c>
      <c r="K357" s="29" t="s">
        <v>81</v>
      </c>
      <c r="L357" s="33" t="s">
        <v>277</v>
      </c>
      <c r="M357" s="29" t="n">
        <f aca="false">+YEAR(F357)</f>
        <v>2026</v>
      </c>
      <c r="N357" s="29" t="n">
        <v>2026</v>
      </c>
      <c r="O357" s="29" t="n">
        <v>3</v>
      </c>
      <c r="P357" s="29" t="str">
        <f aca="false">+CONCATENATE(Tabla[[#This Row],[MES CAMPAÑA]],"/",Tabla[[#This Row],[AÑO CAMPAÑA]])</f>
        <v>3/2026</v>
      </c>
      <c r="Q357" s="29" t="s">
        <v>73</v>
      </c>
      <c r="R357" s="29"/>
      <c r="S357" s="34" t="n">
        <v>0</v>
      </c>
      <c r="T357" s="34" t="n">
        <v>137136</v>
      </c>
      <c r="U357" s="34" t="n">
        <v>26055</v>
      </c>
      <c r="V357" s="29"/>
      <c r="W357" s="35" t="n">
        <v>163191</v>
      </c>
      <c r="X357" s="36" t="n">
        <f aca="false">+Tabla[[#This Row],[TOTAL]]</f>
        <v>163191</v>
      </c>
      <c r="Y357" s="37"/>
      <c r="Z357" s="37"/>
      <c r="AA357" s="37"/>
      <c r="AB357" s="38" t="n">
        <f aca="false">+W357-AC357</f>
        <v>0</v>
      </c>
      <c r="AC357" s="34" t="n">
        <f aca="false">+Tabla[[#This Row],[P4]]+Tabla[[#This Row],[P3]]+Tabla[[#This Row],[P2]]+Tabla[[#This Row],[P1]]</f>
        <v>163191</v>
      </c>
      <c r="AD357" s="34" t="n">
        <f aca="false">+W357-AC357</f>
        <v>0</v>
      </c>
      <c r="AE357" s="21" t="str">
        <f aca="false">IF(AB357&lt;1,"PAGADA","PENDIENTE")</f>
        <v>PAGADA</v>
      </c>
      <c r="AF357" s="21"/>
      <c r="AG357" s="29"/>
      <c r="AH357" s="40"/>
      <c r="AI357" s="40" t="n">
        <f aca="false">+IF(Tabla[[#This Row],[FECHA PAGO / ABONO]]&lt;1,0,(MONTH(Tabla[[#This Row],[FECHA PAGO / ABONO]])))</f>
        <v>0</v>
      </c>
      <c r="AJ357" s="40" t="n">
        <f aca="false">+IF(Tabla[[#This Row],[FECHA PAGO / ABONO]]&lt;1,0,(YEAR(Tabla[[#This Row],[FECHA PAGO / ABONO]])))</f>
        <v>0</v>
      </c>
      <c r="AK357" s="41"/>
    </row>
    <row r="358" customFormat="false" ht="14.25" hidden="false" customHeight="false" outlineLevel="0" collapsed="false">
      <c r="A358" s="28" t="s">
        <v>101</v>
      </c>
      <c r="B358" s="29" t="s">
        <v>102</v>
      </c>
      <c r="C358" s="29" t="s">
        <v>69</v>
      </c>
      <c r="D358" s="21" t="n">
        <v>29662750</v>
      </c>
      <c r="E358" s="21" t="str">
        <f aca="false">+CONCATENATE(Tabla[[#This Row],[RUT]],Tabla[[#This Row],[PROVEEDOR]],Tabla[[#This Row],[FACTURA]])</f>
        <v>97006000-6BANCO DE CREDITO E INVERSIONES29662750</v>
      </c>
      <c r="F358" s="57" t="n">
        <v>46092</v>
      </c>
      <c r="G358" s="31" t="n">
        <f aca="false">+F358+30</f>
        <v>46122</v>
      </c>
      <c r="H358" s="29" t="n">
        <f aca="true">+IF(AE358="PAGADA",0,TODAY()-G358)</f>
        <v>0</v>
      </c>
      <c r="I358" s="29" t="str">
        <f aca="false">+IF(H358&gt;180,"Atrasada",IF(H358&gt;150,"150 dias",IF(H358&gt;120,"120 dias",IF(H358&gt;90,"90 dias",IF(H358&gt;60,"60 dias",IF(H358&gt;30,"30 dias","Al Día"))))))</f>
        <v>Al Día</v>
      </c>
      <c r="J358" s="32" t="s">
        <v>31</v>
      </c>
      <c r="K358" s="29" t="s">
        <v>81</v>
      </c>
      <c r="L358" s="33" t="s">
        <v>277</v>
      </c>
      <c r="M358" s="29" t="n">
        <f aca="false">+YEAR(F358)</f>
        <v>2026</v>
      </c>
      <c r="N358" s="29" t="n">
        <v>2026</v>
      </c>
      <c r="O358" s="29" t="n">
        <v>3</v>
      </c>
      <c r="P358" s="29" t="str">
        <f aca="false">+CONCATENATE(Tabla[[#This Row],[MES CAMPAÑA]],"/",Tabla[[#This Row],[AÑO CAMPAÑA]])</f>
        <v>3/2026</v>
      </c>
      <c r="Q358" s="29" t="s">
        <v>73</v>
      </c>
      <c r="R358" s="29"/>
      <c r="S358" s="34" t="n">
        <v>0</v>
      </c>
      <c r="T358" s="34" t="n">
        <v>137876</v>
      </c>
      <c r="U358" s="34" t="n">
        <v>26196</v>
      </c>
      <c r="V358" s="29"/>
      <c r="W358" s="35" t="n">
        <v>164072</v>
      </c>
      <c r="X358" s="36" t="n">
        <f aca="false">+Tabla[[#This Row],[TOTAL]]</f>
        <v>164072</v>
      </c>
      <c r="Y358" s="37"/>
      <c r="Z358" s="37"/>
      <c r="AA358" s="37"/>
      <c r="AB358" s="38" t="n">
        <f aca="false">+W358-AC358</f>
        <v>0</v>
      </c>
      <c r="AC358" s="34" t="n">
        <f aca="false">+Tabla[[#This Row],[P4]]+Tabla[[#This Row],[P3]]+Tabla[[#This Row],[P2]]+Tabla[[#This Row],[P1]]</f>
        <v>164072</v>
      </c>
      <c r="AD358" s="34" t="n">
        <f aca="false">+W358-AC358</f>
        <v>0</v>
      </c>
      <c r="AE358" s="21" t="str">
        <f aca="false">IF(AB358&lt;1,"PAGADA","PENDIENTE")</f>
        <v>PAGADA</v>
      </c>
      <c r="AF358" s="21"/>
      <c r="AG358" s="29"/>
      <c r="AH358" s="40"/>
      <c r="AI358" s="40" t="n">
        <f aca="false">+IF(Tabla[[#This Row],[FECHA PAGO / ABONO]]&lt;1,0,(MONTH(Tabla[[#This Row],[FECHA PAGO / ABONO]])))</f>
        <v>0</v>
      </c>
      <c r="AJ358" s="40" t="n">
        <f aca="false">+IF(Tabla[[#This Row],[FECHA PAGO / ABONO]]&lt;1,0,(YEAR(Tabla[[#This Row],[FECHA PAGO / ABONO]])))</f>
        <v>0</v>
      </c>
      <c r="AK358" s="41"/>
    </row>
    <row r="359" customFormat="false" ht="14.25" hidden="false" customHeight="false" outlineLevel="0" collapsed="false">
      <c r="A359" s="28" t="s">
        <v>101</v>
      </c>
      <c r="B359" s="29" t="s">
        <v>102</v>
      </c>
      <c r="C359" s="29" t="s">
        <v>69</v>
      </c>
      <c r="D359" s="21" t="n">
        <v>29662751</v>
      </c>
      <c r="E359" s="21" t="str">
        <f aca="false">+CONCATENATE(Tabla[[#This Row],[RUT]],Tabla[[#This Row],[PROVEEDOR]],Tabla[[#This Row],[FACTURA]])</f>
        <v>97006000-6BANCO DE CREDITO E INVERSIONES29662751</v>
      </c>
      <c r="F359" s="57" t="n">
        <v>46092</v>
      </c>
      <c r="G359" s="31" t="n">
        <f aca="false">+F359+30</f>
        <v>46122</v>
      </c>
      <c r="H359" s="29" t="n">
        <f aca="true">+IF(AE359="PAGADA",0,TODAY()-G359)</f>
        <v>0</v>
      </c>
      <c r="I359" s="29" t="str">
        <f aca="false">+IF(H359&gt;180,"Atrasada",IF(H359&gt;150,"150 dias",IF(H359&gt;120,"120 dias",IF(H359&gt;90,"90 dias",IF(H359&gt;60,"60 dias",IF(H359&gt;30,"30 dias","Al Día"))))))</f>
        <v>Al Día</v>
      </c>
      <c r="J359" s="32" t="s">
        <v>31</v>
      </c>
      <c r="K359" s="29" t="s">
        <v>81</v>
      </c>
      <c r="L359" s="33" t="s">
        <v>277</v>
      </c>
      <c r="M359" s="29" t="n">
        <f aca="false">+YEAR(F359)</f>
        <v>2026</v>
      </c>
      <c r="N359" s="29" t="n">
        <v>2026</v>
      </c>
      <c r="O359" s="29" t="n">
        <v>3</v>
      </c>
      <c r="P359" s="29" t="str">
        <f aca="false">+CONCATENATE(Tabla[[#This Row],[MES CAMPAÑA]],"/",Tabla[[#This Row],[AÑO CAMPAÑA]])</f>
        <v>3/2026</v>
      </c>
      <c r="Q359" s="29" t="s">
        <v>73</v>
      </c>
      <c r="R359" s="29"/>
      <c r="S359" s="34" t="n">
        <v>0</v>
      </c>
      <c r="T359" s="34" t="n">
        <v>2397</v>
      </c>
      <c r="U359" s="34" t="n">
        <v>456</v>
      </c>
      <c r="V359" s="29"/>
      <c r="W359" s="35" t="n">
        <v>2853</v>
      </c>
      <c r="X359" s="36" t="n">
        <f aca="false">+Tabla[[#This Row],[TOTAL]]</f>
        <v>2853</v>
      </c>
      <c r="Y359" s="37"/>
      <c r="Z359" s="37"/>
      <c r="AA359" s="37"/>
      <c r="AB359" s="38" t="n">
        <f aca="false">+W359-AC359</f>
        <v>0</v>
      </c>
      <c r="AC359" s="34" t="n">
        <f aca="false">+Tabla[[#This Row],[P4]]+Tabla[[#This Row],[P3]]+Tabla[[#This Row],[P2]]+Tabla[[#This Row],[P1]]</f>
        <v>2853</v>
      </c>
      <c r="AD359" s="34" t="n">
        <f aca="false">+W359-AC359</f>
        <v>0</v>
      </c>
      <c r="AE359" s="21" t="str">
        <f aca="false">IF(AB359&lt;1,"PAGADA","PENDIENTE")</f>
        <v>PAGADA</v>
      </c>
      <c r="AF359" s="21"/>
      <c r="AG359" s="29"/>
      <c r="AH359" s="40"/>
      <c r="AI359" s="40" t="n">
        <f aca="false">+IF(Tabla[[#This Row],[FECHA PAGO / ABONO]]&lt;1,0,(MONTH(Tabla[[#This Row],[FECHA PAGO / ABONO]])))</f>
        <v>0</v>
      </c>
      <c r="AJ359" s="40" t="n">
        <f aca="false">+IF(Tabla[[#This Row],[FECHA PAGO / ABONO]]&lt;1,0,(YEAR(Tabla[[#This Row],[FECHA PAGO / ABONO]])))</f>
        <v>0</v>
      </c>
      <c r="AK359" s="41"/>
    </row>
    <row r="360" customFormat="false" ht="14.25" hidden="false" customHeight="false" outlineLevel="0" collapsed="false">
      <c r="A360" s="28" t="s">
        <v>101</v>
      </c>
      <c r="B360" s="29" t="s">
        <v>102</v>
      </c>
      <c r="C360" s="29" t="s">
        <v>69</v>
      </c>
      <c r="D360" s="21" t="n">
        <v>29662752</v>
      </c>
      <c r="E360" s="21" t="str">
        <f aca="false">+CONCATENATE(Tabla[[#This Row],[RUT]],Tabla[[#This Row],[PROVEEDOR]],Tabla[[#This Row],[FACTURA]])</f>
        <v>97006000-6BANCO DE CREDITO E INVERSIONES29662752</v>
      </c>
      <c r="F360" s="57" t="n">
        <v>46092</v>
      </c>
      <c r="G360" s="31" t="n">
        <f aca="false">+F360+30</f>
        <v>46122</v>
      </c>
      <c r="H360" s="29" t="n">
        <f aca="true">+IF(AE360="PAGADA",0,TODAY()-G360)</f>
        <v>0</v>
      </c>
      <c r="I360" s="29" t="str">
        <f aca="false">+IF(H360&gt;180,"Atrasada",IF(H360&gt;150,"150 dias",IF(H360&gt;120,"120 dias",IF(H360&gt;90,"90 dias",IF(H360&gt;60,"60 dias",IF(H360&gt;30,"30 dias","Al Día"))))))</f>
        <v>Al Día</v>
      </c>
      <c r="J360" s="32" t="s">
        <v>31</v>
      </c>
      <c r="K360" s="29" t="s">
        <v>81</v>
      </c>
      <c r="L360" s="33" t="s">
        <v>277</v>
      </c>
      <c r="M360" s="29" t="n">
        <f aca="false">+YEAR(F360)</f>
        <v>2026</v>
      </c>
      <c r="N360" s="29" t="n">
        <v>2026</v>
      </c>
      <c r="O360" s="29" t="n">
        <v>3</v>
      </c>
      <c r="P360" s="29" t="str">
        <f aca="false">+CONCATENATE(Tabla[[#This Row],[MES CAMPAÑA]],"/",Tabla[[#This Row],[AÑO CAMPAÑA]])</f>
        <v>3/2026</v>
      </c>
      <c r="Q360" s="29" t="s">
        <v>73</v>
      </c>
      <c r="R360" s="29"/>
      <c r="S360" s="34" t="n">
        <v>0</v>
      </c>
      <c r="T360" s="34" t="n">
        <v>944</v>
      </c>
      <c r="U360" s="34" t="n">
        <v>179</v>
      </c>
      <c r="V360" s="29"/>
      <c r="W360" s="35" t="n">
        <v>1123</v>
      </c>
      <c r="X360" s="36" t="n">
        <f aca="false">+Tabla[[#This Row],[TOTAL]]</f>
        <v>1123</v>
      </c>
      <c r="Y360" s="37"/>
      <c r="Z360" s="37"/>
      <c r="AA360" s="37"/>
      <c r="AB360" s="38" t="n">
        <f aca="false">+W360-AC360</f>
        <v>0</v>
      </c>
      <c r="AC360" s="34" t="n">
        <f aca="false">+Tabla[[#This Row],[P4]]+Tabla[[#This Row],[P3]]+Tabla[[#This Row],[P2]]+Tabla[[#This Row],[P1]]</f>
        <v>1123</v>
      </c>
      <c r="AD360" s="34" t="n">
        <f aca="false">+W360-AC360</f>
        <v>0</v>
      </c>
      <c r="AE360" s="21" t="str">
        <f aca="false">IF(AB360&lt;1,"PAGADA","PENDIENTE")</f>
        <v>PAGADA</v>
      </c>
      <c r="AF360" s="21"/>
      <c r="AG360" s="29"/>
      <c r="AH360" s="40"/>
      <c r="AI360" s="40" t="n">
        <f aca="false">+IF(Tabla[[#This Row],[FECHA PAGO / ABONO]]&lt;1,0,(MONTH(Tabla[[#This Row],[FECHA PAGO / ABONO]])))</f>
        <v>0</v>
      </c>
      <c r="AJ360" s="40" t="n">
        <f aca="false">+IF(Tabla[[#This Row],[FECHA PAGO / ABONO]]&lt;1,0,(YEAR(Tabla[[#This Row],[FECHA PAGO / ABONO]])))</f>
        <v>0</v>
      </c>
      <c r="AK360" s="41"/>
    </row>
    <row r="361" customFormat="false" ht="14.25" hidden="false" customHeight="false" outlineLevel="0" collapsed="false">
      <c r="A361" s="28" t="s">
        <v>101</v>
      </c>
      <c r="B361" s="29" t="s">
        <v>102</v>
      </c>
      <c r="C361" s="29" t="s">
        <v>69</v>
      </c>
      <c r="D361" s="21" t="n">
        <v>29662753</v>
      </c>
      <c r="E361" s="21" t="str">
        <f aca="false">+CONCATENATE(Tabla[[#This Row],[RUT]],Tabla[[#This Row],[PROVEEDOR]],Tabla[[#This Row],[FACTURA]])</f>
        <v>97006000-6BANCO DE CREDITO E INVERSIONES29662753</v>
      </c>
      <c r="F361" s="57" t="n">
        <v>46092</v>
      </c>
      <c r="G361" s="31" t="n">
        <f aca="false">+F361+30</f>
        <v>46122</v>
      </c>
      <c r="H361" s="29" t="n">
        <f aca="true">+IF(AE361="PAGADA",0,TODAY()-G361)</f>
        <v>0</v>
      </c>
      <c r="I361" s="29" t="str">
        <f aca="false">+IF(H361&gt;180,"Atrasada",IF(H361&gt;150,"150 dias",IF(H361&gt;120,"120 dias",IF(H361&gt;90,"90 dias",IF(H361&gt;60,"60 dias",IF(H361&gt;30,"30 dias","Al Día"))))))</f>
        <v>Al Día</v>
      </c>
      <c r="J361" s="32" t="s">
        <v>31</v>
      </c>
      <c r="K361" s="29" t="s">
        <v>81</v>
      </c>
      <c r="L361" s="33" t="s">
        <v>277</v>
      </c>
      <c r="M361" s="29" t="n">
        <f aca="false">+YEAR(F361)</f>
        <v>2026</v>
      </c>
      <c r="N361" s="29" t="n">
        <v>2026</v>
      </c>
      <c r="O361" s="29" t="n">
        <v>3</v>
      </c>
      <c r="P361" s="29" t="str">
        <f aca="false">+CONCATENATE(Tabla[[#This Row],[MES CAMPAÑA]],"/",Tabla[[#This Row],[AÑO CAMPAÑA]])</f>
        <v>3/2026</v>
      </c>
      <c r="Q361" s="29" t="s">
        <v>73</v>
      </c>
      <c r="R361" s="29"/>
      <c r="S361" s="34" t="n">
        <v>0</v>
      </c>
      <c r="T361" s="34" t="n">
        <v>1479</v>
      </c>
      <c r="U361" s="34" t="n">
        <v>281</v>
      </c>
      <c r="V361" s="29"/>
      <c r="W361" s="35" t="n">
        <v>1760</v>
      </c>
      <c r="X361" s="36" t="n">
        <f aca="false">+Tabla[[#This Row],[TOTAL]]</f>
        <v>1760</v>
      </c>
      <c r="Y361" s="37"/>
      <c r="Z361" s="37"/>
      <c r="AA361" s="37"/>
      <c r="AB361" s="38" t="n">
        <f aca="false">+W361-AC361</f>
        <v>0</v>
      </c>
      <c r="AC361" s="34" t="n">
        <f aca="false">+Tabla[[#This Row],[P4]]+Tabla[[#This Row],[P3]]+Tabla[[#This Row],[P2]]+Tabla[[#This Row],[P1]]</f>
        <v>1760</v>
      </c>
      <c r="AD361" s="34" t="n">
        <f aca="false">+W361-AC361</f>
        <v>0</v>
      </c>
      <c r="AE361" s="21" t="str">
        <f aca="false">IF(AB361&lt;1,"PAGADA","PENDIENTE")</f>
        <v>PAGADA</v>
      </c>
      <c r="AF361" s="21"/>
      <c r="AG361" s="29"/>
      <c r="AH361" s="40"/>
      <c r="AI361" s="40" t="n">
        <f aca="false">+IF(Tabla[[#This Row],[FECHA PAGO / ABONO]]&lt;1,0,(MONTH(Tabla[[#This Row],[FECHA PAGO / ABONO]])))</f>
        <v>0</v>
      </c>
      <c r="AJ361" s="40" t="n">
        <f aca="false">+IF(Tabla[[#This Row],[FECHA PAGO / ABONO]]&lt;1,0,(YEAR(Tabla[[#This Row],[FECHA PAGO / ABONO]])))</f>
        <v>0</v>
      </c>
      <c r="AK361" s="41"/>
    </row>
    <row r="362" customFormat="false" ht="14.25" hidden="false" customHeight="false" outlineLevel="0" collapsed="false">
      <c r="A362" s="28" t="s">
        <v>101</v>
      </c>
      <c r="B362" s="29" t="s">
        <v>102</v>
      </c>
      <c r="C362" s="29" t="s">
        <v>69</v>
      </c>
      <c r="D362" s="21" t="n">
        <v>29662754</v>
      </c>
      <c r="E362" s="21" t="str">
        <f aca="false">+CONCATENATE(Tabla[[#This Row],[RUT]],Tabla[[#This Row],[PROVEEDOR]],Tabla[[#This Row],[FACTURA]])</f>
        <v>97006000-6BANCO DE CREDITO E INVERSIONES29662754</v>
      </c>
      <c r="F362" s="57" t="n">
        <v>46092</v>
      </c>
      <c r="G362" s="31" t="n">
        <f aca="false">+F362+30</f>
        <v>46122</v>
      </c>
      <c r="H362" s="29" t="n">
        <f aca="true">+IF(AE362="PAGADA",0,TODAY()-G362)</f>
        <v>0</v>
      </c>
      <c r="I362" s="29" t="str">
        <f aca="false">+IF(H362&gt;180,"Atrasada",IF(H362&gt;150,"150 dias",IF(H362&gt;120,"120 dias",IF(H362&gt;90,"90 dias",IF(H362&gt;60,"60 dias",IF(H362&gt;30,"30 dias","Al Día"))))))</f>
        <v>Al Día</v>
      </c>
      <c r="J362" s="32" t="s">
        <v>31</v>
      </c>
      <c r="K362" s="29" t="s">
        <v>81</v>
      </c>
      <c r="L362" s="33" t="s">
        <v>277</v>
      </c>
      <c r="M362" s="29" t="n">
        <f aca="false">+YEAR(F362)</f>
        <v>2026</v>
      </c>
      <c r="N362" s="29" t="n">
        <v>2026</v>
      </c>
      <c r="O362" s="29" t="n">
        <v>3</v>
      </c>
      <c r="P362" s="29" t="str">
        <f aca="false">+CONCATENATE(Tabla[[#This Row],[MES CAMPAÑA]],"/",Tabla[[#This Row],[AÑO CAMPAÑA]])</f>
        <v>3/2026</v>
      </c>
      <c r="Q362" s="29" t="s">
        <v>73</v>
      </c>
      <c r="R362" s="29"/>
      <c r="S362" s="34" t="n">
        <v>0</v>
      </c>
      <c r="T362" s="34" t="n">
        <v>55550</v>
      </c>
      <c r="U362" s="34" t="n">
        <v>10555</v>
      </c>
      <c r="V362" s="29"/>
      <c r="W362" s="35" t="n">
        <v>66105</v>
      </c>
      <c r="X362" s="36" t="n">
        <f aca="false">+Tabla[[#This Row],[TOTAL]]</f>
        <v>66105</v>
      </c>
      <c r="Y362" s="37"/>
      <c r="Z362" s="37"/>
      <c r="AA362" s="37"/>
      <c r="AB362" s="38" t="n">
        <f aca="false">+W362-AC362</f>
        <v>0</v>
      </c>
      <c r="AC362" s="34" t="n">
        <f aca="false">+Tabla[[#This Row],[P4]]+Tabla[[#This Row],[P3]]+Tabla[[#This Row],[P2]]+Tabla[[#This Row],[P1]]</f>
        <v>66105</v>
      </c>
      <c r="AD362" s="34" t="n">
        <f aca="false">+W362-AC362</f>
        <v>0</v>
      </c>
      <c r="AE362" s="21" t="str">
        <f aca="false">IF(AB362&lt;1,"PAGADA","PENDIENTE")</f>
        <v>PAGADA</v>
      </c>
      <c r="AF362" s="21"/>
      <c r="AG362" s="29"/>
      <c r="AH362" s="40"/>
      <c r="AI362" s="40" t="n">
        <f aca="false">+IF(Tabla[[#This Row],[FECHA PAGO / ABONO]]&lt;1,0,(MONTH(Tabla[[#This Row],[FECHA PAGO / ABONO]])))</f>
        <v>0</v>
      </c>
      <c r="AJ362" s="40" t="n">
        <f aca="false">+IF(Tabla[[#This Row],[FECHA PAGO / ABONO]]&lt;1,0,(YEAR(Tabla[[#This Row],[FECHA PAGO / ABONO]])))</f>
        <v>0</v>
      </c>
      <c r="AK362" s="41"/>
    </row>
    <row r="363" customFormat="false" ht="14.25" hidden="false" customHeight="false" outlineLevel="0" collapsed="false">
      <c r="A363" s="28" t="s">
        <v>101</v>
      </c>
      <c r="B363" s="29" t="s">
        <v>102</v>
      </c>
      <c r="C363" s="29" t="s">
        <v>69</v>
      </c>
      <c r="D363" s="21" t="n">
        <v>29662755</v>
      </c>
      <c r="E363" s="21" t="str">
        <f aca="false">+CONCATENATE(Tabla[[#This Row],[RUT]],Tabla[[#This Row],[PROVEEDOR]],Tabla[[#This Row],[FACTURA]])</f>
        <v>97006000-6BANCO DE CREDITO E INVERSIONES29662755</v>
      </c>
      <c r="F363" s="57" t="n">
        <v>46092</v>
      </c>
      <c r="G363" s="31" t="n">
        <f aca="false">+F363+30</f>
        <v>46122</v>
      </c>
      <c r="H363" s="29" t="n">
        <f aca="true">+IF(AE363="PAGADA",0,TODAY()-G363)</f>
        <v>0</v>
      </c>
      <c r="I363" s="29" t="str">
        <f aca="false">+IF(H363&gt;180,"Atrasada",IF(H363&gt;150,"150 dias",IF(H363&gt;120,"120 dias",IF(H363&gt;90,"90 dias",IF(H363&gt;60,"60 dias",IF(H363&gt;30,"30 dias","Al Día"))))))</f>
        <v>Al Día</v>
      </c>
      <c r="J363" s="32" t="s">
        <v>31</v>
      </c>
      <c r="K363" s="29" t="s">
        <v>81</v>
      </c>
      <c r="L363" s="33" t="s">
        <v>277</v>
      </c>
      <c r="M363" s="29" t="n">
        <f aca="false">+YEAR(F363)</f>
        <v>2026</v>
      </c>
      <c r="N363" s="29" t="n">
        <v>2026</v>
      </c>
      <c r="O363" s="29" t="n">
        <v>3</v>
      </c>
      <c r="P363" s="29" t="str">
        <f aca="false">+CONCATENATE(Tabla[[#This Row],[MES CAMPAÑA]],"/",Tabla[[#This Row],[AÑO CAMPAÑA]])</f>
        <v>3/2026</v>
      </c>
      <c r="Q363" s="29" t="s">
        <v>73</v>
      </c>
      <c r="R363" s="29"/>
      <c r="S363" s="34" t="n">
        <v>0</v>
      </c>
      <c r="T363" s="34" t="n">
        <v>1862</v>
      </c>
      <c r="U363" s="34" t="n">
        <v>354</v>
      </c>
      <c r="V363" s="29"/>
      <c r="W363" s="35" t="n">
        <v>2216</v>
      </c>
      <c r="X363" s="36" t="n">
        <f aca="false">+Tabla[[#This Row],[TOTAL]]</f>
        <v>2216</v>
      </c>
      <c r="Y363" s="37"/>
      <c r="Z363" s="37"/>
      <c r="AA363" s="37"/>
      <c r="AB363" s="38" t="n">
        <f aca="false">+W363-AC363</f>
        <v>0</v>
      </c>
      <c r="AC363" s="34" t="n">
        <f aca="false">+Tabla[[#This Row],[P4]]+Tabla[[#This Row],[P3]]+Tabla[[#This Row],[P2]]+Tabla[[#This Row],[P1]]</f>
        <v>2216</v>
      </c>
      <c r="AD363" s="34" t="n">
        <f aca="false">+W363-AC363</f>
        <v>0</v>
      </c>
      <c r="AE363" s="21" t="str">
        <f aca="false">IF(AB363&lt;1,"PAGADA","PENDIENTE")</f>
        <v>PAGADA</v>
      </c>
      <c r="AF363" s="21"/>
      <c r="AG363" s="29"/>
      <c r="AH363" s="40"/>
      <c r="AI363" s="40" t="n">
        <f aca="false">+IF(Tabla[[#This Row],[FECHA PAGO / ABONO]]&lt;1,0,(MONTH(Tabla[[#This Row],[FECHA PAGO / ABONO]])))</f>
        <v>0</v>
      </c>
      <c r="AJ363" s="40" t="n">
        <f aca="false">+IF(Tabla[[#This Row],[FECHA PAGO / ABONO]]&lt;1,0,(YEAR(Tabla[[#This Row],[FECHA PAGO / ABONO]])))</f>
        <v>0</v>
      </c>
      <c r="AK363" s="41"/>
    </row>
    <row r="364" customFormat="false" ht="14.25" hidden="false" customHeight="false" outlineLevel="0" collapsed="false">
      <c r="A364" s="28" t="s">
        <v>101</v>
      </c>
      <c r="B364" s="29" t="s">
        <v>102</v>
      </c>
      <c r="C364" s="29" t="s">
        <v>69</v>
      </c>
      <c r="D364" s="21" t="n">
        <v>29662756</v>
      </c>
      <c r="E364" s="21" t="str">
        <f aca="false">+CONCATENATE(Tabla[[#This Row],[RUT]],Tabla[[#This Row],[PROVEEDOR]],Tabla[[#This Row],[FACTURA]])</f>
        <v>97006000-6BANCO DE CREDITO E INVERSIONES29662756</v>
      </c>
      <c r="F364" s="57" t="n">
        <v>46092</v>
      </c>
      <c r="G364" s="31" t="n">
        <f aca="false">+F364+30</f>
        <v>46122</v>
      </c>
      <c r="H364" s="29" t="n">
        <f aca="true">+IF(AE364="PAGADA",0,TODAY()-G364)</f>
        <v>0</v>
      </c>
      <c r="I364" s="29" t="str">
        <f aca="false">+IF(H364&gt;180,"Atrasada",IF(H364&gt;150,"150 dias",IF(H364&gt;120,"120 dias",IF(H364&gt;90,"90 dias",IF(H364&gt;60,"60 dias",IF(H364&gt;30,"30 dias","Al Día"))))))</f>
        <v>Al Día</v>
      </c>
      <c r="J364" s="32" t="s">
        <v>31</v>
      </c>
      <c r="K364" s="29" t="s">
        <v>81</v>
      </c>
      <c r="L364" s="33" t="s">
        <v>277</v>
      </c>
      <c r="M364" s="29" t="n">
        <f aca="false">+YEAR(F364)</f>
        <v>2026</v>
      </c>
      <c r="N364" s="29" t="n">
        <v>2026</v>
      </c>
      <c r="O364" s="29" t="n">
        <v>3</v>
      </c>
      <c r="P364" s="29" t="str">
        <f aca="false">+CONCATENATE(Tabla[[#This Row],[MES CAMPAÑA]],"/",Tabla[[#This Row],[AÑO CAMPAÑA]])</f>
        <v>3/2026</v>
      </c>
      <c r="Q364" s="29" t="s">
        <v>73</v>
      </c>
      <c r="R364" s="29"/>
      <c r="S364" s="34" t="n">
        <v>0</v>
      </c>
      <c r="T364" s="34" t="n">
        <v>2222</v>
      </c>
      <c r="U364" s="34" t="n">
        <v>422</v>
      </c>
      <c r="V364" s="29"/>
      <c r="W364" s="35" t="n">
        <v>2644</v>
      </c>
      <c r="X364" s="36" t="n">
        <f aca="false">+Tabla[[#This Row],[TOTAL]]</f>
        <v>2644</v>
      </c>
      <c r="Y364" s="37"/>
      <c r="Z364" s="37"/>
      <c r="AA364" s="37"/>
      <c r="AB364" s="38" t="n">
        <f aca="false">+W364-AC364</f>
        <v>0</v>
      </c>
      <c r="AC364" s="34" t="n">
        <f aca="false">+Tabla[[#This Row],[P4]]+Tabla[[#This Row],[P3]]+Tabla[[#This Row],[P2]]+Tabla[[#This Row],[P1]]</f>
        <v>2644</v>
      </c>
      <c r="AD364" s="34" t="n">
        <f aca="false">+W364-AC364</f>
        <v>0</v>
      </c>
      <c r="AE364" s="21" t="str">
        <f aca="false">IF(AB364&lt;1,"PAGADA","PENDIENTE")</f>
        <v>PAGADA</v>
      </c>
      <c r="AF364" s="21"/>
      <c r="AG364" s="29"/>
      <c r="AH364" s="40"/>
      <c r="AI364" s="40" t="n">
        <f aca="false">+IF(Tabla[[#This Row],[FECHA PAGO / ABONO]]&lt;1,0,(MONTH(Tabla[[#This Row],[FECHA PAGO / ABONO]])))</f>
        <v>0</v>
      </c>
      <c r="AJ364" s="40" t="n">
        <f aca="false">+IF(Tabla[[#This Row],[FECHA PAGO / ABONO]]&lt;1,0,(YEAR(Tabla[[#This Row],[FECHA PAGO / ABONO]])))</f>
        <v>0</v>
      </c>
      <c r="AK364" s="41"/>
    </row>
    <row r="365" customFormat="false" ht="14.25" hidden="false" customHeight="false" outlineLevel="0" collapsed="false">
      <c r="A365" s="28" t="s">
        <v>101</v>
      </c>
      <c r="B365" s="29" t="s">
        <v>102</v>
      </c>
      <c r="C365" s="29" t="s">
        <v>69</v>
      </c>
      <c r="D365" s="21" t="n">
        <v>29662757</v>
      </c>
      <c r="E365" s="21" t="str">
        <f aca="false">+CONCATENATE(Tabla[[#This Row],[RUT]],Tabla[[#This Row],[PROVEEDOR]],Tabla[[#This Row],[FACTURA]])</f>
        <v>97006000-6BANCO DE CREDITO E INVERSIONES29662757</v>
      </c>
      <c r="F365" s="57" t="n">
        <v>46092</v>
      </c>
      <c r="G365" s="31" t="n">
        <f aca="false">+F365+30</f>
        <v>46122</v>
      </c>
      <c r="H365" s="29" t="n">
        <f aca="true">+IF(AE365="PAGADA",0,TODAY()-G365)</f>
        <v>0</v>
      </c>
      <c r="I365" s="29" t="str">
        <f aca="false">+IF(H365&gt;180,"Atrasada",IF(H365&gt;150,"150 dias",IF(H365&gt;120,"120 dias",IF(H365&gt;90,"90 dias",IF(H365&gt;60,"60 dias",IF(H365&gt;30,"30 dias","Al Día"))))))</f>
        <v>Al Día</v>
      </c>
      <c r="J365" s="32" t="s">
        <v>31</v>
      </c>
      <c r="K365" s="29" t="s">
        <v>81</v>
      </c>
      <c r="L365" s="33" t="s">
        <v>277</v>
      </c>
      <c r="M365" s="29" t="n">
        <f aca="false">+YEAR(F365)</f>
        <v>2026</v>
      </c>
      <c r="N365" s="29" t="n">
        <v>2026</v>
      </c>
      <c r="O365" s="29" t="n">
        <v>3</v>
      </c>
      <c r="P365" s="29" t="str">
        <f aca="false">+CONCATENATE(Tabla[[#This Row],[MES CAMPAÑA]],"/",Tabla[[#This Row],[AÑO CAMPAÑA]])</f>
        <v>3/2026</v>
      </c>
      <c r="Q365" s="29" t="s">
        <v>73</v>
      </c>
      <c r="R365" s="29"/>
      <c r="S365" s="34" t="n">
        <v>0</v>
      </c>
      <c r="T365" s="34" t="n">
        <v>3341</v>
      </c>
      <c r="U365" s="34" t="n">
        <v>635</v>
      </c>
      <c r="V365" s="29"/>
      <c r="W365" s="35" t="n">
        <v>3976</v>
      </c>
      <c r="X365" s="36" t="n">
        <f aca="false">+Tabla[[#This Row],[TOTAL]]</f>
        <v>3976</v>
      </c>
      <c r="Y365" s="37"/>
      <c r="Z365" s="37"/>
      <c r="AA365" s="37"/>
      <c r="AB365" s="38" t="n">
        <f aca="false">+W365-AC365</f>
        <v>0</v>
      </c>
      <c r="AC365" s="34" t="n">
        <f aca="false">+Tabla[[#This Row],[P4]]+Tabla[[#This Row],[P3]]+Tabla[[#This Row],[P2]]+Tabla[[#This Row],[P1]]</f>
        <v>3976</v>
      </c>
      <c r="AD365" s="34" t="n">
        <f aca="false">+W365-AC365</f>
        <v>0</v>
      </c>
      <c r="AE365" s="21" t="str">
        <f aca="false">IF(AB365&lt;1,"PAGADA","PENDIENTE")</f>
        <v>PAGADA</v>
      </c>
      <c r="AF365" s="21"/>
      <c r="AG365" s="29"/>
      <c r="AH365" s="40"/>
      <c r="AI365" s="40" t="n">
        <f aca="false">+IF(Tabla[[#This Row],[FECHA PAGO / ABONO]]&lt;1,0,(MONTH(Tabla[[#This Row],[FECHA PAGO / ABONO]])))</f>
        <v>0</v>
      </c>
      <c r="AJ365" s="40" t="n">
        <f aca="false">+IF(Tabla[[#This Row],[FECHA PAGO / ABONO]]&lt;1,0,(YEAR(Tabla[[#This Row],[FECHA PAGO / ABONO]])))</f>
        <v>0</v>
      </c>
      <c r="AK365" s="41"/>
    </row>
    <row r="366" customFormat="false" ht="14.25" hidden="false" customHeight="false" outlineLevel="0" collapsed="false">
      <c r="A366" s="28" t="s">
        <v>101</v>
      </c>
      <c r="B366" s="29" t="s">
        <v>102</v>
      </c>
      <c r="C366" s="29" t="s">
        <v>69</v>
      </c>
      <c r="D366" s="21" t="n">
        <v>29662758</v>
      </c>
      <c r="E366" s="21" t="str">
        <f aca="false">+CONCATENATE(Tabla[[#This Row],[RUT]],Tabla[[#This Row],[PROVEEDOR]],Tabla[[#This Row],[FACTURA]])</f>
        <v>97006000-6BANCO DE CREDITO E INVERSIONES29662758</v>
      </c>
      <c r="F366" s="57" t="n">
        <v>46092</v>
      </c>
      <c r="G366" s="31" t="n">
        <f aca="false">+F366+30</f>
        <v>46122</v>
      </c>
      <c r="H366" s="29" t="n">
        <f aca="true">+IF(AE366="PAGADA",0,TODAY()-G366)</f>
        <v>0</v>
      </c>
      <c r="I366" s="29" t="str">
        <f aca="false">+IF(H366&gt;180,"Atrasada",IF(H366&gt;150,"150 dias",IF(H366&gt;120,"120 dias",IF(H366&gt;90,"90 dias",IF(H366&gt;60,"60 dias",IF(H366&gt;30,"30 dias","Al Día"))))))</f>
        <v>Al Día</v>
      </c>
      <c r="J366" s="32" t="s">
        <v>31</v>
      </c>
      <c r="K366" s="29" t="s">
        <v>81</v>
      </c>
      <c r="L366" s="33" t="s">
        <v>277</v>
      </c>
      <c r="M366" s="29" t="n">
        <f aca="false">+YEAR(F366)</f>
        <v>2026</v>
      </c>
      <c r="N366" s="29" t="n">
        <v>2026</v>
      </c>
      <c r="O366" s="29" t="n">
        <v>3</v>
      </c>
      <c r="P366" s="29" t="str">
        <f aca="false">+CONCATENATE(Tabla[[#This Row],[MES CAMPAÑA]],"/",Tabla[[#This Row],[AÑO CAMPAÑA]])</f>
        <v>3/2026</v>
      </c>
      <c r="Q366" s="29" t="s">
        <v>73</v>
      </c>
      <c r="R366" s="29"/>
      <c r="S366" s="34" t="n">
        <v>0</v>
      </c>
      <c r="T366" s="34" t="n">
        <v>156758</v>
      </c>
      <c r="U366" s="34" t="n">
        <v>29784</v>
      </c>
      <c r="V366" s="29"/>
      <c r="W366" s="35" t="n">
        <v>186542</v>
      </c>
      <c r="X366" s="36" t="n">
        <f aca="false">+Tabla[[#This Row],[TOTAL]]</f>
        <v>186542</v>
      </c>
      <c r="Y366" s="37"/>
      <c r="Z366" s="37"/>
      <c r="AA366" s="37"/>
      <c r="AB366" s="38" t="n">
        <f aca="false">+W366-AC366</f>
        <v>0</v>
      </c>
      <c r="AC366" s="34" t="n">
        <f aca="false">+Tabla[[#This Row],[P4]]+Tabla[[#This Row],[P3]]+Tabla[[#This Row],[P2]]+Tabla[[#This Row],[P1]]</f>
        <v>186542</v>
      </c>
      <c r="AD366" s="34" t="n">
        <f aca="false">+W366-AC366</f>
        <v>0</v>
      </c>
      <c r="AE366" s="21" t="str">
        <f aca="false">IF(AB366&lt;1,"PAGADA","PENDIENTE")</f>
        <v>PAGADA</v>
      </c>
      <c r="AF366" s="21"/>
      <c r="AG366" s="29"/>
      <c r="AH366" s="40"/>
      <c r="AI366" s="40" t="n">
        <f aca="false">+IF(Tabla[[#This Row],[FECHA PAGO / ABONO]]&lt;1,0,(MONTH(Tabla[[#This Row],[FECHA PAGO / ABONO]])))</f>
        <v>0</v>
      </c>
      <c r="AJ366" s="40" t="n">
        <f aca="false">+IF(Tabla[[#This Row],[FECHA PAGO / ABONO]]&lt;1,0,(YEAR(Tabla[[#This Row],[FECHA PAGO / ABONO]])))</f>
        <v>0</v>
      </c>
      <c r="AK366" s="41"/>
    </row>
    <row r="367" customFormat="false" ht="14.25" hidden="false" customHeight="false" outlineLevel="0" collapsed="false">
      <c r="A367" s="28" t="s">
        <v>101</v>
      </c>
      <c r="B367" s="29" t="s">
        <v>102</v>
      </c>
      <c r="C367" s="29" t="s">
        <v>69</v>
      </c>
      <c r="D367" s="21" t="n">
        <v>29662759</v>
      </c>
      <c r="E367" s="21" t="str">
        <f aca="false">+CONCATENATE(Tabla[[#This Row],[RUT]],Tabla[[#This Row],[PROVEEDOR]],Tabla[[#This Row],[FACTURA]])</f>
        <v>97006000-6BANCO DE CREDITO E INVERSIONES29662759</v>
      </c>
      <c r="F367" s="57" t="n">
        <v>46092</v>
      </c>
      <c r="G367" s="31" t="n">
        <f aca="false">+F367+30</f>
        <v>46122</v>
      </c>
      <c r="H367" s="29" t="n">
        <f aca="true">+IF(AE367="PAGADA",0,TODAY()-G367)</f>
        <v>0</v>
      </c>
      <c r="I367" s="29" t="str">
        <f aca="false">+IF(H367&gt;180,"Atrasada",IF(H367&gt;150,"150 dias",IF(H367&gt;120,"120 dias",IF(H367&gt;90,"90 dias",IF(H367&gt;60,"60 dias",IF(H367&gt;30,"30 dias","Al Día"))))))</f>
        <v>Al Día</v>
      </c>
      <c r="J367" s="32" t="s">
        <v>31</v>
      </c>
      <c r="K367" s="29" t="s">
        <v>81</v>
      </c>
      <c r="L367" s="33" t="s">
        <v>277</v>
      </c>
      <c r="M367" s="29" t="n">
        <f aca="false">+YEAR(F367)</f>
        <v>2026</v>
      </c>
      <c r="N367" s="29" t="n">
        <v>2026</v>
      </c>
      <c r="O367" s="29" t="n">
        <v>3</v>
      </c>
      <c r="P367" s="29" t="str">
        <f aca="false">+CONCATENATE(Tabla[[#This Row],[MES CAMPAÑA]],"/",Tabla[[#This Row],[AÑO CAMPAÑA]])</f>
        <v>3/2026</v>
      </c>
      <c r="Q367" s="29" t="s">
        <v>73</v>
      </c>
      <c r="R367" s="29"/>
      <c r="S367" s="34" t="n">
        <v>0</v>
      </c>
      <c r="T367" s="34" t="n">
        <v>139</v>
      </c>
      <c r="U367" s="34" t="n">
        <v>26</v>
      </c>
      <c r="V367" s="29"/>
      <c r="W367" s="35" t="n">
        <v>165</v>
      </c>
      <c r="X367" s="36" t="n">
        <f aca="false">+Tabla[[#This Row],[TOTAL]]</f>
        <v>165</v>
      </c>
      <c r="Y367" s="37"/>
      <c r="Z367" s="37"/>
      <c r="AA367" s="37"/>
      <c r="AB367" s="38" t="n">
        <f aca="false">+W367-AC367</f>
        <v>0</v>
      </c>
      <c r="AC367" s="34" t="n">
        <f aca="false">+Tabla[[#This Row],[P4]]+Tabla[[#This Row],[P3]]+Tabla[[#This Row],[P2]]+Tabla[[#This Row],[P1]]</f>
        <v>165</v>
      </c>
      <c r="AD367" s="34" t="n">
        <f aca="false">+W367-AC367</f>
        <v>0</v>
      </c>
      <c r="AE367" s="21" t="str">
        <f aca="false">IF(AB367&lt;1,"PAGADA","PENDIENTE")</f>
        <v>PAGADA</v>
      </c>
      <c r="AF367" s="21"/>
      <c r="AG367" s="29"/>
      <c r="AH367" s="40"/>
      <c r="AI367" s="40" t="n">
        <f aca="false">+IF(Tabla[[#This Row],[FECHA PAGO / ABONO]]&lt;1,0,(MONTH(Tabla[[#This Row],[FECHA PAGO / ABONO]])))</f>
        <v>0</v>
      </c>
      <c r="AJ367" s="40" t="n">
        <f aca="false">+IF(Tabla[[#This Row],[FECHA PAGO / ABONO]]&lt;1,0,(YEAR(Tabla[[#This Row],[FECHA PAGO / ABONO]])))</f>
        <v>0</v>
      </c>
      <c r="AK367" s="41"/>
    </row>
    <row r="368" customFormat="false" ht="14.25" hidden="false" customHeight="false" outlineLevel="0" collapsed="false">
      <c r="A368" s="28" t="s">
        <v>101</v>
      </c>
      <c r="B368" s="29" t="s">
        <v>102</v>
      </c>
      <c r="C368" s="29" t="s">
        <v>69</v>
      </c>
      <c r="D368" s="21" t="n">
        <v>29662760</v>
      </c>
      <c r="E368" s="21" t="str">
        <f aca="false">+CONCATENATE(Tabla[[#This Row],[RUT]],Tabla[[#This Row],[PROVEEDOR]],Tabla[[#This Row],[FACTURA]])</f>
        <v>97006000-6BANCO DE CREDITO E INVERSIONES29662760</v>
      </c>
      <c r="F368" s="57" t="n">
        <v>46092</v>
      </c>
      <c r="G368" s="31" t="n">
        <f aca="false">+F368+30</f>
        <v>46122</v>
      </c>
      <c r="H368" s="29" t="n">
        <f aca="true">+IF(AE368="PAGADA",0,TODAY()-G368)</f>
        <v>0</v>
      </c>
      <c r="I368" s="29" t="str">
        <f aca="false">+IF(H368&gt;180,"Atrasada",IF(H368&gt;150,"150 dias",IF(H368&gt;120,"120 dias",IF(H368&gt;90,"90 dias",IF(H368&gt;60,"60 dias",IF(H368&gt;30,"30 dias","Al Día"))))))</f>
        <v>Al Día</v>
      </c>
      <c r="J368" s="32" t="s">
        <v>31</v>
      </c>
      <c r="K368" s="29" t="s">
        <v>81</v>
      </c>
      <c r="L368" s="33" t="s">
        <v>277</v>
      </c>
      <c r="M368" s="29" t="n">
        <f aca="false">+YEAR(F368)</f>
        <v>2026</v>
      </c>
      <c r="N368" s="29" t="n">
        <v>2026</v>
      </c>
      <c r="O368" s="29" t="n">
        <v>3</v>
      </c>
      <c r="P368" s="29" t="str">
        <f aca="false">+CONCATENATE(Tabla[[#This Row],[MES CAMPAÑA]],"/",Tabla[[#This Row],[AÑO CAMPAÑA]])</f>
        <v>3/2026</v>
      </c>
      <c r="Q368" s="29" t="s">
        <v>73</v>
      </c>
      <c r="R368" s="29"/>
      <c r="S368" s="34" t="n">
        <v>0</v>
      </c>
      <c r="T368" s="34" t="n">
        <v>3341</v>
      </c>
      <c r="U368" s="34" t="n">
        <v>635</v>
      </c>
      <c r="V368" s="29"/>
      <c r="W368" s="35" t="n">
        <v>3976</v>
      </c>
      <c r="X368" s="36" t="n">
        <f aca="false">+Tabla[[#This Row],[TOTAL]]</f>
        <v>3976</v>
      </c>
      <c r="Y368" s="37"/>
      <c r="Z368" s="37"/>
      <c r="AA368" s="37"/>
      <c r="AB368" s="38" t="n">
        <f aca="false">+W368-AC368</f>
        <v>0</v>
      </c>
      <c r="AC368" s="34" t="n">
        <f aca="false">+Tabla[[#This Row],[P4]]+Tabla[[#This Row],[P3]]+Tabla[[#This Row],[P2]]+Tabla[[#This Row],[P1]]</f>
        <v>3976</v>
      </c>
      <c r="AD368" s="34" t="n">
        <f aca="false">+W368-AC368</f>
        <v>0</v>
      </c>
      <c r="AE368" s="21" t="str">
        <f aca="false">IF(AB368&lt;1,"PAGADA","PENDIENTE")</f>
        <v>PAGADA</v>
      </c>
      <c r="AF368" s="21"/>
      <c r="AG368" s="29"/>
      <c r="AH368" s="40"/>
      <c r="AI368" s="40" t="n">
        <f aca="false">+IF(Tabla[[#This Row],[FECHA PAGO / ABONO]]&lt;1,0,(MONTH(Tabla[[#This Row],[FECHA PAGO / ABONO]])))</f>
        <v>0</v>
      </c>
      <c r="AJ368" s="40" t="n">
        <f aca="false">+IF(Tabla[[#This Row],[FECHA PAGO / ABONO]]&lt;1,0,(YEAR(Tabla[[#This Row],[FECHA PAGO / ABONO]])))</f>
        <v>0</v>
      </c>
      <c r="AK368" s="41"/>
    </row>
    <row r="369" customFormat="false" ht="14.25" hidden="false" customHeight="false" outlineLevel="0" collapsed="false">
      <c r="A369" s="28" t="s">
        <v>101</v>
      </c>
      <c r="B369" s="29" t="s">
        <v>102</v>
      </c>
      <c r="C369" s="29" t="s">
        <v>69</v>
      </c>
      <c r="D369" s="21" t="n">
        <v>29662761</v>
      </c>
      <c r="E369" s="21" t="str">
        <f aca="false">+CONCATENATE(Tabla[[#This Row],[RUT]],Tabla[[#This Row],[PROVEEDOR]],Tabla[[#This Row],[FACTURA]])</f>
        <v>97006000-6BANCO DE CREDITO E INVERSIONES29662761</v>
      </c>
      <c r="F369" s="57" t="n">
        <v>46092</v>
      </c>
      <c r="G369" s="31" t="n">
        <f aca="false">+F369+30</f>
        <v>46122</v>
      </c>
      <c r="H369" s="29" t="n">
        <f aca="true">+IF(AE369="PAGADA",0,TODAY()-G369)</f>
        <v>0</v>
      </c>
      <c r="I369" s="29" t="str">
        <f aca="false">+IF(H369&gt;180,"Atrasada",IF(H369&gt;150,"150 dias",IF(H369&gt;120,"120 dias",IF(H369&gt;90,"90 dias",IF(H369&gt;60,"60 dias",IF(H369&gt;30,"30 dias","Al Día"))))))</f>
        <v>Al Día</v>
      </c>
      <c r="J369" s="32" t="s">
        <v>31</v>
      </c>
      <c r="K369" s="29" t="s">
        <v>81</v>
      </c>
      <c r="L369" s="33" t="s">
        <v>277</v>
      </c>
      <c r="M369" s="29" t="n">
        <f aca="false">+YEAR(F369)</f>
        <v>2026</v>
      </c>
      <c r="N369" s="29" t="n">
        <v>2026</v>
      </c>
      <c r="O369" s="29" t="n">
        <v>3</v>
      </c>
      <c r="P369" s="29" t="str">
        <f aca="false">+CONCATENATE(Tabla[[#This Row],[MES CAMPAÑA]],"/",Tabla[[#This Row],[AÑO CAMPAÑA]])</f>
        <v>3/2026</v>
      </c>
      <c r="Q369" s="29" t="s">
        <v>73</v>
      </c>
      <c r="R369" s="29"/>
      <c r="S369" s="34" t="n">
        <v>0</v>
      </c>
      <c r="T369" s="34" t="n">
        <v>3464</v>
      </c>
      <c r="U369" s="34" t="n">
        <v>658</v>
      </c>
      <c r="V369" s="29"/>
      <c r="W369" s="35" t="n">
        <v>4122</v>
      </c>
      <c r="X369" s="36" t="n">
        <f aca="false">+Tabla[[#This Row],[TOTAL]]</f>
        <v>4122</v>
      </c>
      <c r="Y369" s="37"/>
      <c r="Z369" s="37"/>
      <c r="AA369" s="37"/>
      <c r="AB369" s="38" t="n">
        <f aca="false">+W369-AC369</f>
        <v>0</v>
      </c>
      <c r="AC369" s="34" t="n">
        <f aca="false">+Tabla[[#This Row],[P4]]+Tabla[[#This Row],[P3]]+Tabla[[#This Row],[P2]]+Tabla[[#This Row],[P1]]</f>
        <v>4122</v>
      </c>
      <c r="AD369" s="34" t="n">
        <f aca="false">+W369-AC369</f>
        <v>0</v>
      </c>
      <c r="AE369" s="21" t="str">
        <f aca="false">IF(AB369&lt;1,"PAGADA","PENDIENTE")</f>
        <v>PAGADA</v>
      </c>
      <c r="AF369" s="21"/>
      <c r="AG369" s="29"/>
      <c r="AH369" s="40"/>
      <c r="AI369" s="40" t="n">
        <f aca="false">+IF(Tabla[[#This Row],[FECHA PAGO / ABONO]]&lt;1,0,(MONTH(Tabla[[#This Row],[FECHA PAGO / ABONO]])))</f>
        <v>0</v>
      </c>
      <c r="AJ369" s="40" t="n">
        <f aca="false">+IF(Tabla[[#This Row],[FECHA PAGO / ABONO]]&lt;1,0,(YEAR(Tabla[[#This Row],[FECHA PAGO / ABONO]])))</f>
        <v>0</v>
      </c>
      <c r="AK369" s="41"/>
    </row>
    <row r="370" customFormat="false" ht="14.25" hidden="false" customHeight="false" outlineLevel="0" collapsed="false">
      <c r="A370" s="28" t="s">
        <v>101</v>
      </c>
      <c r="B370" s="29" t="s">
        <v>102</v>
      </c>
      <c r="C370" s="29" t="s">
        <v>69</v>
      </c>
      <c r="D370" s="21" t="n">
        <v>29662762</v>
      </c>
      <c r="E370" s="21" t="str">
        <f aca="false">+CONCATENATE(Tabla[[#This Row],[RUT]],Tabla[[#This Row],[PROVEEDOR]],Tabla[[#This Row],[FACTURA]])</f>
        <v>97006000-6BANCO DE CREDITO E INVERSIONES29662762</v>
      </c>
      <c r="F370" s="57" t="n">
        <v>46092</v>
      </c>
      <c r="G370" s="31" t="n">
        <f aca="false">+F370+30</f>
        <v>46122</v>
      </c>
      <c r="H370" s="29" t="n">
        <f aca="true">+IF(AE370="PAGADA",0,TODAY()-G370)</f>
        <v>0</v>
      </c>
      <c r="I370" s="29" t="str">
        <f aca="false">+IF(H370&gt;180,"Atrasada",IF(H370&gt;150,"150 dias",IF(H370&gt;120,"120 dias",IF(H370&gt;90,"90 dias",IF(H370&gt;60,"60 dias",IF(H370&gt;30,"30 dias","Al Día"))))))</f>
        <v>Al Día</v>
      </c>
      <c r="J370" s="32" t="s">
        <v>31</v>
      </c>
      <c r="K370" s="29" t="s">
        <v>81</v>
      </c>
      <c r="L370" s="33" t="s">
        <v>277</v>
      </c>
      <c r="M370" s="29" t="n">
        <f aca="false">+YEAR(F370)</f>
        <v>2026</v>
      </c>
      <c r="N370" s="29" t="n">
        <v>2026</v>
      </c>
      <c r="O370" s="29" t="n">
        <v>3</v>
      </c>
      <c r="P370" s="29" t="str">
        <f aca="false">+CONCATENATE(Tabla[[#This Row],[MES CAMPAÑA]],"/",Tabla[[#This Row],[AÑO CAMPAÑA]])</f>
        <v>3/2026</v>
      </c>
      <c r="Q370" s="29" t="s">
        <v>73</v>
      </c>
      <c r="R370" s="29"/>
      <c r="S370" s="34" t="n">
        <v>0</v>
      </c>
      <c r="T370" s="34" t="n">
        <v>1818</v>
      </c>
      <c r="U370" s="34" t="n">
        <v>346</v>
      </c>
      <c r="V370" s="29"/>
      <c r="W370" s="35" t="n">
        <v>2164</v>
      </c>
      <c r="X370" s="36" t="n">
        <f aca="false">+Tabla[[#This Row],[TOTAL]]</f>
        <v>2164</v>
      </c>
      <c r="Y370" s="37"/>
      <c r="Z370" s="37"/>
      <c r="AA370" s="37"/>
      <c r="AB370" s="38" t="n">
        <f aca="false">+W370-AC370</f>
        <v>0</v>
      </c>
      <c r="AC370" s="34" t="n">
        <f aca="false">+Tabla[[#This Row],[P4]]+Tabla[[#This Row],[P3]]+Tabla[[#This Row],[P2]]+Tabla[[#This Row],[P1]]</f>
        <v>2164</v>
      </c>
      <c r="AD370" s="34" t="n">
        <f aca="false">+W370-AC370</f>
        <v>0</v>
      </c>
      <c r="AE370" s="21" t="str">
        <f aca="false">IF(AB370&lt;1,"PAGADA","PENDIENTE")</f>
        <v>PAGADA</v>
      </c>
      <c r="AF370" s="21"/>
      <c r="AG370" s="29"/>
      <c r="AH370" s="40"/>
      <c r="AI370" s="40" t="n">
        <f aca="false">+IF(Tabla[[#This Row],[FECHA PAGO / ABONO]]&lt;1,0,(MONTH(Tabla[[#This Row],[FECHA PAGO / ABONO]])))</f>
        <v>0</v>
      </c>
      <c r="AJ370" s="40" t="n">
        <f aca="false">+IF(Tabla[[#This Row],[FECHA PAGO / ABONO]]&lt;1,0,(YEAR(Tabla[[#This Row],[FECHA PAGO / ABONO]])))</f>
        <v>0</v>
      </c>
      <c r="AK370" s="41"/>
    </row>
    <row r="371" customFormat="false" ht="14.25" hidden="false" customHeight="false" outlineLevel="0" collapsed="false">
      <c r="A371" s="28" t="s">
        <v>101</v>
      </c>
      <c r="B371" s="29" t="s">
        <v>102</v>
      </c>
      <c r="C371" s="29" t="s">
        <v>69</v>
      </c>
      <c r="D371" s="21" t="n">
        <v>29662763</v>
      </c>
      <c r="E371" s="21" t="str">
        <f aca="false">+CONCATENATE(Tabla[[#This Row],[RUT]],Tabla[[#This Row],[PROVEEDOR]],Tabla[[#This Row],[FACTURA]])</f>
        <v>97006000-6BANCO DE CREDITO E INVERSIONES29662763</v>
      </c>
      <c r="F371" s="57" t="n">
        <v>46092</v>
      </c>
      <c r="G371" s="31" t="n">
        <f aca="false">+F371+30</f>
        <v>46122</v>
      </c>
      <c r="H371" s="29" t="n">
        <f aca="true">+IF(AE371="PAGADA",0,TODAY()-G371)</f>
        <v>0</v>
      </c>
      <c r="I371" s="29" t="str">
        <f aca="false">+IF(H371&gt;180,"Atrasada",IF(H371&gt;150,"150 dias",IF(H371&gt;120,"120 dias",IF(H371&gt;90,"90 dias",IF(H371&gt;60,"60 dias",IF(H371&gt;30,"30 dias","Al Día"))))))</f>
        <v>Al Día</v>
      </c>
      <c r="J371" s="32" t="s">
        <v>31</v>
      </c>
      <c r="K371" s="29" t="s">
        <v>81</v>
      </c>
      <c r="L371" s="33" t="s">
        <v>277</v>
      </c>
      <c r="M371" s="29" t="n">
        <f aca="false">+YEAR(F371)</f>
        <v>2026</v>
      </c>
      <c r="N371" s="29" t="n">
        <v>2026</v>
      </c>
      <c r="O371" s="29" t="n">
        <v>3</v>
      </c>
      <c r="P371" s="29" t="str">
        <f aca="false">+CONCATENATE(Tabla[[#This Row],[MES CAMPAÑA]],"/",Tabla[[#This Row],[AÑO CAMPAÑA]])</f>
        <v>3/2026</v>
      </c>
      <c r="Q371" s="29" t="s">
        <v>73</v>
      </c>
      <c r="R371" s="29"/>
      <c r="S371" s="34" t="n">
        <v>0</v>
      </c>
      <c r="T371" s="34" t="n">
        <v>1523</v>
      </c>
      <c r="U371" s="34" t="n">
        <v>289</v>
      </c>
      <c r="V371" s="29"/>
      <c r="W371" s="35" t="n">
        <v>1812</v>
      </c>
      <c r="X371" s="36" t="n">
        <f aca="false">+Tabla[[#This Row],[TOTAL]]</f>
        <v>1812</v>
      </c>
      <c r="Y371" s="37"/>
      <c r="Z371" s="37"/>
      <c r="AA371" s="37"/>
      <c r="AB371" s="38" t="n">
        <f aca="false">+W371-AC371</f>
        <v>0</v>
      </c>
      <c r="AC371" s="34" t="n">
        <f aca="false">+Tabla[[#This Row],[P4]]+Tabla[[#This Row],[P3]]+Tabla[[#This Row],[P2]]+Tabla[[#This Row],[P1]]</f>
        <v>1812</v>
      </c>
      <c r="AD371" s="34" t="n">
        <f aca="false">+W371-AC371</f>
        <v>0</v>
      </c>
      <c r="AE371" s="21" t="str">
        <f aca="false">IF(AB371&lt;1,"PAGADA","PENDIENTE")</f>
        <v>PAGADA</v>
      </c>
      <c r="AF371" s="21"/>
      <c r="AG371" s="29"/>
      <c r="AH371" s="40"/>
      <c r="AI371" s="40" t="n">
        <f aca="false">+IF(Tabla[[#This Row],[FECHA PAGO / ABONO]]&lt;1,0,(MONTH(Tabla[[#This Row],[FECHA PAGO / ABONO]])))</f>
        <v>0</v>
      </c>
      <c r="AJ371" s="40" t="n">
        <f aca="false">+IF(Tabla[[#This Row],[FECHA PAGO / ABONO]]&lt;1,0,(YEAR(Tabla[[#This Row],[FECHA PAGO / ABONO]])))</f>
        <v>0</v>
      </c>
      <c r="AK371" s="41"/>
    </row>
    <row r="372" customFormat="false" ht="14.25" hidden="false" customHeight="false" outlineLevel="0" collapsed="false">
      <c r="A372" s="28" t="s">
        <v>101</v>
      </c>
      <c r="B372" s="29" t="s">
        <v>102</v>
      </c>
      <c r="C372" s="29" t="s">
        <v>69</v>
      </c>
      <c r="D372" s="21" t="n">
        <v>29662764</v>
      </c>
      <c r="E372" s="21" t="str">
        <f aca="false">+CONCATENATE(Tabla[[#This Row],[RUT]],Tabla[[#This Row],[PROVEEDOR]],Tabla[[#This Row],[FACTURA]])</f>
        <v>97006000-6BANCO DE CREDITO E INVERSIONES29662764</v>
      </c>
      <c r="F372" s="57" t="n">
        <v>46092</v>
      </c>
      <c r="G372" s="31" t="n">
        <f aca="false">+F372+30</f>
        <v>46122</v>
      </c>
      <c r="H372" s="29" t="n">
        <f aca="true">+IF(AE372="PAGADA",0,TODAY()-G372)</f>
        <v>0</v>
      </c>
      <c r="I372" s="29" t="str">
        <f aca="false">+IF(H372&gt;180,"Atrasada",IF(H372&gt;150,"150 dias",IF(H372&gt;120,"120 dias",IF(H372&gt;90,"90 dias",IF(H372&gt;60,"60 dias",IF(H372&gt;30,"30 dias","Al Día"))))))</f>
        <v>Al Día</v>
      </c>
      <c r="J372" s="32" t="s">
        <v>31</v>
      </c>
      <c r="K372" s="29" t="s">
        <v>81</v>
      </c>
      <c r="L372" s="33" t="s">
        <v>277</v>
      </c>
      <c r="M372" s="29" t="n">
        <f aca="false">+YEAR(F372)</f>
        <v>2026</v>
      </c>
      <c r="N372" s="29" t="n">
        <v>2026</v>
      </c>
      <c r="O372" s="29" t="n">
        <v>3</v>
      </c>
      <c r="P372" s="29" t="str">
        <f aca="false">+CONCATENATE(Tabla[[#This Row],[MES CAMPAÑA]],"/",Tabla[[#This Row],[AÑO CAMPAÑA]])</f>
        <v>3/2026</v>
      </c>
      <c r="Q372" s="29" t="s">
        <v>73</v>
      </c>
      <c r="R372" s="29"/>
      <c r="S372" s="34" t="n">
        <v>0</v>
      </c>
      <c r="T372" s="34" t="n">
        <v>1888</v>
      </c>
      <c r="U372" s="34" t="n">
        <v>359</v>
      </c>
      <c r="V372" s="29"/>
      <c r="W372" s="35" t="n">
        <v>2247</v>
      </c>
      <c r="X372" s="36" t="n">
        <f aca="false">+Tabla[[#This Row],[TOTAL]]</f>
        <v>2247</v>
      </c>
      <c r="Y372" s="37"/>
      <c r="Z372" s="37"/>
      <c r="AA372" s="37"/>
      <c r="AB372" s="38" t="n">
        <f aca="false">+W372-AC372</f>
        <v>0</v>
      </c>
      <c r="AC372" s="34" t="n">
        <f aca="false">+Tabla[[#This Row],[P4]]+Tabla[[#This Row],[P3]]+Tabla[[#This Row],[P2]]+Tabla[[#This Row],[P1]]</f>
        <v>2247</v>
      </c>
      <c r="AD372" s="34" t="n">
        <f aca="false">+W372-AC372</f>
        <v>0</v>
      </c>
      <c r="AE372" s="21" t="str">
        <f aca="false">IF(AB372&lt;1,"PAGADA","PENDIENTE")</f>
        <v>PAGADA</v>
      </c>
      <c r="AF372" s="21"/>
      <c r="AG372" s="29"/>
      <c r="AH372" s="40"/>
      <c r="AI372" s="40" t="n">
        <f aca="false">+IF(Tabla[[#This Row],[FECHA PAGO / ABONO]]&lt;1,0,(MONTH(Tabla[[#This Row],[FECHA PAGO / ABONO]])))</f>
        <v>0</v>
      </c>
      <c r="AJ372" s="40" t="n">
        <f aca="false">+IF(Tabla[[#This Row],[FECHA PAGO / ABONO]]&lt;1,0,(YEAR(Tabla[[#This Row],[FECHA PAGO / ABONO]])))</f>
        <v>0</v>
      </c>
      <c r="AK372" s="41"/>
    </row>
    <row r="373" customFormat="false" ht="14.25" hidden="false" customHeight="false" outlineLevel="0" collapsed="false">
      <c r="A373" s="28" t="s">
        <v>101</v>
      </c>
      <c r="B373" s="29" t="s">
        <v>102</v>
      </c>
      <c r="C373" s="29" t="s">
        <v>69</v>
      </c>
      <c r="D373" s="21" t="n">
        <v>29662765</v>
      </c>
      <c r="E373" s="21" t="str">
        <f aca="false">+CONCATENATE(Tabla[[#This Row],[RUT]],Tabla[[#This Row],[PROVEEDOR]],Tabla[[#This Row],[FACTURA]])</f>
        <v>97006000-6BANCO DE CREDITO E INVERSIONES29662765</v>
      </c>
      <c r="F373" s="57" t="n">
        <v>46092</v>
      </c>
      <c r="G373" s="31" t="n">
        <f aca="false">+F373+30</f>
        <v>46122</v>
      </c>
      <c r="H373" s="29" t="n">
        <f aca="true">+IF(AE373="PAGADA",0,TODAY()-G373)</f>
        <v>0</v>
      </c>
      <c r="I373" s="29" t="str">
        <f aca="false">+IF(H373&gt;180,"Atrasada",IF(H373&gt;150,"150 dias",IF(H373&gt;120,"120 dias",IF(H373&gt;90,"90 dias",IF(H373&gt;60,"60 dias",IF(H373&gt;30,"30 dias","Al Día"))))))</f>
        <v>Al Día</v>
      </c>
      <c r="J373" s="32" t="s">
        <v>31</v>
      </c>
      <c r="K373" s="29" t="s">
        <v>81</v>
      </c>
      <c r="L373" s="33" t="s">
        <v>277</v>
      </c>
      <c r="M373" s="29" t="n">
        <f aca="false">+YEAR(F373)</f>
        <v>2026</v>
      </c>
      <c r="N373" s="29" t="n">
        <v>2026</v>
      </c>
      <c r="O373" s="29" t="n">
        <v>3</v>
      </c>
      <c r="P373" s="29" t="str">
        <f aca="false">+CONCATENATE(Tabla[[#This Row],[MES CAMPAÑA]],"/",Tabla[[#This Row],[AÑO CAMPAÑA]])</f>
        <v>3/2026</v>
      </c>
      <c r="Q373" s="29" t="s">
        <v>73</v>
      </c>
      <c r="R373" s="29"/>
      <c r="S373" s="34" t="n">
        <v>0</v>
      </c>
      <c r="T373" s="34" t="n">
        <v>139171</v>
      </c>
      <c r="U373" s="34" t="n">
        <v>26443</v>
      </c>
      <c r="V373" s="29"/>
      <c r="W373" s="35" t="n">
        <v>165614</v>
      </c>
      <c r="X373" s="36" t="n">
        <f aca="false">+Tabla[[#This Row],[TOTAL]]</f>
        <v>165614</v>
      </c>
      <c r="Y373" s="37"/>
      <c r="Z373" s="37"/>
      <c r="AA373" s="37"/>
      <c r="AB373" s="38" t="n">
        <f aca="false">+W373-AC373</f>
        <v>0</v>
      </c>
      <c r="AC373" s="34" t="n">
        <f aca="false">+Tabla[[#This Row],[P4]]+Tabla[[#This Row],[P3]]+Tabla[[#This Row],[P2]]+Tabla[[#This Row],[P1]]</f>
        <v>165614</v>
      </c>
      <c r="AD373" s="34" t="n">
        <f aca="false">+W373-AC373</f>
        <v>0</v>
      </c>
      <c r="AE373" s="21" t="str">
        <f aca="false">IF(AB373&lt;1,"PAGADA","PENDIENTE")</f>
        <v>PAGADA</v>
      </c>
      <c r="AF373" s="21"/>
      <c r="AG373" s="29"/>
      <c r="AH373" s="40"/>
      <c r="AI373" s="40" t="n">
        <f aca="false">+IF(Tabla[[#This Row],[FECHA PAGO / ABONO]]&lt;1,0,(MONTH(Tabla[[#This Row],[FECHA PAGO / ABONO]])))</f>
        <v>0</v>
      </c>
      <c r="AJ373" s="40" t="n">
        <f aca="false">+IF(Tabla[[#This Row],[FECHA PAGO / ABONO]]&lt;1,0,(YEAR(Tabla[[#This Row],[FECHA PAGO / ABONO]])))</f>
        <v>0</v>
      </c>
      <c r="AK373" s="41"/>
    </row>
    <row r="374" customFormat="false" ht="14.25" hidden="false" customHeight="false" outlineLevel="0" collapsed="false">
      <c r="A374" s="28" t="s">
        <v>101</v>
      </c>
      <c r="B374" s="29" t="s">
        <v>102</v>
      </c>
      <c r="C374" s="29" t="s">
        <v>69</v>
      </c>
      <c r="D374" s="21" t="n">
        <v>29662766</v>
      </c>
      <c r="E374" s="21" t="str">
        <f aca="false">+CONCATENATE(Tabla[[#This Row],[RUT]],Tabla[[#This Row],[PROVEEDOR]],Tabla[[#This Row],[FACTURA]])</f>
        <v>97006000-6BANCO DE CREDITO E INVERSIONES29662766</v>
      </c>
      <c r="F374" s="57" t="n">
        <v>46092</v>
      </c>
      <c r="G374" s="31" t="n">
        <f aca="false">+F374+30</f>
        <v>46122</v>
      </c>
      <c r="H374" s="29" t="n">
        <f aca="true">+IF(AE374="PAGADA",0,TODAY()-G374)</f>
        <v>0</v>
      </c>
      <c r="I374" s="29" t="str">
        <f aca="false">+IF(H374&gt;180,"Atrasada",IF(H374&gt;150,"150 dias",IF(H374&gt;120,"120 dias",IF(H374&gt;90,"90 dias",IF(H374&gt;60,"60 dias",IF(H374&gt;30,"30 dias","Al Día"))))))</f>
        <v>Al Día</v>
      </c>
      <c r="J374" s="32" t="s">
        <v>31</v>
      </c>
      <c r="K374" s="29" t="s">
        <v>81</v>
      </c>
      <c r="L374" s="33" t="s">
        <v>277</v>
      </c>
      <c r="M374" s="29" t="n">
        <f aca="false">+YEAR(F374)</f>
        <v>2026</v>
      </c>
      <c r="N374" s="29" t="n">
        <v>2026</v>
      </c>
      <c r="O374" s="29" t="n">
        <v>3</v>
      </c>
      <c r="P374" s="29" t="str">
        <f aca="false">+CONCATENATE(Tabla[[#This Row],[MES CAMPAÑA]],"/",Tabla[[#This Row],[AÑO CAMPAÑA]])</f>
        <v>3/2026</v>
      </c>
      <c r="Q374" s="29" t="s">
        <v>73</v>
      </c>
      <c r="R374" s="29"/>
      <c r="S374" s="34" t="n">
        <v>0</v>
      </c>
      <c r="T374" s="34" t="n">
        <v>1453</v>
      </c>
      <c r="U374" s="34" t="n">
        <v>276</v>
      </c>
      <c r="V374" s="29"/>
      <c r="W374" s="35" t="n">
        <v>1729</v>
      </c>
      <c r="X374" s="36" t="n">
        <f aca="false">+Tabla[[#This Row],[TOTAL]]</f>
        <v>1729</v>
      </c>
      <c r="Y374" s="37"/>
      <c r="Z374" s="37"/>
      <c r="AA374" s="37"/>
      <c r="AB374" s="38" t="n">
        <f aca="false">+W374-AC374</f>
        <v>0</v>
      </c>
      <c r="AC374" s="34" t="n">
        <f aca="false">+Tabla[[#This Row],[P4]]+Tabla[[#This Row],[P3]]+Tabla[[#This Row],[P2]]+Tabla[[#This Row],[P1]]</f>
        <v>1729</v>
      </c>
      <c r="AD374" s="34" t="n">
        <f aca="false">+W374-AC374</f>
        <v>0</v>
      </c>
      <c r="AE374" s="21" t="str">
        <f aca="false">IF(AB374&lt;1,"PAGADA","PENDIENTE")</f>
        <v>PAGADA</v>
      </c>
      <c r="AF374" s="21"/>
      <c r="AG374" s="29"/>
      <c r="AH374" s="40"/>
      <c r="AI374" s="40" t="n">
        <f aca="false">+IF(Tabla[[#This Row],[FECHA PAGO / ABONO]]&lt;1,0,(MONTH(Tabla[[#This Row],[FECHA PAGO / ABONO]])))</f>
        <v>0</v>
      </c>
      <c r="AJ374" s="40" t="n">
        <f aca="false">+IF(Tabla[[#This Row],[FECHA PAGO / ABONO]]&lt;1,0,(YEAR(Tabla[[#This Row],[FECHA PAGO / ABONO]])))</f>
        <v>0</v>
      </c>
      <c r="AK374" s="41"/>
    </row>
    <row r="375" customFormat="false" ht="14.25" hidden="false" customHeight="false" outlineLevel="0" collapsed="false">
      <c r="A375" s="28" t="s">
        <v>101</v>
      </c>
      <c r="B375" s="29" t="s">
        <v>102</v>
      </c>
      <c r="C375" s="29" t="s">
        <v>69</v>
      </c>
      <c r="D375" s="21" t="n">
        <v>29662767</v>
      </c>
      <c r="E375" s="21" t="str">
        <f aca="false">+CONCATENATE(Tabla[[#This Row],[RUT]],Tabla[[#This Row],[PROVEEDOR]],Tabla[[#This Row],[FACTURA]])</f>
        <v>97006000-6BANCO DE CREDITO E INVERSIONES29662767</v>
      </c>
      <c r="F375" s="57" t="n">
        <v>46092</v>
      </c>
      <c r="G375" s="31" t="n">
        <f aca="false">+F375+30</f>
        <v>46122</v>
      </c>
      <c r="H375" s="29" t="n">
        <f aca="true">+IF(AE375="PAGADA",0,TODAY()-G375)</f>
        <v>0</v>
      </c>
      <c r="I375" s="29" t="str">
        <f aca="false">+IF(H375&gt;180,"Atrasada",IF(H375&gt;150,"150 dias",IF(H375&gt;120,"120 dias",IF(H375&gt;90,"90 dias",IF(H375&gt;60,"60 dias",IF(H375&gt;30,"30 dias","Al Día"))))))</f>
        <v>Al Día</v>
      </c>
      <c r="J375" s="32" t="s">
        <v>31</v>
      </c>
      <c r="K375" s="29" t="s">
        <v>81</v>
      </c>
      <c r="L375" s="33" t="s">
        <v>277</v>
      </c>
      <c r="M375" s="29" t="n">
        <f aca="false">+YEAR(F375)</f>
        <v>2026</v>
      </c>
      <c r="N375" s="29" t="n">
        <v>2026</v>
      </c>
      <c r="O375" s="29" t="n">
        <v>3</v>
      </c>
      <c r="P375" s="29" t="str">
        <f aca="false">+CONCATENATE(Tabla[[#This Row],[MES CAMPAÑA]],"/",Tabla[[#This Row],[AÑO CAMPAÑA]])</f>
        <v>3/2026</v>
      </c>
      <c r="Q375" s="29" t="s">
        <v>73</v>
      </c>
      <c r="R375" s="29"/>
      <c r="S375" s="34" t="n">
        <v>0</v>
      </c>
      <c r="T375" s="34" t="n">
        <v>2408</v>
      </c>
      <c r="U375" s="34" t="n">
        <v>458</v>
      </c>
      <c r="V375" s="29"/>
      <c r="W375" s="35" t="n">
        <v>2866</v>
      </c>
      <c r="X375" s="36" t="n">
        <f aca="false">+Tabla[[#This Row],[TOTAL]]</f>
        <v>2866</v>
      </c>
      <c r="Y375" s="37"/>
      <c r="Z375" s="37"/>
      <c r="AA375" s="37"/>
      <c r="AB375" s="38" t="n">
        <f aca="false">+W375-AC375</f>
        <v>0</v>
      </c>
      <c r="AC375" s="34" t="n">
        <f aca="false">+Tabla[[#This Row],[P4]]+Tabla[[#This Row],[P3]]+Tabla[[#This Row],[P2]]+Tabla[[#This Row],[P1]]</f>
        <v>2866</v>
      </c>
      <c r="AD375" s="34" t="n">
        <f aca="false">+W375-AC375</f>
        <v>0</v>
      </c>
      <c r="AE375" s="21" t="str">
        <f aca="false">IF(AB375&lt;1,"PAGADA","PENDIENTE")</f>
        <v>PAGADA</v>
      </c>
      <c r="AF375" s="21"/>
      <c r="AG375" s="29"/>
      <c r="AH375" s="40"/>
      <c r="AI375" s="40" t="n">
        <f aca="false">+IF(Tabla[[#This Row],[FECHA PAGO / ABONO]]&lt;1,0,(MONTH(Tabla[[#This Row],[FECHA PAGO / ABONO]])))</f>
        <v>0</v>
      </c>
      <c r="AJ375" s="40" t="n">
        <f aca="false">+IF(Tabla[[#This Row],[FECHA PAGO / ABONO]]&lt;1,0,(YEAR(Tabla[[#This Row],[FECHA PAGO / ABONO]])))</f>
        <v>0</v>
      </c>
      <c r="AK375" s="41"/>
    </row>
    <row r="376" customFormat="false" ht="14.25" hidden="false" customHeight="false" outlineLevel="0" collapsed="false">
      <c r="A376" s="28" t="s">
        <v>101</v>
      </c>
      <c r="B376" s="29" t="s">
        <v>102</v>
      </c>
      <c r="C376" s="29" t="s">
        <v>69</v>
      </c>
      <c r="D376" s="21" t="n">
        <v>29662768</v>
      </c>
      <c r="E376" s="21" t="str">
        <f aca="false">+CONCATENATE(Tabla[[#This Row],[RUT]],Tabla[[#This Row],[PROVEEDOR]],Tabla[[#This Row],[FACTURA]])</f>
        <v>97006000-6BANCO DE CREDITO E INVERSIONES29662768</v>
      </c>
      <c r="F376" s="57" t="n">
        <v>46092</v>
      </c>
      <c r="G376" s="31" t="n">
        <f aca="false">+F376+30</f>
        <v>46122</v>
      </c>
      <c r="H376" s="29" t="n">
        <f aca="true">+IF(AE376="PAGADA",0,TODAY()-G376)</f>
        <v>0</v>
      </c>
      <c r="I376" s="29" t="str">
        <f aca="false">+IF(H376&gt;180,"Atrasada",IF(H376&gt;150,"150 dias",IF(H376&gt;120,"120 dias",IF(H376&gt;90,"90 dias",IF(H376&gt;60,"60 dias",IF(H376&gt;30,"30 dias","Al Día"))))))</f>
        <v>Al Día</v>
      </c>
      <c r="J376" s="32" t="s">
        <v>31</v>
      </c>
      <c r="K376" s="29" t="s">
        <v>81</v>
      </c>
      <c r="L376" s="33" t="s">
        <v>277</v>
      </c>
      <c r="M376" s="29" t="n">
        <f aca="false">+YEAR(F376)</f>
        <v>2026</v>
      </c>
      <c r="N376" s="29" t="n">
        <v>2026</v>
      </c>
      <c r="O376" s="29" t="n">
        <v>3</v>
      </c>
      <c r="P376" s="29" t="str">
        <f aca="false">+CONCATENATE(Tabla[[#This Row],[MES CAMPAÑA]],"/",Tabla[[#This Row],[AÑO CAMPAÑA]])</f>
        <v>3/2026</v>
      </c>
      <c r="Q376" s="29" t="s">
        <v>73</v>
      </c>
      <c r="R376" s="29"/>
      <c r="S376" s="34" t="n">
        <v>0</v>
      </c>
      <c r="T376" s="34" t="n">
        <v>1250</v>
      </c>
      <c r="U376" s="34" t="n">
        <v>238</v>
      </c>
      <c r="V376" s="29"/>
      <c r="W376" s="35" t="n">
        <v>1488</v>
      </c>
      <c r="X376" s="36" t="n">
        <f aca="false">+Tabla[[#This Row],[TOTAL]]</f>
        <v>1488</v>
      </c>
      <c r="Y376" s="37"/>
      <c r="Z376" s="37"/>
      <c r="AA376" s="37"/>
      <c r="AB376" s="38" t="n">
        <f aca="false">+W376-AC376</f>
        <v>0</v>
      </c>
      <c r="AC376" s="34" t="n">
        <f aca="false">+Tabla[[#This Row],[P4]]+Tabla[[#This Row],[P3]]+Tabla[[#This Row],[P2]]+Tabla[[#This Row],[P1]]</f>
        <v>1488</v>
      </c>
      <c r="AD376" s="34" t="n">
        <f aca="false">+W376-AC376</f>
        <v>0</v>
      </c>
      <c r="AE376" s="21" t="str">
        <f aca="false">IF(AB376&lt;1,"PAGADA","PENDIENTE")</f>
        <v>PAGADA</v>
      </c>
      <c r="AF376" s="21"/>
      <c r="AG376" s="29"/>
      <c r="AH376" s="40"/>
      <c r="AI376" s="40" t="n">
        <f aca="false">+IF(Tabla[[#This Row],[FECHA PAGO / ABONO]]&lt;1,0,(MONTH(Tabla[[#This Row],[FECHA PAGO / ABONO]])))</f>
        <v>0</v>
      </c>
      <c r="AJ376" s="40" t="n">
        <f aca="false">+IF(Tabla[[#This Row],[FECHA PAGO / ABONO]]&lt;1,0,(YEAR(Tabla[[#This Row],[FECHA PAGO / ABONO]])))</f>
        <v>0</v>
      </c>
      <c r="AK376" s="41"/>
    </row>
    <row r="377" customFormat="false" ht="14.25" hidden="false" customHeight="false" outlineLevel="0" collapsed="false">
      <c r="A377" s="28" t="s">
        <v>101</v>
      </c>
      <c r="B377" s="29" t="s">
        <v>102</v>
      </c>
      <c r="C377" s="29" t="s">
        <v>69</v>
      </c>
      <c r="D377" s="21" t="n">
        <v>29662769</v>
      </c>
      <c r="E377" s="21" t="str">
        <f aca="false">+CONCATENATE(Tabla[[#This Row],[RUT]],Tabla[[#This Row],[PROVEEDOR]],Tabla[[#This Row],[FACTURA]])</f>
        <v>97006000-6BANCO DE CREDITO E INVERSIONES29662769</v>
      </c>
      <c r="F377" s="57" t="n">
        <v>46092</v>
      </c>
      <c r="G377" s="31" t="n">
        <f aca="false">+F377+30</f>
        <v>46122</v>
      </c>
      <c r="H377" s="29" t="n">
        <f aca="true">+IF(AE377="PAGADA",0,TODAY()-G377)</f>
        <v>0</v>
      </c>
      <c r="I377" s="29" t="str">
        <f aca="false">+IF(H377&gt;180,"Atrasada",IF(H377&gt;150,"150 dias",IF(H377&gt;120,"120 dias",IF(H377&gt;90,"90 dias",IF(H377&gt;60,"60 dias",IF(H377&gt;30,"30 dias","Al Día"))))))</f>
        <v>Al Día</v>
      </c>
      <c r="J377" s="32" t="s">
        <v>31</v>
      </c>
      <c r="K377" s="29" t="s">
        <v>81</v>
      </c>
      <c r="L377" s="33" t="s">
        <v>277</v>
      </c>
      <c r="M377" s="29" t="n">
        <f aca="false">+YEAR(F377)</f>
        <v>2026</v>
      </c>
      <c r="N377" s="29" t="n">
        <v>2026</v>
      </c>
      <c r="O377" s="29" t="n">
        <v>3</v>
      </c>
      <c r="P377" s="29" t="str">
        <f aca="false">+CONCATENATE(Tabla[[#This Row],[MES CAMPAÑA]],"/",Tabla[[#This Row],[AÑO CAMPAÑA]])</f>
        <v>3/2026</v>
      </c>
      <c r="Q377" s="29" t="s">
        <v>73</v>
      </c>
      <c r="R377" s="29"/>
      <c r="S377" s="34" t="n">
        <v>0</v>
      </c>
      <c r="T377" s="34" t="n">
        <v>155165</v>
      </c>
      <c r="U377" s="34" t="n">
        <v>29481</v>
      </c>
      <c r="V377" s="29"/>
      <c r="W377" s="35" t="n">
        <v>184646</v>
      </c>
      <c r="X377" s="36" t="n">
        <f aca="false">+Tabla[[#This Row],[TOTAL]]</f>
        <v>184646</v>
      </c>
      <c r="Y377" s="37"/>
      <c r="Z377" s="37"/>
      <c r="AA377" s="37"/>
      <c r="AB377" s="38" t="n">
        <f aca="false">+W377-AC377</f>
        <v>0</v>
      </c>
      <c r="AC377" s="34" t="n">
        <f aca="false">+Tabla[[#This Row],[P4]]+Tabla[[#This Row],[P3]]+Tabla[[#This Row],[P2]]+Tabla[[#This Row],[P1]]</f>
        <v>184646</v>
      </c>
      <c r="AD377" s="34" t="n">
        <f aca="false">+W377-AC377</f>
        <v>0</v>
      </c>
      <c r="AE377" s="21" t="str">
        <f aca="false">IF(AB377&lt;1,"PAGADA","PENDIENTE")</f>
        <v>PAGADA</v>
      </c>
      <c r="AF377" s="21"/>
      <c r="AG377" s="29"/>
      <c r="AH377" s="40"/>
      <c r="AI377" s="40" t="n">
        <f aca="false">+IF(Tabla[[#This Row],[FECHA PAGO / ABONO]]&lt;1,0,(MONTH(Tabla[[#This Row],[FECHA PAGO / ABONO]])))</f>
        <v>0</v>
      </c>
      <c r="AJ377" s="40" t="n">
        <f aca="false">+IF(Tabla[[#This Row],[FECHA PAGO / ABONO]]&lt;1,0,(YEAR(Tabla[[#This Row],[FECHA PAGO / ABONO]])))</f>
        <v>0</v>
      </c>
      <c r="AK377" s="41"/>
    </row>
    <row r="378" customFormat="false" ht="14.25" hidden="false" customHeight="false" outlineLevel="0" collapsed="false">
      <c r="A378" s="28" t="s">
        <v>101</v>
      </c>
      <c r="B378" s="29" t="s">
        <v>102</v>
      </c>
      <c r="C378" s="29" t="s">
        <v>69</v>
      </c>
      <c r="D378" s="21" t="n">
        <v>29662770</v>
      </c>
      <c r="E378" s="21" t="str">
        <f aca="false">+CONCATENATE(Tabla[[#This Row],[RUT]],Tabla[[#This Row],[PROVEEDOR]],Tabla[[#This Row],[FACTURA]])</f>
        <v>97006000-6BANCO DE CREDITO E INVERSIONES29662770</v>
      </c>
      <c r="F378" s="57" t="n">
        <v>46092</v>
      </c>
      <c r="G378" s="31" t="n">
        <f aca="false">+F378+30</f>
        <v>46122</v>
      </c>
      <c r="H378" s="29" t="n">
        <f aca="true">+IF(AE378="PAGADA",0,TODAY()-G378)</f>
        <v>0</v>
      </c>
      <c r="I378" s="29" t="str">
        <f aca="false">+IF(H378&gt;180,"Atrasada",IF(H378&gt;150,"150 dias",IF(H378&gt;120,"120 dias",IF(H378&gt;90,"90 dias",IF(H378&gt;60,"60 dias",IF(H378&gt;30,"30 dias","Al Día"))))))</f>
        <v>Al Día</v>
      </c>
      <c r="J378" s="32" t="s">
        <v>31</v>
      </c>
      <c r="K378" s="29" t="s">
        <v>81</v>
      </c>
      <c r="L378" s="33" t="s">
        <v>277</v>
      </c>
      <c r="M378" s="29" t="n">
        <f aca="false">+YEAR(F378)</f>
        <v>2026</v>
      </c>
      <c r="N378" s="29" t="n">
        <v>2026</v>
      </c>
      <c r="O378" s="29" t="n">
        <v>3</v>
      </c>
      <c r="P378" s="29" t="str">
        <f aca="false">+CONCATENATE(Tabla[[#This Row],[MES CAMPAÑA]],"/",Tabla[[#This Row],[AÑO CAMPAÑA]])</f>
        <v>3/2026</v>
      </c>
      <c r="Q378" s="29" t="s">
        <v>73</v>
      </c>
      <c r="R378" s="29"/>
      <c r="S378" s="34" t="n">
        <v>0</v>
      </c>
      <c r="T378" s="34" t="n">
        <v>2091</v>
      </c>
      <c r="U378" s="34" t="n">
        <v>397</v>
      </c>
      <c r="V378" s="29"/>
      <c r="W378" s="35" t="n">
        <v>2488</v>
      </c>
      <c r="X378" s="36" t="n">
        <f aca="false">+Tabla[[#This Row],[TOTAL]]</f>
        <v>2488</v>
      </c>
      <c r="Y378" s="37"/>
      <c r="Z378" s="37"/>
      <c r="AA378" s="37"/>
      <c r="AB378" s="38" t="n">
        <f aca="false">+W378-AC378</f>
        <v>0</v>
      </c>
      <c r="AC378" s="34" t="n">
        <f aca="false">+Tabla[[#This Row],[P4]]+Tabla[[#This Row],[P3]]+Tabla[[#This Row],[P2]]+Tabla[[#This Row],[P1]]</f>
        <v>2488</v>
      </c>
      <c r="AD378" s="34" t="n">
        <f aca="false">+W378-AC378</f>
        <v>0</v>
      </c>
      <c r="AE378" s="21" t="str">
        <f aca="false">IF(AB378&lt;1,"PAGADA","PENDIENTE")</f>
        <v>PAGADA</v>
      </c>
      <c r="AF378" s="21"/>
      <c r="AG378" s="29"/>
      <c r="AH378" s="40"/>
      <c r="AI378" s="40" t="n">
        <f aca="false">+IF(Tabla[[#This Row],[FECHA PAGO / ABONO]]&lt;1,0,(MONTH(Tabla[[#This Row],[FECHA PAGO / ABONO]])))</f>
        <v>0</v>
      </c>
      <c r="AJ378" s="40" t="n">
        <f aca="false">+IF(Tabla[[#This Row],[FECHA PAGO / ABONO]]&lt;1,0,(YEAR(Tabla[[#This Row],[FECHA PAGO / ABONO]])))</f>
        <v>0</v>
      </c>
      <c r="AK378" s="41"/>
    </row>
    <row r="379" customFormat="false" ht="14.25" hidden="false" customHeight="false" outlineLevel="0" collapsed="false">
      <c r="A379" s="28" t="s">
        <v>101</v>
      </c>
      <c r="B379" s="29" t="s">
        <v>102</v>
      </c>
      <c r="C379" s="29" t="s">
        <v>69</v>
      </c>
      <c r="D379" s="21" t="n">
        <v>29662771</v>
      </c>
      <c r="E379" s="21" t="str">
        <f aca="false">+CONCATENATE(Tabla[[#This Row],[RUT]],Tabla[[#This Row],[PROVEEDOR]],Tabla[[#This Row],[FACTURA]])</f>
        <v>97006000-6BANCO DE CREDITO E INVERSIONES29662771</v>
      </c>
      <c r="F379" s="57" t="n">
        <v>46092</v>
      </c>
      <c r="G379" s="31" t="n">
        <f aca="false">+F379+30</f>
        <v>46122</v>
      </c>
      <c r="H379" s="29" t="n">
        <f aca="true">+IF(AE379="PAGADA",0,TODAY()-G379)</f>
        <v>0</v>
      </c>
      <c r="I379" s="29" t="str">
        <f aca="false">+IF(H379&gt;180,"Atrasada",IF(H379&gt;150,"150 dias",IF(H379&gt;120,"120 dias",IF(H379&gt;90,"90 dias",IF(H379&gt;60,"60 dias",IF(H379&gt;30,"30 dias","Al Día"))))))</f>
        <v>Al Día</v>
      </c>
      <c r="J379" s="32" t="s">
        <v>31</v>
      </c>
      <c r="K379" s="29" t="s">
        <v>81</v>
      </c>
      <c r="L379" s="33" t="s">
        <v>277</v>
      </c>
      <c r="M379" s="29" t="n">
        <f aca="false">+YEAR(F379)</f>
        <v>2026</v>
      </c>
      <c r="N379" s="29" t="n">
        <v>2026</v>
      </c>
      <c r="O379" s="29" t="n">
        <v>3</v>
      </c>
      <c r="P379" s="29" t="str">
        <f aca="false">+CONCATENATE(Tabla[[#This Row],[MES CAMPAÑA]],"/",Tabla[[#This Row],[AÑO CAMPAÑA]])</f>
        <v>3/2026</v>
      </c>
      <c r="Q379" s="29" t="s">
        <v>73</v>
      </c>
      <c r="R379" s="29"/>
      <c r="S379" s="34" t="n">
        <v>0</v>
      </c>
      <c r="T379" s="34" t="n">
        <v>3341</v>
      </c>
      <c r="U379" s="34" t="n">
        <v>635</v>
      </c>
      <c r="V379" s="29"/>
      <c r="W379" s="35" t="n">
        <v>3976</v>
      </c>
      <c r="X379" s="36" t="n">
        <f aca="false">+Tabla[[#This Row],[TOTAL]]</f>
        <v>3976</v>
      </c>
      <c r="Y379" s="37"/>
      <c r="Z379" s="37"/>
      <c r="AA379" s="37"/>
      <c r="AB379" s="38" t="n">
        <f aca="false">+W379-AC379</f>
        <v>0</v>
      </c>
      <c r="AC379" s="34" t="n">
        <f aca="false">+Tabla[[#This Row],[P4]]+Tabla[[#This Row],[P3]]+Tabla[[#This Row],[P2]]+Tabla[[#This Row],[P1]]</f>
        <v>3976</v>
      </c>
      <c r="AD379" s="34" t="n">
        <f aca="false">+W379-AC379</f>
        <v>0</v>
      </c>
      <c r="AE379" s="21" t="str">
        <f aca="false">IF(AB379&lt;1,"PAGADA","PENDIENTE")</f>
        <v>PAGADA</v>
      </c>
      <c r="AF379" s="21"/>
      <c r="AG379" s="29"/>
      <c r="AH379" s="40"/>
      <c r="AI379" s="40" t="n">
        <f aca="false">+IF(Tabla[[#This Row],[FECHA PAGO / ABONO]]&lt;1,0,(MONTH(Tabla[[#This Row],[FECHA PAGO / ABONO]])))</f>
        <v>0</v>
      </c>
      <c r="AJ379" s="40" t="n">
        <f aca="false">+IF(Tabla[[#This Row],[FECHA PAGO / ABONO]]&lt;1,0,(YEAR(Tabla[[#This Row],[FECHA PAGO / ABONO]])))</f>
        <v>0</v>
      </c>
      <c r="AK379" s="41"/>
    </row>
    <row r="380" customFormat="false" ht="14.25" hidden="false" customHeight="false" outlineLevel="0" collapsed="false">
      <c r="A380" s="28" t="s">
        <v>101</v>
      </c>
      <c r="B380" s="29" t="s">
        <v>102</v>
      </c>
      <c r="C380" s="29" t="s">
        <v>69</v>
      </c>
      <c r="D380" s="21" t="n">
        <v>29662772</v>
      </c>
      <c r="E380" s="21" t="str">
        <f aca="false">+CONCATENATE(Tabla[[#This Row],[RUT]],Tabla[[#This Row],[PROVEEDOR]],Tabla[[#This Row],[FACTURA]])</f>
        <v>97006000-6BANCO DE CREDITO E INVERSIONES29662772</v>
      </c>
      <c r="F380" s="57" t="n">
        <v>46092</v>
      </c>
      <c r="G380" s="31" t="n">
        <f aca="false">+F380+30</f>
        <v>46122</v>
      </c>
      <c r="H380" s="29" t="n">
        <f aca="true">+IF(AE380="PAGADA",0,TODAY()-G380)</f>
        <v>0</v>
      </c>
      <c r="I380" s="29" t="str">
        <f aca="false">+IF(H380&gt;180,"Atrasada",IF(H380&gt;150,"150 dias",IF(H380&gt;120,"120 dias",IF(H380&gt;90,"90 dias",IF(H380&gt;60,"60 dias",IF(H380&gt;30,"30 dias","Al Día"))))))</f>
        <v>Al Día</v>
      </c>
      <c r="J380" s="32" t="s">
        <v>31</v>
      </c>
      <c r="K380" s="29" t="s">
        <v>81</v>
      </c>
      <c r="L380" s="33" t="s">
        <v>277</v>
      </c>
      <c r="M380" s="29" t="n">
        <f aca="false">+YEAR(F380)</f>
        <v>2026</v>
      </c>
      <c r="N380" s="29" t="n">
        <v>2026</v>
      </c>
      <c r="O380" s="29" t="n">
        <v>3</v>
      </c>
      <c r="P380" s="29" t="str">
        <f aca="false">+CONCATENATE(Tabla[[#This Row],[MES CAMPAÑA]],"/",Tabla[[#This Row],[AÑO CAMPAÑA]])</f>
        <v>3/2026</v>
      </c>
      <c r="Q380" s="29" t="s">
        <v>73</v>
      </c>
      <c r="R380" s="29"/>
      <c r="S380" s="34" t="n">
        <v>0</v>
      </c>
      <c r="T380" s="34" t="n">
        <v>112004</v>
      </c>
      <c r="U380" s="34" t="n">
        <v>21281</v>
      </c>
      <c r="V380" s="29"/>
      <c r="W380" s="35" t="n">
        <v>133285</v>
      </c>
      <c r="X380" s="36" t="n">
        <f aca="false">+Tabla[[#This Row],[TOTAL]]</f>
        <v>133285</v>
      </c>
      <c r="Y380" s="37"/>
      <c r="Z380" s="37"/>
      <c r="AA380" s="37"/>
      <c r="AB380" s="38" t="n">
        <f aca="false">+W380-AC380</f>
        <v>0</v>
      </c>
      <c r="AC380" s="34" t="n">
        <f aca="false">+Tabla[[#This Row],[P4]]+Tabla[[#This Row],[P3]]+Tabla[[#This Row],[P2]]+Tabla[[#This Row],[P1]]</f>
        <v>133285</v>
      </c>
      <c r="AD380" s="34" t="n">
        <f aca="false">+W380-AC380</f>
        <v>0</v>
      </c>
      <c r="AE380" s="21" t="str">
        <f aca="false">IF(AB380&lt;1,"PAGADA","PENDIENTE")</f>
        <v>PAGADA</v>
      </c>
      <c r="AF380" s="21"/>
      <c r="AG380" s="29"/>
      <c r="AH380" s="40"/>
      <c r="AI380" s="40" t="n">
        <f aca="false">+IF(Tabla[[#This Row],[FECHA PAGO / ABONO]]&lt;1,0,(MONTH(Tabla[[#This Row],[FECHA PAGO / ABONO]])))</f>
        <v>0</v>
      </c>
      <c r="AJ380" s="40" t="n">
        <f aca="false">+IF(Tabla[[#This Row],[FECHA PAGO / ABONO]]&lt;1,0,(YEAR(Tabla[[#This Row],[FECHA PAGO / ABONO]])))</f>
        <v>0</v>
      </c>
      <c r="AK380" s="41"/>
    </row>
    <row r="381" customFormat="false" ht="14.25" hidden="false" customHeight="false" outlineLevel="0" collapsed="false">
      <c r="A381" s="28" t="s">
        <v>101</v>
      </c>
      <c r="B381" s="29" t="s">
        <v>102</v>
      </c>
      <c r="C381" s="29" t="s">
        <v>69</v>
      </c>
      <c r="D381" s="21" t="n">
        <v>29662773</v>
      </c>
      <c r="E381" s="21" t="str">
        <f aca="false">+CONCATENATE(Tabla[[#This Row],[RUT]],Tabla[[#This Row],[PROVEEDOR]],Tabla[[#This Row],[FACTURA]])</f>
        <v>97006000-6BANCO DE CREDITO E INVERSIONES29662773</v>
      </c>
      <c r="F381" s="57" t="n">
        <v>46092</v>
      </c>
      <c r="G381" s="31" t="n">
        <f aca="false">+F381+30</f>
        <v>46122</v>
      </c>
      <c r="H381" s="29" t="n">
        <f aca="true">+IF(AE381="PAGADA",0,TODAY()-G381)</f>
        <v>0</v>
      </c>
      <c r="I381" s="29" t="str">
        <f aca="false">+IF(H381&gt;180,"Atrasada",IF(H381&gt;150,"150 dias",IF(H381&gt;120,"120 dias",IF(H381&gt;90,"90 dias",IF(H381&gt;60,"60 dias",IF(H381&gt;30,"30 dias","Al Día"))))))</f>
        <v>Al Día</v>
      </c>
      <c r="J381" s="32" t="s">
        <v>31</v>
      </c>
      <c r="K381" s="29" t="s">
        <v>81</v>
      </c>
      <c r="L381" s="33" t="s">
        <v>277</v>
      </c>
      <c r="M381" s="29" t="n">
        <f aca="false">+YEAR(F381)</f>
        <v>2026</v>
      </c>
      <c r="N381" s="29" t="n">
        <v>2026</v>
      </c>
      <c r="O381" s="29" t="n">
        <v>3</v>
      </c>
      <c r="P381" s="29" t="str">
        <f aca="false">+CONCATENATE(Tabla[[#This Row],[MES CAMPAÑA]],"/",Tabla[[#This Row],[AÑO CAMPAÑA]])</f>
        <v>3/2026</v>
      </c>
      <c r="Q381" s="29" t="s">
        <v>73</v>
      </c>
      <c r="R381" s="29"/>
      <c r="S381" s="34" t="n">
        <v>0</v>
      </c>
      <c r="T381" s="34" t="n">
        <v>3341</v>
      </c>
      <c r="U381" s="34" t="n">
        <v>635</v>
      </c>
      <c r="V381" s="29"/>
      <c r="W381" s="35" t="n">
        <v>3976</v>
      </c>
      <c r="X381" s="36" t="n">
        <f aca="false">+Tabla[[#This Row],[TOTAL]]</f>
        <v>3976</v>
      </c>
      <c r="Y381" s="37"/>
      <c r="Z381" s="37"/>
      <c r="AA381" s="37"/>
      <c r="AB381" s="38" t="n">
        <f aca="false">+W381-AC381</f>
        <v>0</v>
      </c>
      <c r="AC381" s="34" t="n">
        <f aca="false">+Tabla[[#This Row],[P4]]+Tabla[[#This Row],[P3]]+Tabla[[#This Row],[P2]]+Tabla[[#This Row],[P1]]</f>
        <v>3976</v>
      </c>
      <c r="AD381" s="34" t="n">
        <f aca="false">+W381-AC381</f>
        <v>0</v>
      </c>
      <c r="AE381" s="21" t="str">
        <f aca="false">IF(AB381&lt;1,"PAGADA","PENDIENTE")</f>
        <v>PAGADA</v>
      </c>
      <c r="AF381" s="21"/>
      <c r="AG381" s="29"/>
      <c r="AH381" s="40"/>
      <c r="AI381" s="40" t="n">
        <f aca="false">+IF(Tabla[[#This Row],[FECHA PAGO / ABONO]]&lt;1,0,(MONTH(Tabla[[#This Row],[FECHA PAGO / ABONO]])))</f>
        <v>0</v>
      </c>
      <c r="AJ381" s="40" t="n">
        <f aca="false">+IF(Tabla[[#This Row],[FECHA PAGO / ABONO]]&lt;1,0,(YEAR(Tabla[[#This Row],[FECHA PAGO / ABONO]])))</f>
        <v>0</v>
      </c>
      <c r="AK381" s="41"/>
    </row>
    <row r="382" customFormat="false" ht="14.25" hidden="false" customHeight="false" outlineLevel="0" collapsed="false">
      <c r="A382" s="28" t="s">
        <v>101</v>
      </c>
      <c r="B382" s="29" t="s">
        <v>102</v>
      </c>
      <c r="C382" s="29" t="s">
        <v>69</v>
      </c>
      <c r="D382" s="21" t="n">
        <v>29662774</v>
      </c>
      <c r="E382" s="21" t="str">
        <f aca="false">+CONCATENATE(Tabla[[#This Row],[RUT]],Tabla[[#This Row],[PROVEEDOR]],Tabla[[#This Row],[FACTURA]])</f>
        <v>97006000-6BANCO DE CREDITO E INVERSIONES29662774</v>
      </c>
      <c r="F382" s="57" t="n">
        <v>46092</v>
      </c>
      <c r="G382" s="31" t="n">
        <f aca="false">+F382+30</f>
        <v>46122</v>
      </c>
      <c r="H382" s="29" t="n">
        <f aca="true">+IF(AE382="PAGADA",0,TODAY()-G382)</f>
        <v>0</v>
      </c>
      <c r="I382" s="29" t="str">
        <f aca="false">+IF(H382&gt;180,"Atrasada",IF(H382&gt;150,"150 dias",IF(H382&gt;120,"120 dias",IF(H382&gt;90,"90 dias",IF(H382&gt;60,"60 dias",IF(H382&gt;30,"30 dias","Al Día"))))))</f>
        <v>Al Día</v>
      </c>
      <c r="J382" s="32" t="s">
        <v>31</v>
      </c>
      <c r="K382" s="29" t="s">
        <v>81</v>
      </c>
      <c r="L382" s="33" t="s">
        <v>277</v>
      </c>
      <c r="M382" s="29" t="n">
        <f aca="false">+YEAR(F382)</f>
        <v>2026</v>
      </c>
      <c r="N382" s="29" t="n">
        <v>2026</v>
      </c>
      <c r="O382" s="29" t="n">
        <v>3</v>
      </c>
      <c r="P382" s="29" t="str">
        <f aca="false">+CONCATENATE(Tabla[[#This Row],[MES CAMPAÑA]],"/",Tabla[[#This Row],[AÑO CAMPAÑA]])</f>
        <v>3/2026</v>
      </c>
      <c r="Q382" s="29" t="s">
        <v>73</v>
      </c>
      <c r="R382" s="29"/>
      <c r="S382" s="34" t="n">
        <v>0</v>
      </c>
      <c r="T382" s="34" t="n">
        <v>2733</v>
      </c>
      <c r="U382" s="34" t="n">
        <v>519</v>
      </c>
      <c r="V382" s="29"/>
      <c r="W382" s="35" t="n">
        <v>3252</v>
      </c>
      <c r="X382" s="36" t="n">
        <f aca="false">+Tabla[[#This Row],[TOTAL]]</f>
        <v>3252</v>
      </c>
      <c r="Y382" s="37"/>
      <c r="Z382" s="37"/>
      <c r="AA382" s="37"/>
      <c r="AB382" s="38" t="n">
        <f aca="false">+W382-AC382</f>
        <v>0</v>
      </c>
      <c r="AC382" s="34" t="n">
        <f aca="false">+Tabla[[#This Row],[P4]]+Tabla[[#This Row],[P3]]+Tabla[[#This Row],[P2]]+Tabla[[#This Row],[P1]]</f>
        <v>3252</v>
      </c>
      <c r="AD382" s="34" t="n">
        <f aca="false">+W382-AC382</f>
        <v>0</v>
      </c>
      <c r="AE382" s="21" t="str">
        <f aca="false">IF(AB382&lt;1,"PAGADA","PENDIENTE")</f>
        <v>PAGADA</v>
      </c>
      <c r="AF382" s="21"/>
      <c r="AG382" s="29"/>
      <c r="AH382" s="40"/>
      <c r="AI382" s="40" t="n">
        <f aca="false">+IF(Tabla[[#This Row],[FECHA PAGO / ABONO]]&lt;1,0,(MONTH(Tabla[[#This Row],[FECHA PAGO / ABONO]])))</f>
        <v>0</v>
      </c>
      <c r="AJ382" s="40" t="n">
        <f aca="false">+IF(Tabla[[#This Row],[FECHA PAGO / ABONO]]&lt;1,0,(YEAR(Tabla[[#This Row],[FECHA PAGO / ABONO]])))</f>
        <v>0</v>
      </c>
      <c r="AK382" s="41"/>
    </row>
    <row r="383" customFormat="false" ht="14.25" hidden="false" customHeight="false" outlineLevel="0" collapsed="false">
      <c r="A383" s="28" t="s">
        <v>101</v>
      </c>
      <c r="B383" s="29" t="s">
        <v>102</v>
      </c>
      <c r="C383" s="29" t="s">
        <v>69</v>
      </c>
      <c r="D383" s="21" t="n">
        <v>29662775</v>
      </c>
      <c r="E383" s="21" t="str">
        <f aca="false">+CONCATENATE(Tabla[[#This Row],[RUT]],Tabla[[#This Row],[PROVEEDOR]],Tabla[[#This Row],[FACTURA]])</f>
        <v>97006000-6BANCO DE CREDITO E INVERSIONES29662775</v>
      </c>
      <c r="F383" s="57" t="n">
        <v>46092</v>
      </c>
      <c r="G383" s="31" t="n">
        <f aca="false">+F383+30</f>
        <v>46122</v>
      </c>
      <c r="H383" s="29" t="n">
        <f aca="true">+IF(AE383="PAGADA",0,TODAY()-G383)</f>
        <v>0</v>
      </c>
      <c r="I383" s="29" t="str">
        <f aca="false">+IF(H383&gt;180,"Atrasada",IF(H383&gt;150,"150 dias",IF(H383&gt;120,"120 dias",IF(H383&gt;90,"90 dias",IF(H383&gt;60,"60 dias",IF(H383&gt;30,"30 dias","Al Día"))))))</f>
        <v>Al Día</v>
      </c>
      <c r="J383" s="32" t="s">
        <v>31</v>
      </c>
      <c r="K383" s="29" t="s">
        <v>81</v>
      </c>
      <c r="L383" s="33" t="s">
        <v>277</v>
      </c>
      <c r="M383" s="29" t="n">
        <f aca="false">+YEAR(F383)</f>
        <v>2026</v>
      </c>
      <c r="N383" s="29" t="n">
        <v>2026</v>
      </c>
      <c r="O383" s="29" t="n">
        <v>3</v>
      </c>
      <c r="P383" s="29" t="str">
        <f aca="false">+CONCATENATE(Tabla[[#This Row],[MES CAMPAÑA]],"/",Tabla[[#This Row],[AÑO CAMPAÑA]])</f>
        <v>3/2026</v>
      </c>
      <c r="Q383" s="29" t="s">
        <v>73</v>
      </c>
      <c r="R383" s="29"/>
      <c r="S383" s="34" t="n">
        <v>0</v>
      </c>
      <c r="T383" s="34" t="n">
        <v>2104</v>
      </c>
      <c r="U383" s="34" t="n">
        <v>400</v>
      </c>
      <c r="V383" s="29"/>
      <c r="W383" s="35" t="n">
        <v>2504</v>
      </c>
      <c r="X383" s="36" t="n">
        <f aca="false">+Tabla[[#This Row],[TOTAL]]</f>
        <v>2504</v>
      </c>
      <c r="Y383" s="37"/>
      <c r="Z383" s="37"/>
      <c r="AA383" s="37"/>
      <c r="AB383" s="38" t="n">
        <f aca="false">+W383-AC383</f>
        <v>0</v>
      </c>
      <c r="AC383" s="34" t="n">
        <f aca="false">+Tabla[[#This Row],[P4]]+Tabla[[#This Row],[P3]]+Tabla[[#This Row],[P2]]+Tabla[[#This Row],[P1]]</f>
        <v>2504</v>
      </c>
      <c r="AD383" s="34" t="n">
        <f aca="false">+W383-AC383</f>
        <v>0</v>
      </c>
      <c r="AE383" s="21" t="str">
        <f aca="false">IF(AB383&lt;1,"PAGADA","PENDIENTE")</f>
        <v>PAGADA</v>
      </c>
      <c r="AF383" s="21"/>
      <c r="AG383" s="29"/>
      <c r="AH383" s="40"/>
      <c r="AI383" s="40" t="n">
        <f aca="false">+IF(Tabla[[#This Row],[FECHA PAGO / ABONO]]&lt;1,0,(MONTH(Tabla[[#This Row],[FECHA PAGO / ABONO]])))</f>
        <v>0</v>
      </c>
      <c r="AJ383" s="40" t="n">
        <f aca="false">+IF(Tabla[[#This Row],[FECHA PAGO / ABONO]]&lt;1,0,(YEAR(Tabla[[#This Row],[FECHA PAGO / ABONO]])))</f>
        <v>0</v>
      </c>
      <c r="AK383" s="41"/>
    </row>
    <row r="384" customFormat="false" ht="14.25" hidden="false" customHeight="false" outlineLevel="0" collapsed="false">
      <c r="A384" s="28" t="s">
        <v>270</v>
      </c>
      <c r="B384" s="29" t="s">
        <v>271</v>
      </c>
      <c r="C384" s="29" t="s">
        <v>69</v>
      </c>
      <c r="D384" s="21" t="n">
        <v>3026619</v>
      </c>
      <c r="E384" s="21" t="str">
        <f aca="false">+CONCATENATE(Tabla[[#This Row],[RUT]],Tabla[[#This Row],[PROVEEDOR]],Tabla[[#This Row],[FACTURA]])</f>
        <v>87161100-9DIRECTV Chile TelevisiÃƒÂ³n Limitada3026619</v>
      </c>
      <c r="F384" s="57" t="n">
        <v>46092</v>
      </c>
      <c r="G384" s="31" t="n">
        <f aca="false">+F384+30</f>
        <v>46122</v>
      </c>
      <c r="H384" s="29" t="n">
        <f aca="true">+IF(AE384="PAGADA",0,TODAY()-G384)</f>
        <v>0</v>
      </c>
      <c r="I384" s="29" t="str">
        <f aca="false">+IF(H384&gt;180,"Atrasada",IF(H384&gt;150,"150 dias",IF(H384&gt;120,"120 dias",IF(H384&gt;90,"90 dias",IF(H384&gt;60,"60 dias",IF(H384&gt;30,"30 dias","Al Día"))))))</f>
        <v>Al Día</v>
      </c>
      <c r="J384" s="32" t="s">
        <v>31</v>
      </c>
      <c r="K384" s="29" t="s">
        <v>81</v>
      </c>
      <c r="L384" s="33" t="s">
        <v>277</v>
      </c>
      <c r="M384" s="29" t="n">
        <f aca="false">+YEAR(F384)</f>
        <v>2026</v>
      </c>
      <c r="N384" s="29" t="n">
        <v>2026</v>
      </c>
      <c r="O384" s="29" t="n">
        <v>3</v>
      </c>
      <c r="P384" s="29" t="str">
        <f aca="false">+CONCATENATE(Tabla[[#This Row],[MES CAMPAÑA]],"/",Tabla[[#This Row],[AÑO CAMPAÑA]])</f>
        <v>3/2026</v>
      </c>
      <c r="Q384" s="29" t="s">
        <v>73</v>
      </c>
      <c r="R384" s="29"/>
      <c r="S384" s="34" t="n">
        <v>0</v>
      </c>
      <c r="T384" s="34" t="n">
        <v>79244</v>
      </c>
      <c r="U384" s="34" t="n">
        <v>15056</v>
      </c>
      <c r="V384" s="29"/>
      <c r="W384" s="35" t="n">
        <v>94300</v>
      </c>
      <c r="X384" s="36" t="n">
        <f aca="false">+Tabla[[#This Row],[TOTAL]]</f>
        <v>94300</v>
      </c>
      <c r="Y384" s="37"/>
      <c r="Z384" s="37"/>
      <c r="AA384" s="37"/>
      <c r="AB384" s="38" t="n">
        <f aca="false">+W384-AC384</f>
        <v>0</v>
      </c>
      <c r="AC384" s="34" t="n">
        <f aca="false">+Tabla[[#This Row],[P4]]+Tabla[[#This Row],[P3]]+Tabla[[#This Row],[P2]]+Tabla[[#This Row],[P1]]</f>
        <v>94300</v>
      </c>
      <c r="AD384" s="34" t="n">
        <f aca="false">+W384-AC384</f>
        <v>0</v>
      </c>
      <c r="AE384" s="21" t="str">
        <f aca="false">IF(AB384&lt;1,"PAGADA","PENDIENTE")</f>
        <v>PAGADA</v>
      </c>
      <c r="AF384" s="21"/>
      <c r="AG384" s="29"/>
      <c r="AH384" s="40"/>
      <c r="AI384" s="40" t="n">
        <f aca="false">+IF(Tabla[[#This Row],[FECHA PAGO / ABONO]]&lt;1,0,(MONTH(Tabla[[#This Row],[FECHA PAGO / ABONO]])))</f>
        <v>0</v>
      </c>
      <c r="AJ384" s="40" t="n">
        <f aca="false">+IF(Tabla[[#This Row],[FECHA PAGO / ABONO]]&lt;1,0,(YEAR(Tabla[[#This Row],[FECHA PAGO / ABONO]])))</f>
        <v>0</v>
      </c>
      <c r="AK384" s="41"/>
    </row>
    <row r="385" customFormat="false" ht="14.25" hidden="false" customHeight="false" outlineLevel="0" collapsed="false">
      <c r="A385" s="28" t="s">
        <v>280</v>
      </c>
      <c r="B385" s="29" t="s">
        <v>281</v>
      </c>
      <c r="C385" s="29" t="s">
        <v>69</v>
      </c>
      <c r="D385" s="21" t="n">
        <v>393</v>
      </c>
      <c r="E385" s="21" t="str">
        <f aca="false">+CONCATENATE(Tabla[[#This Row],[RUT]],Tabla[[#This Row],[PROVEEDOR]],Tabla[[#This Row],[FACTURA]])</f>
        <v>76272641-6RECAP SPA393</v>
      </c>
      <c r="F385" s="57" t="n">
        <v>46093</v>
      </c>
      <c r="G385" s="31" t="n">
        <f aca="false">+F385+30</f>
        <v>46123</v>
      </c>
      <c r="H385" s="29" t="n">
        <f aca="true">+IF(AE385="PAGADA",0,TODAY()-G385)</f>
        <v>0</v>
      </c>
      <c r="I385" s="29" t="str">
        <f aca="false">+IF(H385&gt;180,"Atrasada",IF(H385&gt;150,"150 dias",IF(H385&gt;120,"120 dias",IF(H385&gt;90,"90 dias",IF(H385&gt;60,"60 dias",IF(H385&gt;30,"30 dias","Al Día"))))))</f>
        <v>Al Día</v>
      </c>
      <c r="J385" s="32" t="s">
        <v>31</v>
      </c>
      <c r="K385" s="29" t="s">
        <v>81</v>
      </c>
      <c r="L385" s="33" t="s">
        <v>277</v>
      </c>
      <c r="M385" s="29" t="n">
        <f aca="false">+YEAR(F385)</f>
        <v>2026</v>
      </c>
      <c r="N385" s="29" t="n">
        <v>2026</v>
      </c>
      <c r="O385" s="29" t="n">
        <v>3</v>
      </c>
      <c r="P385" s="29" t="str">
        <f aca="false">+CONCATENATE(Tabla[[#This Row],[MES CAMPAÑA]],"/",Tabla[[#This Row],[AÑO CAMPAÑA]])</f>
        <v>3/2026</v>
      </c>
      <c r="Q385" s="29" t="s">
        <v>73</v>
      </c>
      <c r="R385" s="29"/>
      <c r="S385" s="34" t="n">
        <v>0</v>
      </c>
      <c r="T385" s="34" t="n">
        <v>500000</v>
      </c>
      <c r="U385" s="34" t="n">
        <v>95000</v>
      </c>
      <c r="V385" s="29"/>
      <c r="W385" s="35" t="n">
        <v>595000</v>
      </c>
      <c r="X385" s="36" t="n">
        <f aca="false">+Tabla[[#This Row],[TOTAL]]</f>
        <v>595000</v>
      </c>
      <c r="Y385" s="37"/>
      <c r="Z385" s="37"/>
      <c r="AA385" s="37"/>
      <c r="AB385" s="38" t="n">
        <f aca="false">+W385-AC385</f>
        <v>0</v>
      </c>
      <c r="AC385" s="34" t="n">
        <f aca="false">+Tabla[[#This Row],[P4]]+Tabla[[#This Row],[P3]]+Tabla[[#This Row],[P2]]+Tabla[[#This Row],[P1]]</f>
        <v>595000</v>
      </c>
      <c r="AD385" s="34" t="n">
        <f aca="false">+W385-AC385</f>
        <v>0</v>
      </c>
      <c r="AE385" s="21" t="str">
        <f aca="false">IF(AB385&lt;1,"PAGADA","PENDIENTE")</f>
        <v>PAGADA</v>
      </c>
      <c r="AF385" s="21"/>
      <c r="AG385" s="29" t="s">
        <v>77</v>
      </c>
      <c r="AH385" s="39" t="n">
        <v>46120</v>
      </c>
      <c r="AI385" s="40" t="n">
        <f aca="false">+IF(Tabla[[#This Row],[FECHA PAGO / ABONO]]&lt;1,0,(MONTH(Tabla[[#This Row],[FECHA PAGO / ABONO]])))</f>
        <v>4</v>
      </c>
      <c r="AJ385" s="40" t="n">
        <f aca="false">+IF(Tabla[[#This Row],[FECHA PAGO / ABONO]]&lt;1,0,(YEAR(Tabla[[#This Row],[FECHA PAGO / ABONO]])))</f>
        <v>2026</v>
      </c>
      <c r="AK385" s="41"/>
    </row>
    <row r="386" customFormat="false" ht="14.25" hidden="false" customHeight="false" outlineLevel="0" collapsed="false">
      <c r="A386" s="28" t="s">
        <v>282</v>
      </c>
      <c r="B386" s="29" t="s">
        <v>283</v>
      </c>
      <c r="C386" s="29" t="s">
        <v>69</v>
      </c>
      <c r="D386" s="21" t="n">
        <v>8728</v>
      </c>
      <c r="E386" s="21" t="str">
        <f aca="false">+CONCATENATE(Tabla[[#This Row],[RUT]],Tabla[[#This Row],[PROVEEDOR]],Tabla[[#This Row],[FACTURA]])</f>
        <v>96915690-3COMSCORE CHILE S.A8728</v>
      </c>
      <c r="F386" s="57" t="n">
        <v>46093</v>
      </c>
      <c r="G386" s="31" t="n">
        <f aca="false">+F386+30</f>
        <v>46123</v>
      </c>
      <c r="H386" s="29" t="n">
        <f aca="true">+IF(AE386="PAGADA",0,TODAY()-G386)</f>
        <v>0</v>
      </c>
      <c r="I386" s="29" t="str">
        <f aca="false">+IF(H386&gt;180,"Atrasada",IF(H386&gt;150,"150 dias",IF(H386&gt;120,"120 dias",IF(H386&gt;90,"90 dias",IF(H386&gt;60,"60 dias",IF(H386&gt;30,"30 dias","Al Día"))))))</f>
        <v>Al Día</v>
      </c>
      <c r="J386" s="32" t="s">
        <v>31</v>
      </c>
      <c r="K386" s="29" t="s">
        <v>81</v>
      </c>
      <c r="L386" s="33" t="s">
        <v>277</v>
      </c>
      <c r="M386" s="29" t="n">
        <f aca="false">+YEAR(F386)</f>
        <v>2026</v>
      </c>
      <c r="N386" s="29" t="n">
        <v>2026</v>
      </c>
      <c r="O386" s="29" t="n">
        <v>3</v>
      </c>
      <c r="P386" s="29" t="str">
        <f aca="false">+CONCATENATE(Tabla[[#This Row],[MES CAMPAÑA]],"/",Tabla[[#This Row],[AÑO CAMPAÑA]])</f>
        <v>3/2026</v>
      </c>
      <c r="Q386" s="29" t="s">
        <v>73</v>
      </c>
      <c r="R386" s="29"/>
      <c r="S386" s="34" t="n">
        <v>0</v>
      </c>
      <c r="T386" s="34" t="n">
        <v>1437500</v>
      </c>
      <c r="U386" s="34" t="n">
        <v>273125</v>
      </c>
      <c r="V386" s="29"/>
      <c r="W386" s="35" t="n">
        <v>1710625</v>
      </c>
      <c r="X386" s="36" t="n">
        <f aca="false">+Tabla[[#This Row],[TOTAL]]</f>
        <v>1710625</v>
      </c>
      <c r="Y386" s="37"/>
      <c r="Z386" s="37"/>
      <c r="AA386" s="37"/>
      <c r="AB386" s="38" t="n">
        <f aca="false">+W386-AC386</f>
        <v>0</v>
      </c>
      <c r="AC386" s="34" t="n">
        <f aca="false">+Tabla[[#This Row],[P4]]+Tabla[[#This Row],[P3]]+Tabla[[#This Row],[P2]]+Tabla[[#This Row],[P1]]</f>
        <v>1710625</v>
      </c>
      <c r="AD386" s="34" t="n">
        <f aca="false">+W386-AC386</f>
        <v>0</v>
      </c>
      <c r="AE386" s="21" t="str">
        <f aca="false">IF(AB386&lt;1,"PAGADA","PENDIENTE")</f>
        <v>PAGADA</v>
      </c>
      <c r="AF386" s="21"/>
      <c r="AG386" s="29" t="s">
        <v>77</v>
      </c>
      <c r="AH386" s="39" t="n">
        <v>46132</v>
      </c>
      <c r="AI386" s="40" t="n">
        <f aca="false">+IF(Tabla[[#This Row],[FECHA PAGO / ABONO]]&lt;1,0,(MONTH(Tabla[[#This Row],[FECHA PAGO / ABONO]])))</f>
        <v>4</v>
      </c>
      <c r="AJ386" s="40" t="n">
        <f aca="false">+IF(Tabla[[#This Row],[FECHA PAGO / ABONO]]&lt;1,0,(YEAR(Tabla[[#This Row],[FECHA PAGO / ABONO]])))</f>
        <v>2026</v>
      </c>
      <c r="AK386" s="41"/>
    </row>
    <row r="387" customFormat="false" ht="14.25" hidden="false" customHeight="false" outlineLevel="0" collapsed="false">
      <c r="A387" s="28" t="s">
        <v>90</v>
      </c>
      <c r="B387" s="29" t="s">
        <v>91</v>
      </c>
      <c r="C387" s="29" t="s">
        <v>69</v>
      </c>
      <c r="D387" s="21" t="n">
        <v>404</v>
      </c>
      <c r="E387" s="21" t="str">
        <f aca="false">+CONCATENATE(Tabla[[#This Row],[RUT]],Tabla[[#This Row],[PROVEEDOR]],Tabla[[#This Row],[FACTURA]])</f>
        <v>76984948-3CONECCIONLINEAL PUBLICIDAD Y MARKETING SPA404</v>
      </c>
      <c r="F387" s="57" t="n">
        <v>46093</v>
      </c>
      <c r="G387" s="31" t="n">
        <f aca="false">+F387+30</f>
        <v>46123</v>
      </c>
      <c r="H387" s="29" t="n">
        <f aca="true">+IF(AE387="PAGADA",0,TODAY()-G387)</f>
        <v>0</v>
      </c>
      <c r="I387" s="29" t="str">
        <f aca="false">+IF(H387&gt;180,"Atrasada",IF(H387&gt;150,"150 dias",IF(H387&gt;120,"120 dias",IF(H387&gt;90,"90 dias",IF(H387&gt;60,"60 dias",IF(H387&gt;30,"30 dias","Al Día"))))))</f>
        <v>Al Día</v>
      </c>
      <c r="J387" s="32" t="s">
        <v>80</v>
      </c>
      <c r="K387" s="29" t="s">
        <v>81</v>
      </c>
      <c r="L387" s="33" t="s">
        <v>277</v>
      </c>
      <c r="M387" s="29" t="n">
        <f aca="false">+YEAR(F387)</f>
        <v>2026</v>
      </c>
      <c r="N387" s="29" t="n">
        <v>2026</v>
      </c>
      <c r="O387" s="29" t="n">
        <v>2</v>
      </c>
      <c r="P387" s="29" t="str">
        <f aca="false">+CONCATENATE(Tabla[[#This Row],[MES CAMPAÑA]],"/",Tabla[[#This Row],[AÑO CAMPAÑA]])</f>
        <v>2/2026</v>
      </c>
      <c r="Q387" s="29" t="s">
        <v>92</v>
      </c>
      <c r="R387" s="29"/>
      <c r="S387" s="34" t="n">
        <v>0</v>
      </c>
      <c r="T387" s="34" t="n">
        <v>465400</v>
      </c>
      <c r="U387" s="34" t="n">
        <v>88426</v>
      </c>
      <c r="V387" s="29"/>
      <c r="W387" s="35" t="n">
        <v>553826</v>
      </c>
      <c r="X387" s="36" t="n">
        <f aca="false">+Tabla[[#This Row],[TOTAL]]</f>
        <v>553826</v>
      </c>
      <c r="Y387" s="37"/>
      <c r="Z387" s="37"/>
      <c r="AA387" s="37"/>
      <c r="AB387" s="38" t="n">
        <f aca="false">+W387-AC387</f>
        <v>0</v>
      </c>
      <c r="AC387" s="34" t="n">
        <f aca="false">+Tabla[[#This Row],[P4]]+Tabla[[#This Row],[P3]]+Tabla[[#This Row],[P2]]+Tabla[[#This Row],[P1]]</f>
        <v>553826</v>
      </c>
      <c r="AD387" s="34" t="n">
        <f aca="false">+W387-AC387</f>
        <v>0</v>
      </c>
      <c r="AE387" s="21" t="str">
        <f aca="false">IF(AB387&lt;1,"PAGADA","PENDIENTE")</f>
        <v>PAGADA</v>
      </c>
      <c r="AF387" s="21"/>
      <c r="AG387" s="29" t="s">
        <v>77</v>
      </c>
      <c r="AH387" s="39" t="n">
        <v>46129</v>
      </c>
      <c r="AI387" s="40" t="n">
        <f aca="false">+IF(Tabla[[#This Row],[FECHA PAGO / ABONO]]&lt;1,0,(MONTH(Tabla[[#This Row],[FECHA PAGO / ABONO]])))</f>
        <v>4</v>
      </c>
      <c r="AJ387" s="40" t="n">
        <f aca="false">+IF(Tabla[[#This Row],[FECHA PAGO / ABONO]]&lt;1,0,(YEAR(Tabla[[#This Row],[FECHA PAGO / ABONO]])))</f>
        <v>2026</v>
      </c>
      <c r="AK387" s="41"/>
    </row>
    <row r="388" customFormat="false" ht="14.25" hidden="false" customHeight="false" outlineLevel="0" collapsed="false">
      <c r="A388" s="28" t="s">
        <v>90</v>
      </c>
      <c r="B388" s="29" t="s">
        <v>91</v>
      </c>
      <c r="C388" s="29" t="s">
        <v>69</v>
      </c>
      <c r="D388" s="21" t="n">
        <v>405</v>
      </c>
      <c r="E388" s="21" t="str">
        <f aca="false">+CONCATENATE(Tabla[[#This Row],[RUT]],Tabla[[#This Row],[PROVEEDOR]],Tabla[[#This Row],[FACTURA]])</f>
        <v>76984948-3CONECCIONLINEAL PUBLICIDAD Y MARKETING SPA405</v>
      </c>
      <c r="F388" s="57" t="n">
        <v>46093</v>
      </c>
      <c r="G388" s="31" t="n">
        <f aca="false">+F388+30</f>
        <v>46123</v>
      </c>
      <c r="H388" s="29" t="n">
        <f aca="true">+IF(AE388="PAGADA",0,TODAY()-G388)</f>
        <v>0</v>
      </c>
      <c r="I388" s="29" t="str">
        <f aca="false">+IF(H388&gt;180,"Atrasada",IF(H388&gt;150,"150 dias",IF(H388&gt;120,"120 dias",IF(H388&gt;90,"90 dias",IF(H388&gt;60,"60 dias",IF(H388&gt;30,"30 dias","Al Día"))))))</f>
        <v>Al Día</v>
      </c>
      <c r="J388" s="32" t="s">
        <v>80</v>
      </c>
      <c r="K388" s="29" t="s">
        <v>81</v>
      </c>
      <c r="L388" s="33" t="s">
        <v>277</v>
      </c>
      <c r="M388" s="29" t="n">
        <f aca="false">+YEAR(F388)</f>
        <v>2026</v>
      </c>
      <c r="N388" s="29" t="n">
        <v>2026</v>
      </c>
      <c r="O388" s="29" t="n">
        <v>2</v>
      </c>
      <c r="P388" s="29" t="str">
        <f aca="false">+CONCATENATE(Tabla[[#This Row],[MES CAMPAÑA]],"/",Tabla[[#This Row],[AÑO CAMPAÑA]])</f>
        <v>2/2026</v>
      </c>
      <c r="Q388" s="29" t="s">
        <v>92</v>
      </c>
      <c r="R388" s="29"/>
      <c r="S388" s="34" t="n">
        <v>0</v>
      </c>
      <c r="T388" s="34" t="n">
        <v>465400</v>
      </c>
      <c r="U388" s="34" t="n">
        <v>88426</v>
      </c>
      <c r="V388" s="29"/>
      <c r="W388" s="35" t="n">
        <v>553826</v>
      </c>
      <c r="X388" s="36" t="n">
        <f aca="false">+Tabla[[#This Row],[TOTAL]]</f>
        <v>553826</v>
      </c>
      <c r="Y388" s="37"/>
      <c r="Z388" s="37"/>
      <c r="AA388" s="37"/>
      <c r="AB388" s="38" t="n">
        <f aca="false">+W388-AC388</f>
        <v>0</v>
      </c>
      <c r="AC388" s="34" t="n">
        <f aca="false">+Tabla[[#This Row],[P4]]+Tabla[[#This Row],[P3]]+Tabla[[#This Row],[P2]]+Tabla[[#This Row],[P1]]</f>
        <v>553826</v>
      </c>
      <c r="AD388" s="34" t="n">
        <f aca="false">+W388-AC388</f>
        <v>0</v>
      </c>
      <c r="AE388" s="21" t="str">
        <f aca="false">IF(AB388&lt;1,"PAGADA","PENDIENTE")</f>
        <v>PAGADA</v>
      </c>
      <c r="AF388" s="21"/>
      <c r="AG388" s="29" t="s">
        <v>77</v>
      </c>
      <c r="AH388" s="39" t="n">
        <v>46129</v>
      </c>
      <c r="AI388" s="40" t="n">
        <f aca="false">+IF(Tabla[[#This Row],[FECHA PAGO / ABONO]]&lt;1,0,(MONTH(Tabla[[#This Row],[FECHA PAGO / ABONO]])))</f>
        <v>4</v>
      </c>
      <c r="AJ388" s="40" t="n">
        <f aca="false">+IF(Tabla[[#This Row],[FECHA PAGO / ABONO]]&lt;1,0,(YEAR(Tabla[[#This Row],[FECHA PAGO / ABONO]])))</f>
        <v>2026</v>
      </c>
      <c r="AK388" s="41"/>
    </row>
    <row r="389" customFormat="false" ht="14.25" hidden="false" customHeight="false" outlineLevel="0" collapsed="false">
      <c r="A389" s="28" t="s">
        <v>284</v>
      </c>
      <c r="B389" s="29" t="s">
        <v>285</v>
      </c>
      <c r="C389" s="29" t="s">
        <v>69</v>
      </c>
      <c r="D389" s="21" t="n">
        <v>233</v>
      </c>
      <c r="E389" s="21" t="str">
        <f aca="false">+CONCATENATE(Tabla[[#This Row],[RUT]],Tabla[[#This Row],[PROVEEDOR]],Tabla[[#This Row],[FACTURA]])</f>
        <v>76918443-0SOCIEDAD PRESTADORA DE SOLUCIONES SPA233</v>
      </c>
      <c r="F389" s="57" t="n">
        <v>46097</v>
      </c>
      <c r="G389" s="31" t="n">
        <f aca="false">+F389+30</f>
        <v>46127</v>
      </c>
      <c r="H389" s="29" t="n">
        <f aca="true">+IF(AE389="PAGADA",0,TODAY()-G389)</f>
        <v>0</v>
      </c>
      <c r="I389" s="29" t="str">
        <f aca="false">+IF(H389&gt;180,"Atrasada",IF(H389&gt;150,"150 dias",IF(H389&gt;120,"120 dias",IF(H389&gt;90,"90 dias",IF(H389&gt;60,"60 dias",IF(H389&gt;30,"30 dias","Al Día"))))))</f>
        <v>Al Día</v>
      </c>
      <c r="J389" s="32" t="s">
        <v>80</v>
      </c>
      <c r="K389" s="29" t="s">
        <v>124</v>
      </c>
      <c r="L389" s="33" t="s">
        <v>277</v>
      </c>
      <c r="M389" s="29" t="n">
        <f aca="false">+YEAR(F389)</f>
        <v>2026</v>
      </c>
      <c r="N389" s="29" t="n">
        <v>2026</v>
      </c>
      <c r="O389" s="29" t="n">
        <v>1</v>
      </c>
      <c r="P389" s="29" t="str">
        <f aca="false">+CONCATENATE(Tabla[[#This Row],[MES CAMPAÑA]],"/",Tabla[[#This Row],[AÑO CAMPAÑA]])</f>
        <v>1/2026</v>
      </c>
      <c r="Q389" s="29" t="s">
        <v>73</v>
      </c>
      <c r="R389" s="29"/>
      <c r="S389" s="34" t="n">
        <v>0</v>
      </c>
      <c r="T389" s="34" t="n">
        <v>1300000</v>
      </c>
      <c r="U389" s="34" t="n">
        <v>247000</v>
      </c>
      <c r="V389" s="29"/>
      <c r="W389" s="35" t="n">
        <v>1547000</v>
      </c>
      <c r="X389" s="36" t="n">
        <f aca="false">+Tabla[[#This Row],[TOTAL]]</f>
        <v>1547000</v>
      </c>
      <c r="Y389" s="37"/>
      <c r="Z389" s="37"/>
      <c r="AA389" s="37"/>
      <c r="AB389" s="38" t="n">
        <f aca="false">+W389-AC389</f>
        <v>0</v>
      </c>
      <c r="AC389" s="34" t="n">
        <f aca="false">+Tabla[[#This Row],[P4]]+Tabla[[#This Row],[P3]]+Tabla[[#This Row],[P2]]+Tabla[[#This Row],[P1]]</f>
        <v>1547000</v>
      </c>
      <c r="AD389" s="34" t="n">
        <f aca="false">+W389-AC389</f>
        <v>0</v>
      </c>
      <c r="AE389" s="21" t="str">
        <f aca="false">IF(AB389&lt;1,"PAGADA","PENDIENTE")</f>
        <v>PAGADA</v>
      </c>
      <c r="AF389" s="21"/>
      <c r="AG389" s="29" t="s">
        <v>124</v>
      </c>
      <c r="AH389" s="40"/>
      <c r="AI389" s="40" t="n">
        <f aca="false">+IF(Tabla[[#This Row],[FECHA PAGO / ABONO]]&lt;1,0,(MONTH(Tabla[[#This Row],[FECHA PAGO / ABONO]])))</f>
        <v>0</v>
      </c>
      <c r="AJ389" s="40" t="n">
        <f aca="false">+IF(Tabla[[#This Row],[FECHA PAGO / ABONO]]&lt;1,0,(YEAR(Tabla[[#This Row],[FECHA PAGO / ABONO]])))</f>
        <v>0</v>
      </c>
      <c r="AK389" s="41" t="s">
        <v>286</v>
      </c>
    </row>
    <row r="390" customFormat="false" ht="14.25" hidden="false" customHeight="false" outlineLevel="0" collapsed="false">
      <c r="A390" s="28" t="s">
        <v>284</v>
      </c>
      <c r="B390" s="29" t="s">
        <v>285</v>
      </c>
      <c r="C390" s="29" t="s">
        <v>125</v>
      </c>
      <c r="D390" s="21" t="n">
        <v>34</v>
      </c>
      <c r="E390" s="21" t="str">
        <f aca="false">+CONCATENATE(Tabla[[#This Row],[RUT]],Tabla[[#This Row],[PROVEEDOR]],Tabla[[#This Row],[FACTURA]])</f>
        <v>76918443-0SOCIEDAD PRESTADORA DE SOLUCIONES SPA34</v>
      </c>
      <c r="F390" s="57" t="n">
        <v>46097</v>
      </c>
      <c r="G390" s="31" t="n">
        <f aca="false">+F390+30</f>
        <v>46127</v>
      </c>
      <c r="H390" s="29" t="n">
        <f aca="true">+IF(AE390="PAGADA",0,TODAY()-G390)</f>
        <v>0</v>
      </c>
      <c r="I390" s="29" t="str">
        <f aca="false">+IF(H390&gt;180,"Atrasada",IF(H390&gt;150,"150 dias",IF(H390&gt;120,"120 dias",IF(H390&gt;90,"90 dias",IF(H390&gt;60,"60 dias",IF(H390&gt;30,"30 dias","Al Día"))))))</f>
        <v>Al Día</v>
      </c>
      <c r="J390" s="32" t="s">
        <v>80</v>
      </c>
      <c r="K390" s="29" t="s">
        <v>126</v>
      </c>
      <c r="L390" s="33" t="s">
        <v>277</v>
      </c>
      <c r="M390" s="29" t="n">
        <f aca="false">+YEAR(F390)</f>
        <v>2026</v>
      </c>
      <c r="N390" s="29" t="n">
        <v>2026</v>
      </c>
      <c r="O390" s="29" t="n">
        <v>1</v>
      </c>
      <c r="P390" s="29" t="str">
        <f aca="false">+CONCATENATE(Tabla[[#This Row],[MES CAMPAÑA]],"/",Tabla[[#This Row],[AÑO CAMPAÑA]])</f>
        <v>1/2026</v>
      </c>
      <c r="Q390" s="29" t="s">
        <v>73</v>
      </c>
      <c r="R390" s="29"/>
      <c r="S390" s="34" t="n">
        <v>0</v>
      </c>
      <c r="T390" s="34" t="n">
        <v>1300000</v>
      </c>
      <c r="U390" s="34" t="n">
        <v>247000</v>
      </c>
      <c r="V390" s="29"/>
      <c r="W390" s="35" t="n">
        <v>1547000</v>
      </c>
      <c r="X390" s="36" t="n">
        <f aca="false">+Tabla[[#This Row],[TOTAL]]</f>
        <v>1547000</v>
      </c>
      <c r="Y390" s="37"/>
      <c r="Z390" s="37"/>
      <c r="AA390" s="37"/>
      <c r="AB390" s="38" t="n">
        <f aca="false">+W390-AC390</f>
        <v>0</v>
      </c>
      <c r="AC390" s="34" t="n">
        <f aca="false">+Tabla[[#This Row],[P4]]+Tabla[[#This Row],[P3]]+Tabla[[#This Row],[P2]]+Tabla[[#This Row],[P1]]</f>
        <v>1547000</v>
      </c>
      <c r="AD390" s="34" t="n">
        <f aca="false">+W390-AC390</f>
        <v>0</v>
      </c>
      <c r="AE390" s="21" t="str">
        <f aca="false">IF(AB390&lt;1,"PAGADA","PENDIENTE")</f>
        <v>PAGADA</v>
      </c>
      <c r="AF390" s="21"/>
      <c r="AG390" s="29" t="s">
        <v>287</v>
      </c>
      <c r="AH390" s="40"/>
      <c r="AI390" s="40" t="n">
        <f aca="false">+IF(Tabla[[#This Row],[FECHA PAGO / ABONO]]&lt;1,0,(MONTH(Tabla[[#This Row],[FECHA PAGO / ABONO]])))</f>
        <v>0</v>
      </c>
      <c r="AJ390" s="40" t="n">
        <f aca="false">+IF(Tabla[[#This Row],[FECHA PAGO / ABONO]]&lt;1,0,(YEAR(Tabla[[#This Row],[FECHA PAGO / ABONO]])))</f>
        <v>0</v>
      </c>
      <c r="AK390" s="41" t="s">
        <v>288</v>
      </c>
    </row>
    <row r="391" customFormat="false" ht="14.25" hidden="false" customHeight="false" outlineLevel="0" collapsed="false">
      <c r="A391" s="28" t="s">
        <v>131</v>
      </c>
      <c r="B391" s="29" t="s">
        <v>132</v>
      </c>
      <c r="C391" s="29" t="s">
        <v>69</v>
      </c>
      <c r="D391" s="21" t="n">
        <v>17751935</v>
      </c>
      <c r="E391" s="21" t="str">
        <f aca="false">+CONCATENATE(Tabla[[#This Row],[RUT]],Tabla[[#This Row],[PROVEEDOR]],Tabla[[#This Row],[FACTURA]])</f>
        <v>78921690-8WOM S.A.17751935</v>
      </c>
      <c r="F391" s="57" t="n">
        <v>46097</v>
      </c>
      <c r="G391" s="31" t="n">
        <f aca="false">+F391+30</f>
        <v>46127</v>
      </c>
      <c r="H391" s="29" t="n">
        <f aca="true">+IF(AE391="PAGADA",0,TODAY()-G391)</f>
        <v>0</v>
      </c>
      <c r="I391" s="29" t="str">
        <f aca="false">+IF(H391&gt;180,"Atrasada",IF(H391&gt;150,"150 dias",IF(H391&gt;120,"120 dias",IF(H391&gt;90,"90 dias",IF(H391&gt;60,"60 dias",IF(H391&gt;30,"30 dias","Al Día"))))))</f>
        <v>Al Día</v>
      </c>
      <c r="J391" s="32" t="s">
        <v>31</v>
      </c>
      <c r="K391" s="29" t="s">
        <v>81</v>
      </c>
      <c r="L391" s="33" t="s">
        <v>277</v>
      </c>
      <c r="M391" s="29" t="n">
        <f aca="false">+YEAR(F391)</f>
        <v>2026</v>
      </c>
      <c r="N391" s="29" t="n">
        <v>2026</v>
      </c>
      <c r="O391" s="29" t="n">
        <v>3</v>
      </c>
      <c r="P391" s="29" t="str">
        <f aca="false">+CONCATENATE(Tabla[[#This Row],[MES CAMPAÑA]],"/",Tabla[[#This Row],[AÑO CAMPAÑA]])</f>
        <v>3/2026</v>
      </c>
      <c r="Q391" s="29" t="s">
        <v>73</v>
      </c>
      <c r="R391" s="29"/>
      <c r="S391" s="34" t="n">
        <v>0</v>
      </c>
      <c r="T391" s="34" t="n">
        <v>13104</v>
      </c>
      <c r="U391" s="34" t="n">
        <v>2490</v>
      </c>
      <c r="V391" s="29"/>
      <c r="W391" s="35" t="n">
        <v>15594</v>
      </c>
      <c r="X391" s="36" t="n">
        <f aca="false">+Tabla[[#This Row],[TOTAL]]</f>
        <v>15594</v>
      </c>
      <c r="Y391" s="37"/>
      <c r="Z391" s="37"/>
      <c r="AA391" s="37"/>
      <c r="AB391" s="38" t="n">
        <f aca="false">+W391-AC391</f>
        <v>0</v>
      </c>
      <c r="AC391" s="34" t="n">
        <f aca="false">+Tabla[[#This Row],[P4]]+Tabla[[#This Row],[P3]]+Tabla[[#This Row],[P2]]+Tabla[[#This Row],[P1]]</f>
        <v>15594</v>
      </c>
      <c r="AD391" s="34" t="n">
        <f aca="false">+W391-AC391</f>
        <v>0</v>
      </c>
      <c r="AE391" s="21" t="str">
        <f aca="false">IF(AB391&lt;1,"PAGADA","PENDIENTE")</f>
        <v>PAGADA</v>
      </c>
      <c r="AF391" s="21"/>
      <c r="AG391" s="29"/>
      <c r="AH391" s="40"/>
      <c r="AI391" s="40" t="n">
        <f aca="false">+IF(Tabla[[#This Row],[FECHA PAGO / ABONO]]&lt;1,0,(MONTH(Tabla[[#This Row],[FECHA PAGO / ABONO]])))</f>
        <v>0</v>
      </c>
      <c r="AJ391" s="40" t="n">
        <f aca="false">+IF(Tabla[[#This Row],[FECHA PAGO / ABONO]]&lt;1,0,(YEAR(Tabla[[#This Row],[FECHA PAGO / ABONO]])))</f>
        <v>0</v>
      </c>
      <c r="AK391" s="41"/>
    </row>
    <row r="392" customFormat="false" ht="14.25" hidden="false" customHeight="false" outlineLevel="0" collapsed="false">
      <c r="A392" s="28" t="s">
        <v>197</v>
      </c>
      <c r="B392" s="29" t="s">
        <v>198</v>
      </c>
      <c r="C392" s="29" t="s">
        <v>69</v>
      </c>
      <c r="D392" s="21" t="n">
        <v>34287822</v>
      </c>
      <c r="E392" s="21" t="str">
        <f aca="false">+CONCATENATE(Tabla[[#This Row],[RUT]],Tabla[[#This Row],[PROVEEDOR]],Tabla[[#This Row],[FACTURA]])</f>
        <v>96800570-7ENEL DISTRIBUCIÃ“N CHILE S.A34287822</v>
      </c>
      <c r="F392" s="57" t="n">
        <v>46099</v>
      </c>
      <c r="G392" s="31" t="n">
        <f aca="false">+F392+30</f>
        <v>46129</v>
      </c>
      <c r="H392" s="29" t="n">
        <f aca="true">+IF(AE392="PAGADA",0,TODAY()-G392)</f>
        <v>0</v>
      </c>
      <c r="I392" s="29" t="str">
        <f aca="false">+IF(H392&gt;180,"Atrasada",IF(H392&gt;150,"150 dias",IF(H392&gt;120,"120 dias",IF(H392&gt;90,"90 dias",IF(H392&gt;60,"60 dias",IF(H392&gt;30,"30 dias","Al Día"))))))</f>
        <v>Al Día</v>
      </c>
      <c r="J392" s="32" t="s">
        <v>31</v>
      </c>
      <c r="K392" s="29" t="s">
        <v>81</v>
      </c>
      <c r="L392" s="33" t="s">
        <v>277</v>
      </c>
      <c r="M392" s="29" t="n">
        <f aca="false">+YEAR(F392)</f>
        <v>2026</v>
      </c>
      <c r="N392" s="29" t="n">
        <v>2026</v>
      </c>
      <c r="O392" s="29" t="n">
        <v>3</v>
      </c>
      <c r="P392" s="29" t="str">
        <f aca="false">+CONCATENATE(Tabla[[#This Row],[MES CAMPAÑA]],"/",Tabla[[#This Row],[AÑO CAMPAÑA]])</f>
        <v>3/2026</v>
      </c>
      <c r="Q392" s="29" t="s">
        <v>73</v>
      </c>
      <c r="R392" s="29"/>
      <c r="S392" s="34" t="n">
        <v>2186</v>
      </c>
      <c r="T392" s="34" t="n">
        <v>152384</v>
      </c>
      <c r="U392" s="34" t="n">
        <v>28953</v>
      </c>
      <c r="V392" s="29"/>
      <c r="W392" s="35" t="n">
        <v>183523</v>
      </c>
      <c r="X392" s="36" t="n">
        <f aca="false">+Tabla[[#This Row],[TOTAL]]</f>
        <v>183523</v>
      </c>
      <c r="Y392" s="37"/>
      <c r="Z392" s="37"/>
      <c r="AA392" s="37"/>
      <c r="AB392" s="38" t="n">
        <f aca="false">+W392-AC392</f>
        <v>0</v>
      </c>
      <c r="AC392" s="34" t="n">
        <f aca="false">+Tabla[[#This Row],[P4]]+Tabla[[#This Row],[P3]]+Tabla[[#This Row],[P2]]+Tabla[[#This Row],[P1]]</f>
        <v>183523</v>
      </c>
      <c r="AD392" s="34" t="n">
        <f aca="false">+W392-AC392</f>
        <v>0</v>
      </c>
      <c r="AE392" s="21" t="str">
        <f aca="false">IF(AB392&lt;1,"PAGADA","PENDIENTE")</f>
        <v>PAGADA</v>
      </c>
      <c r="AF392" s="21"/>
      <c r="AG392" s="29"/>
      <c r="AH392" s="40"/>
      <c r="AI392" s="40" t="n">
        <f aca="false">+IF(Tabla[[#This Row],[FECHA PAGO / ABONO]]&lt;1,0,(MONTH(Tabla[[#This Row],[FECHA PAGO / ABONO]])))</f>
        <v>0</v>
      </c>
      <c r="AJ392" s="40" t="n">
        <f aca="false">+IF(Tabla[[#This Row],[FECHA PAGO / ABONO]]&lt;1,0,(YEAR(Tabla[[#This Row],[FECHA PAGO / ABONO]])))</f>
        <v>0</v>
      </c>
      <c r="AK392" s="41"/>
    </row>
    <row r="393" customFormat="false" ht="14.25" hidden="false" customHeight="false" outlineLevel="0" collapsed="false">
      <c r="A393" s="28" t="s">
        <v>201</v>
      </c>
      <c r="B393" s="29" t="s">
        <v>202</v>
      </c>
      <c r="C393" s="29" t="s">
        <v>69</v>
      </c>
      <c r="D393" s="21" t="n">
        <v>6629</v>
      </c>
      <c r="E393" s="21" t="str">
        <f aca="false">+CONCATENATE(Tabla[[#This Row],[RUT]],Tabla[[#This Row],[PROVEEDOR]],Tabla[[#This Row],[FACTURA]])</f>
        <v>76394590-1SERVICIOS PUBLICITARIOS PUBLIVISION LIMITADA6629</v>
      </c>
      <c r="F393" s="57" t="n">
        <v>46099</v>
      </c>
      <c r="G393" s="31" t="n">
        <f aca="false">+F393+30</f>
        <v>46129</v>
      </c>
      <c r="H393" s="29" t="n">
        <f aca="true">+IF(AE393="PAGADA",0,TODAY()-G393)</f>
        <v>0</v>
      </c>
      <c r="I393" s="29" t="str">
        <f aca="false">+IF(H393&gt;180,"Atrasada",IF(H393&gt;150,"150 dias",IF(H393&gt;120,"120 dias",IF(H393&gt;90,"90 dias",IF(H393&gt;60,"60 dias",IF(H393&gt;30,"30 dias","Al Día"))))))</f>
        <v>Al Día</v>
      </c>
      <c r="J393" s="32" t="s">
        <v>80</v>
      </c>
      <c r="K393" s="29" t="s">
        <v>81</v>
      </c>
      <c r="L393" s="33" t="s">
        <v>277</v>
      </c>
      <c r="M393" s="29" t="n">
        <f aca="false">+YEAR(F393)</f>
        <v>2026</v>
      </c>
      <c r="N393" s="29" t="n">
        <v>2026</v>
      </c>
      <c r="O393" s="29" t="n">
        <v>1</v>
      </c>
      <c r="P393" s="29" t="str">
        <f aca="false">+CONCATENATE(Tabla[[#This Row],[MES CAMPAÑA]],"/",Tabla[[#This Row],[AÑO CAMPAÑA]])</f>
        <v>1/2026</v>
      </c>
      <c r="Q393" s="29" t="s">
        <v>92</v>
      </c>
      <c r="R393" s="29"/>
      <c r="S393" s="34" t="n">
        <v>0</v>
      </c>
      <c r="T393" s="34" t="n">
        <v>386552</v>
      </c>
      <c r="U393" s="34" t="n">
        <v>73445</v>
      </c>
      <c r="V393" s="29"/>
      <c r="W393" s="35" t="n">
        <v>459997</v>
      </c>
      <c r="X393" s="36" t="n">
        <f aca="false">+Tabla[[#This Row],[TOTAL]]</f>
        <v>459997</v>
      </c>
      <c r="Y393" s="37"/>
      <c r="Z393" s="37"/>
      <c r="AA393" s="37"/>
      <c r="AB393" s="38" t="n">
        <f aca="false">+W393-AC393</f>
        <v>0</v>
      </c>
      <c r="AC393" s="34" t="n">
        <f aca="false">+Tabla[[#This Row],[P4]]+Tabla[[#This Row],[P3]]+Tabla[[#This Row],[P2]]+Tabla[[#This Row],[P1]]</f>
        <v>459997</v>
      </c>
      <c r="AD393" s="34" t="n">
        <f aca="false">+W393-AC393</f>
        <v>0</v>
      </c>
      <c r="AE393" s="21" t="str">
        <f aca="false">IF(AB393&lt;1,"PAGADA","PENDIENTE")</f>
        <v>PAGADA</v>
      </c>
      <c r="AF393" s="21"/>
      <c r="AG393" s="29" t="s">
        <v>77</v>
      </c>
      <c r="AH393" s="39" t="n">
        <v>46197</v>
      </c>
      <c r="AI393" s="40" t="n">
        <f aca="false">+IF(Tabla[[#This Row],[FECHA PAGO / ABONO]]&lt;1,0,(MONTH(Tabla[[#This Row],[FECHA PAGO / ABONO]])))</f>
        <v>6</v>
      </c>
      <c r="AJ393" s="40" t="n">
        <f aca="false">+IF(Tabla[[#This Row],[FECHA PAGO / ABONO]]&lt;1,0,(YEAR(Tabla[[#This Row],[FECHA PAGO / ABONO]])))</f>
        <v>2026</v>
      </c>
      <c r="AK393" s="41"/>
    </row>
    <row r="394" customFormat="false" ht="14.25" hidden="false" customHeight="false" outlineLevel="0" collapsed="false">
      <c r="A394" s="28" t="s">
        <v>201</v>
      </c>
      <c r="B394" s="29" t="s">
        <v>202</v>
      </c>
      <c r="C394" s="29" t="s">
        <v>69</v>
      </c>
      <c r="D394" s="21" t="n">
        <v>6630</v>
      </c>
      <c r="E394" s="21" t="str">
        <f aca="false">+CONCATENATE(Tabla[[#This Row],[RUT]],Tabla[[#This Row],[PROVEEDOR]],Tabla[[#This Row],[FACTURA]])</f>
        <v>76394590-1SERVICIOS PUBLICITARIOS PUBLIVISION LIMITADA6630</v>
      </c>
      <c r="F394" s="57" t="n">
        <v>46099</v>
      </c>
      <c r="G394" s="31" t="n">
        <f aca="false">+F394+30</f>
        <v>46129</v>
      </c>
      <c r="H394" s="29" t="n">
        <f aca="true">+IF(AE394="PAGADA",0,TODAY()-G394)</f>
        <v>0</v>
      </c>
      <c r="I394" s="29" t="str">
        <f aca="false">+IF(H394&gt;180,"Atrasada",IF(H394&gt;150,"150 dias",IF(H394&gt;120,"120 dias",IF(H394&gt;90,"90 dias",IF(H394&gt;60,"60 dias",IF(H394&gt;30,"30 dias","Al Día"))))))</f>
        <v>Al Día</v>
      </c>
      <c r="J394" s="32" t="s">
        <v>80</v>
      </c>
      <c r="K394" s="29" t="s">
        <v>81</v>
      </c>
      <c r="L394" s="33" t="s">
        <v>277</v>
      </c>
      <c r="M394" s="29" t="n">
        <f aca="false">+YEAR(F394)</f>
        <v>2026</v>
      </c>
      <c r="N394" s="29" t="n">
        <v>2026</v>
      </c>
      <c r="O394" s="29" t="n">
        <v>1</v>
      </c>
      <c r="P394" s="29" t="str">
        <f aca="false">+CONCATENATE(Tabla[[#This Row],[MES CAMPAÑA]],"/",Tabla[[#This Row],[AÑO CAMPAÑA]])</f>
        <v>1/2026</v>
      </c>
      <c r="Q394" s="29" t="s">
        <v>92</v>
      </c>
      <c r="R394" s="29"/>
      <c r="S394" s="34" t="n">
        <v>0</v>
      </c>
      <c r="T394" s="34" t="n">
        <v>212332</v>
      </c>
      <c r="U394" s="34" t="n">
        <v>40343</v>
      </c>
      <c r="V394" s="29"/>
      <c r="W394" s="35" t="n">
        <v>252675</v>
      </c>
      <c r="X394" s="36" t="n">
        <f aca="false">+Tabla[[#This Row],[TOTAL]]</f>
        <v>252675</v>
      </c>
      <c r="Y394" s="37"/>
      <c r="Z394" s="37"/>
      <c r="AA394" s="37"/>
      <c r="AB394" s="38" t="n">
        <f aca="false">+W394-AC394</f>
        <v>0</v>
      </c>
      <c r="AC394" s="34" t="n">
        <f aca="false">+Tabla[[#This Row],[P4]]+Tabla[[#This Row],[P3]]+Tabla[[#This Row],[P2]]+Tabla[[#This Row],[P1]]</f>
        <v>252675</v>
      </c>
      <c r="AD394" s="34" t="n">
        <f aca="false">+W394-AC394</f>
        <v>0</v>
      </c>
      <c r="AE394" s="21" t="str">
        <f aca="false">IF(AB394&lt;1,"PAGADA","PENDIENTE")</f>
        <v>PAGADA</v>
      </c>
      <c r="AF394" s="21"/>
      <c r="AG394" s="29" t="s">
        <v>77</v>
      </c>
      <c r="AH394" s="39" t="n">
        <v>46197</v>
      </c>
      <c r="AI394" s="40" t="n">
        <f aca="false">+IF(Tabla[[#This Row],[FECHA PAGO / ABONO]]&lt;1,0,(MONTH(Tabla[[#This Row],[FECHA PAGO / ABONO]])))</f>
        <v>6</v>
      </c>
      <c r="AJ394" s="40" t="n">
        <f aca="false">+IF(Tabla[[#This Row],[FECHA PAGO / ABONO]]&lt;1,0,(YEAR(Tabla[[#This Row],[FECHA PAGO / ABONO]])))</f>
        <v>2026</v>
      </c>
      <c r="AK394" s="41"/>
    </row>
    <row r="395" customFormat="false" ht="14.25" hidden="false" customHeight="false" outlineLevel="0" collapsed="false">
      <c r="A395" s="28" t="s">
        <v>201</v>
      </c>
      <c r="B395" s="29" t="s">
        <v>202</v>
      </c>
      <c r="C395" s="29" t="s">
        <v>69</v>
      </c>
      <c r="D395" s="21" t="n">
        <v>6631</v>
      </c>
      <c r="E395" s="21" t="str">
        <f aca="false">+CONCATENATE(Tabla[[#This Row],[RUT]],Tabla[[#This Row],[PROVEEDOR]],Tabla[[#This Row],[FACTURA]])</f>
        <v>76394590-1SERVICIOS PUBLICITARIOS PUBLIVISION LIMITADA6631</v>
      </c>
      <c r="F395" s="57" t="n">
        <v>46099</v>
      </c>
      <c r="G395" s="31" t="n">
        <f aca="false">+F395+30</f>
        <v>46129</v>
      </c>
      <c r="H395" s="29" t="n">
        <f aca="true">+IF(AE395="PAGADA",0,TODAY()-G395)</f>
        <v>0</v>
      </c>
      <c r="I395" s="29" t="str">
        <f aca="false">+IF(H395&gt;180,"Atrasada",IF(H395&gt;150,"150 dias",IF(H395&gt;120,"120 dias",IF(H395&gt;90,"90 dias",IF(H395&gt;60,"60 dias",IF(H395&gt;30,"30 dias","Al Día"))))))</f>
        <v>Al Día</v>
      </c>
      <c r="J395" s="32" t="s">
        <v>80</v>
      </c>
      <c r="K395" s="29" t="s">
        <v>81</v>
      </c>
      <c r="L395" s="33" t="s">
        <v>277</v>
      </c>
      <c r="M395" s="29" t="n">
        <f aca="false">+YEAR(F395)</f>
        <v>2026</v>
      </c>
      <c r="N395" s="29" t="n">
        <v>2026</v>
      </c>
      <c r="O395" s="29" t="n">
        <v>1</v>
      </c>
      <c r="P395" s="29" t="str">
        <f aca="false">+CONCATENATE(Tabla[[#This Row],[MES CAMPAÑA]],"/",Tabla[[#This Row],[AÑO CAMPAÑA]])</f>
        <v>1/2026</v>
      </c>
      <c r="Q395" s="29" t="s">
        <v>92</v>
      </c>
      <c r="R395" s="29"/>
      <c r="S395" s="34" t="n">
        <v>0</v>
      </c>
      <c r="T395" s="34" t="n">
        <v>212332</v>
      </c>
      <c r="U395" s="34" t="n">
        <v>40343</v>
      </c>
      <c r="V395" s="29"/>
      <c r="W395" s="35" t="n">
        <v>252675</v>
      </c>
      <c r="X395" s="36" t="n">
        <f aca="false">+Tabla[[#This Row],[TOTAL]]</f>
        <v>252675</v>
      </c>
      <c r="Y395" s="37"/>
      <c r="Z395" s="37"/>
      <c r="AA395" s="37"/>
      <c r="AB395" s="38" t="n">
        <f aca="false">+W395-AC395</f>
        <v>0</v>
      </c>
      <c r="AC395" s="34" t="n">
        <f aca="false">+Tabla[[#This Row],[P4]]+Tabla[[#This Row],[P3]]+Tabla[[#This Row],[P2]]+Tabla[[#This Row],[P1]]</f>
        <v>252675</v>
      </c>
      <c r="AD395" s="34" t="n">
        <f aca="false">+W395-AC395</f>
        <v>0</v>
      </c>
      <c r="AE395" s="21" t="str">
        <f aca="false">IF(AB395&lt;1,"PAGADA","PENDIENTE")</f>
        <v>PAGADA</v>
      </c>
      <c r="AF395" s="21"/>
      <c r="AG395" s="29" t="s">
        <v>77</v>
      </c>
      <c r="AH395" s="39" t="n">
        <v>46197</v>
      </c>
      <c r="AI395" s="40" t="n">
        <f aca="false">+IF(Tabla[[#This Row],[FECHA PAGO / ABONO]]&lt;1,0,(MONTH(Tabla[[#This Row],[FECHA PAGO / ABONO]])))</f>
        <v>6</v>
      </c>
      <c r="AJ395" s="40" t="n">
        <f aca="false">+IF(Tabla[[#This Row],[FECHA PAGO / ABONO]]&lt;1,0,(YEAR(Tabla[[#This Row],[FECHA PAGO / ABONO]])))</f>
        <v>2026</v>
      </c>
      <c r="AK395" s="41"/>
    </row>
    <row r="396" customFormat="false" ht="14.25" hidden="false" customHeight="false" outlineLevel="0" collapsed="false">
      <c r="A396" s="28" t="s">
        <v>201</v>
      </c>
      <c r="B396" s="29" t="s">
        <v>202</v>
      </c>
      <c r="C396" s="29" t="s">
        <v>69</v>
      </c>
      <c r="D396" s="21" t="n">
        <v>6632</v>
      </c>
      <c r="E396" s="21" t="str">
        <f aca="false">+CONCATENATE(Tabla[[#This Row],[RUT]],Tabla[[#This Row],[PROVEEDOR]],Tabla[[#This Row],[FACTURA]])</f>
        <v>76394590-1SERVICIOS PUBLICITARIOS PUBLIVISION LIMITADA6632</v>
      </c>
      <c r="F396" s="57" t="n">
        <v>46099</v>
      </c>
      <c r="G396" s="31" t="n">
        <f aca="false">+F396+30</f>
        <v>46129</v>
      </c>
      <c r="H396" s="29" t="n">
        <f aca="true">+IF(AE396="PAGADA",0,TODAY()-G396)</f>
        <v>0</v>
      </c>
      <c r="I396" s="29" t="str">
        <f aca="false">+IF(H396&gt;180,"Atrasada",IF(H396&gt;150,"150 dias",IF(H396&gt;120,"120 dias",IF(H396&gt;90,"90 dias",IF(H396&gt;60,"60 dias",IF(H396&gt;30,"30 dias","Al Día"))))))</f>
        <v>Al Día</v>
      </c>
      <c r="J396" s="32" t="s">
        <v>80</v>
      </c>
      <c r="K396" s="29" t="s">
        <v>81</v>
      </c>
      <c r="L396" s="33" t="s">
        <v>277</v>
      </c>
      <c r="M396" s="29" t="n">
        <f aca="false">+YEAR(F396)</f>
        <v>2026</v>
      </c>
      <c r="N396" s="29" t="n">
        <v>2026</v>
      </c>
      <c r="O396" s="29" t="n">
        <v>1</v>
      </c>
      <c r="P396" s="29" t="str">
        <f aca="false">+CONCATENATE(Tabla[[#This Row],[MES CAMPAÑA]],"/",Tabla[[#This Row],[AÑO CAMPAÑA]])</f>
        <v>1/2026</v>
      </c>
      <c r="Q396" s="29" t="s">
        <v>92</v>
      </c>
      <c r="R396" s="29"/>
      <c r="S396" s="34" t="n">
        <v>0</v>
      </c>
      <c r="T396" s="34" t="n">
        <v>386552</v>
      </c>
      <c r="U396" s="34" t="n">
        <v>73445</v>
      </c>
      <c r="V396" s="29"/>
      <c r="W396" s="35" t="n">
        <v>459997</v>
      </c>
      <c r="X396" s="36" t="n">
        <f aca="false">+Tabla[[#This Row],[TOTAL]]</f>
        <v>459997</v>
      </c>
      <c r="Y396" s="37"/>
      <c r="Z396" s="37"/>
      <c r="AA396" s="37"/>
      <c r="AB396" s="38" t="n">
        <f aca="false">+W396-AC396</f>
        <v>0</v>
      </c>
      <c r="AC396" s="34" t="n">
        <f aca="false">+Tabla[[#This Row],[P4]]+Tabla[[#This Row],[P3]]+Tabla[[#This Row],[P2]]+Tabla[[#This Row],[P1]]</f>
        <v>459997</v>
      </c>
      <c r="AD396" s="34" t="n">
        <f aca="false">+W396-AC396</f>
        <v>0</v>
      </c>
      <c r="AE396" s="21" t="str">
        <f aca="false">IF(AB396&lt;1,"PAGADA","PENDIENTE")</f>
        <v>PAGADA</v>
      </c>
      <c r="AF396" s="21"/>
      <c r="AG396" s="29" t="s">
        <v>77</v>
      </c>
      <c r="AH396" s="39" t="n">
        <v>46197</v>
      </c>
      <c r="AI396" s="40" t="n">
        <f aca="false">+IF(Tabla[[#This Row],[FECHA PAGO / ABONO]]&lt;1,0,(MONTH(Tabla[[#This Row],[FECHA PAGO / ABONO]])))</f>
        <v>6</v>
      </c>
      <c r="AJ396" s="40" t="n">
        <f aca="false">+IF(Tabla[[#This Row],[FECHA PAGO / ABONO]]&lt;1,0,(YEAR(Tabla[[#This Row],[FECHA PAGO / ABONO]])))</f>
        <v>2026</v>
      </c>
      <c r="AK396" s="41"/>
    </row>
    <row r="397" customFormat="false" ht="14.25" hidden="false" customHeight="false" outlineLevel="0" collapsed="false">
      <c r="A397" s="28" t="s">
        <v>201</v>
      </c>
      <c r="B397" s="29" t="s">
        <v>202</v>
      </c>
      <c r="C397" s="29" t="s">
        <v>69</v>
      </c>
      <c r="D397" s="21" t="n">
        <v>6633</v>
      </c>
      <c r="E397" s="21" t="str">
        <f aca="false">+CONCATENATE(Tabla[[#This Row],[RUT]],Tabla[[#This Row],[PROVEEDOR]],Tabla[[#This Row],[FACTURA]])</f>
        <v>76394590-1SERVICIOS PUBLICITARIOS PUBLIVISION LIMITADA6633</v>
      </c>
      <c r="F397" s="57" t="n">
        <v>46099</v>
      </c>
      <c r="G397" s="31" t="n">
        <f aca="false">+F397+30</f>
        <v>46129</v>
      </c>
      <c r="H397" s="29" t="n">
        <f aca="true">+IF(AE397="PAGADA",0,TODAY()-G397)</f>
        <v>0</v>
      </c>
      <c r="I397" s="29" t="str">
        <f aca="false">+IF(H397&gt;180,"Atrasada",IF(H397&gt;150,"150 dias",IF(H397&gt;120,"120 dias",IF(H397&gt;90,"90 dias",IF(H397&gt;60,"60 dias",IF(H397&gt;30,"30 dias","Al Día"))))))</f>
        <v>Al Día</v>
      </c>
      <c r="J397" s="32" t="s">
        <v>80</v>
      </c>
      <c r="K397" s="29" t="s">
        <v>81</v>
      </c>
      <c r="L397" s="33" t="s">
        <v>277</v>
      </c>
      <c r="M397" s="29" t="n">
        <f aca="false">+YEAR(F397)</f>
        <v>2026</v>
      </c>
      <c r="N397" s="29" t="n">
        <v>2026</v>
      </c>
      <c r="O397" s="29" t="n">
        <v>1</v>
      </c>
      <c r="P397" s="29" t="str">
        <f aca="false">+CONCATENATE(Tabla[[#This Row],[MES CAMPAÑA]],"/",Tabla[[#This Row],[AÑO CAMPAÑA]])</f>
        <v>1/2026</v>
      </c>
      <c r="Q397" s="29" t="s">
        <v>92</v>
      </c>
      <c r="R397" s="29"/>
      <c r="S397" s="34" t="n">
        <v>0</v>
      </c>
      <c r="T397" s="34" t="n">
        <v>386552</v>
      </c>
      <c r="U397" s="34" t="n">
        <v>73445</v>
      </c>
      <c r="V397" s="29"/>
      <c r="W397" s="35" t="n">
        <v>459997</v>
      </c>
      <c r="X397" s="36" t="n">
        <f aca="false">+Tabla[[#This Row],[TOTAL]]</f>
        <v>459997</v>
      </c>
      <c r="Y397" s="37"/>
      <c r="Z397" s="37"/>
      <c r="AA397" s="37"/>
      <c r="AB397" s="38" t="n">
        <f aca="false">+W397-AC397</f>
        <v>0</v>
      </c>
      <c r="AC397" s="34" t="n">
        <f aca="false">+Tabla[[#This Row],[P4]]+Tabla[[#This Row],[P3]]+Tabla[[#This Row],[P2]]+Tabla[[#This Row],[P1]]</f>
        <v>459997</v>
      </c>
      <c r="AD397" s="34" t="n">
        <f aca="false">+W397-AC397</f>
        <v>0</v>
      </c>
      <c r="AE397" s="21" t="str">
        <f aca="false">IF(AB397&lt;1,"PAGADA","PENDIENTE")</f>
        <v>PAGADA</v>
      </c>
      <c r="AF397" s="21"/>
      <c r="AG397" s="29" t="s">
        <v>77</v>
      </c>
      <c r="AH397" s="39" t="n">
        <v>46197</v>
      </c>
      <c r="AI397" s="40" t="n">
        <f aca="false">+IF(Tabla[[#This Row],[FECHA PAGO / ABONO]]&lt;1,0,(MONTH(Tabla[[#This Row],[FECHA PAGO / ABONO]])))</f>
        <v>6</v>
      </c>
      <c r="AJ397" s="40" t="n">
        <f aca="false">+IF(Tabla[[#This Row],[FECHA PAGO / ABONO]]&lt;1,0,(YEAR(Tabla[[#This Row],[FECHA PAGO / ABONO]])))</f>
        <v>2026</v>
      </c>
      <c r="AK397" s="41"/>
    </row>
    <row r="398" customFormat="false" ht="14.25" hidden="false" customHeight="false" outlineLevel="0" collapsed="false">
      <c r="A398" s="28" t="s">
        <v>201</v>
      </c>
      <c r="B398" s="29" t="s">
        <v>202</v>
      </c>
      <c r="C398" s="29" t="s">
        <v>69</v>
      </c>
      <c r="D398" s="21" t="n">
        <v>6634</v>
      </c>
      <c r="E398" s="21" t="str">
        <f aca="false">+CONCATENATE(Tabla[[#This Row],[RUT]],Tabla[[#This Row],[PROVEEDOR]],Tabla[[#This Row],[FACTURA]])</f>
        <v>76394590-1SERVICIOS PUBLICITARIOS PUBLIVISION LIMITADA6634</v>
      </c>
      <c r="F398" s="57" t="n">
        <v>46099</v>
      </c>
      <c r="G398" s="31" t="n">
        <f aca="false">+F398+30</f>
        <v>46129</v>
      </c>
      <c r="H398" s="29" t="n">
        <f aca="true">+IF(AE398="PAGADA",0,TODAY()-G398)</f>
        <v>0</v>
      </c>
      <c r="I398" s="29" t="str">
        <f aca="false">+IF(H398&gt;180,"Atrasada",IF(H398&gt;150,"150 dias",IF(H398&gt;120,"120 dias",IF(H398&gt;90,"90 dias",IF(H398&gt;60,"60 dias",IF(H398&gt;30,"30 dias","Al Día"))))))</f>
        <v>Al Día</v>
      </c>
      <c r="J398" s="32" t="s">
        <v>80</v>
      </c>
      <c r="K398" s="29" t="s">
        <v>81</v>
      </c>
      <c r="L398" s="33" t="s">
        <v>277</v>
      </c>
      <c r="M398" s="29" t="n">
        <f aca="false">+YEAR(F398)</f>
        <v>2026</v>
      </c>
      <c r="N398" s="29" t="n">
        <v>2026</v>
      </c>
      <c r="O398" s="29" t="n">
        <v>1</v>
      </c>
      <c r="P398" s="29" t="str">
        <f aca="false">+CONCATENATE(Tabla[[#This Row],[MES CAMPAÑA]],"/",Tabla[[#This Row],[AÑO CAMPAÑA]])</f>
        <v>1/2026</v>
      </c>
      <c r="Q398" s="29" t="s">
        <v>92</v>
      </c>
      <c r="R398" s="29"/>
      <c r="S398" s="34" t="n">
        <v>0</v>
      </c>
      <c r="T398" s="34" t="n">
        <v>386552</v>
      </c>
      <c r="U398" s="34" t="n">
        <v>73445</v>
      </c>
      <c r="V398" s="29"/>
      <c r="W398" s="35" t="n">
        <v>459997</v>
      </c>
      <c r="X398" s="36" t="n">
        <f aca="false">+Tabla[[#This Row],[TOTAL]]</f>
        <v>459997</v>
      </c>
      <c r="Y398" s="37"/>
      <c r="Z398" s="37"/>
      <c r="AA398" s="37"/>
      <c r="AB398" s="38" t="n">
        <f aca="false">+W398-AC398</f>
        <v>0</v>
      </c>
      <c r="AC398" s="34" t="n">
        <f aca="false">+Tabla[[#This Row],[P4]]+Tabla[[#This Row],[P3]]+Tabla[[#This Row],[P2]]+Tabla[[#This Row],[P1]]</f>
        <v>459997</v>
      </c>
      <c r="AD398" s="34" t="n">
        <f aca="false">+W398-AC398</f>
        <v>0</v>
      </c>
      <c r="AE398" s="21" t="str">
        <f aca="false">IF(AB398&lt;1,"PAGADA","PENDIENTE")</f>
        <v>PAGADA</v>
      </c>
      <c r="AF398" s="21"/>
      <c r="AG398" s="29" t="s">
        <v>77</v>
      </c>
      <c r="AH398" s="39" t="n">
        <v>46197</v>
      </c>
      <c r="AI398" s="40" t="n">
        <f aca="false">+IF(Tabla[[#This Row],[FECHA PAGO / ABONO]]&lt;1,0,(MONTH(Tabla[[#This Row],[FECHA PAGO / ABONO]])))</f>
        <v>6</v>
      </c>
      <c r="AJ398" s="40" t="n">
        <f aca="false">+IF(Tabla[[#This Row],[FECHA PAGO / ABONO]]&lt;1,0,(YEAR(Tabla[[#This Row],[FECHA PAGO / ABONO]])))</f>
        <v>2026</v>
      </c>
      <c r="AK398" s="41"/>
    </row>
    <row r="399" customFormat="false" ht="14.25" hidden="false" customHeight="false" outlineLevel="0" collapsed="false">
      <c r="A399" s="28" t="s">
        <v>197</v>
      </c>
      <c r="B399" s="29" t="s">
        <v>198</v>
      </c>
      <c r="C399" s="29" t="s">
        <v>69</v>
      </c>
      <c r="D399" s="21" t="n">
        <v>34305837</v>
      </c>
      <c r="E399" s="21" t="str">
        <f aca="false">+CONCATENATE(Tabla[[#This Row],[RUT]],Tabla[[#This Row],[PROVEEDOR]],Tabla[[#This Row],[FACTURA]])</f>
        <v>96800570-7ENEL DISTRIBUCIÃ“N CHILE S.A34305837</v>
      </c>
      <c r="F399" s="57" t="n">
        <v>46100</v>
      </c>
      <c r="G399" s="31" t="n">
        <f aca="false">+F399+30</f>
        <v>46130</v>
      </c>
      <c r="H399" s="29" t="n">
        <f aca="true">+IF(AE399="PAGADA",0,TODAY()-G399)</f>
        <v>0</v>
      </c>
      <c r="I399" s="29" t="str">
        <f aca="false">+IF(H399&gt;180,"Atrasada",IF(H399&gt;150,"150 dias",IF(H399&gt;120,"120 dias",IF(H399&gt;90,"90 dias",IF(H399&gt;60,"60 dias",IF(H399&gt;30,"30 dias","Al Día"))))))</f>
        <v>Al Día</v>
      </c>
      <c r="J399" s="32" t="s">
        <v>31</v>
      </c>
      <c r="K399" s="29" t="s">
        <v>81</v>
      </c>
      <c r="L399" s="33" t="s">
        <v>277</v>
      </c>
      <c r="M399" s="29" t="n">
        <f aca="false">+YEAR(F399)</f>
        <v>2026</v>
      </c>
      <c r="N399" s="29" t="n">
        <v>2026</v>
      </c>
      <c r="O399" s="29" t="n">
        <v>3</v>
      </c>
      <c r="P399" s="29" t="str">
        <f aca="false">+CONCATENATE(Tabla[[#This Row],[MES CAMPAÑA]],"/",Tabla[[#This Row],[AÑO CAMPAÑA]])</f>
        <v>3/2026</v>
      </c>
      <c r="Q399" s="29" t="s">
        <v>73</v>
      </c>
      <c r="R399" s="29"/>
      <c r="S399" s="34" t="n">
        <v>2</v>
      </c>
      <c r="T399" s="34" t="n">
        <v>1002</v>
      </c>
      <c r="U399" s="34" t="n">
        <v>190</v>
      </c>
      <c r="V399" s="29"/>
      <c r="W399" s="35" t="n">
        <v>1194</v>
      </c>
      <c r="X399" s="36" t="n">
        <f aca="false">+Tabla[[#This Row],[TOTAL]]</f>
        <v>1194</v>
      </c>
      <c r="Y399" s="37"/>
      <c r="Z399" s="37"/>
      <c r="AA399" s="37"/>
      <c r="AB399" s="38" t="n">
        <f aca="false">+W399-AC399</f>
        <v>0</v>
      </c>
      <c r="AC399" s="34" t="n">
        <f aca="false">+Tabla[[#This Row],[P4]]+Tabla[[#This Row],[P3]]+Tabla[[#This Row],[P2]]+Tabla[[#This Row],[P1]]</f>
        <v>1194</v>
      </c>
      <c r="AD399" s="34" t="n">
        <f aca="false">+W399-AC399</f>
        <v>0</v>
      </c>
      <c r="AE399" s="21" t="str">
        <f aca="false">IF(AB399&lt;1,"PAGADA","PENDIENTE")</f>
        <v>PAGADA</v>
      </c>
      <c r="AF399" s="21"/>
      <c r="AG399" s="29"/>
      <c r="AH399" s="40"/>
      <c r="AI399" s="40" t="n">
        <f aca="false">+IF(Tabla[[#This Row],[FECHA PAGO / ABONO]]&lt;1,0,(MONTH(Tabla[[#This Row],[FECHA PAGO / ABONO]])))</f>
        <v>0</v>
      </c>
      <c r="AJ399" s="40" t="n">
        <f aca="false">+IF(Tabla[[#This Row],[FECHA PAGO / ABONO]]&lt;1,0,(YEAR(Tabla[[#This Row],[FECHA PAGO / ABONO]])))</f>
        <v>0</v>
      </c>
      <c r="AK399" s="41"/>
    </row>
    <row r="400" customFormat="false" ht="14.25" hidden="false" customHeight="false" outlineLevel="0" collapsed="false">
      <c r="A400" s="28" t="s">
        <v>147</v>
      </c>
      <c r="B400" s="29" t="s">
        <v>148</v>
      </c>
      <c r="C400" s="29" t="s">
        <v>69</v>
      </c>
      <c r="D400" s="21" t="n">
        <v>11554</v>
      </c>
      <c r="E400" s="21" t="str">
        <f aca="false">+CONCATENATE(Tabla[[#This Row],[RUT]],Tabla[[#This Row],[PROVEEDOR]],Tabla[[#This Row],[FACTURA]])</f>
        <v>80314100-2EMPRESA PUBLICITARIA ANEPCO SPA11554</v>
      </c>
      <c r="F400" s="57" t="n">
        <v>46101</v>
      </c>
      <c r="G400" s="31" t="n">
        <f aca="false">+F400+30</f>
        <v>46131</v>
      </c>
      <c r="H400" s="29" t="n">
        <f aca="true">+IF(AE400="PAGADA",0,TODAY()-G400)</f>
        <v>0</v>
      </c>
      <c r="I400" s="29" t="str">
        <f aca="false">+IF(H400&gt;180,"Atrasada",IF(H400&gt;150,"150 dias",IF(H400&gt;120,"120 dias",IF(H400&gt;90,"90 dias",IF(H400&gt;60,"60 dias",IF(H400&gt;30,"30 dias","Al Día"))))))</f>
        <v>Al Día</v>
      </c>
      <c r="J400" s="32" t="s">
        <v>80</v>
      </c>
      <c r="K400" s="29" t="s">
        <v>81</v>
      </c>
      <c r="L400" s="33" t="s">
        <v>277</v>
      </c>
      <c r="M400" s="29" t="n">
        <f aca="false">+YEAR(F400)</f>
        <v>2026</v>
      </c>
      <c r="N400" s="29" t="n">
        <v>2026</v>
      </c>
      <c r="O400" s="29" t="n">
        <v>2</v>
      </c>
      <c r="P400" s="29" t="str">
        <f aca="false">+CONCATENATE(Tabla[[#This Row],[MES CAMPAÑA]],"/",Tabla[[#This Row],[AÑO CAMPAÑA]])</f>
        <v>2/2026</v>
      </c>
      <c r="Q400" s="29" t="s">
        <v>92</v>
      </c>
      <c r="R400" s="29"/>
      <c r="S400" s="34" t="n">
        <v>0</v>
      </c>
      <c r="T400" s="34" t="n">
        <v>602620</v>
      </c>
      <c r="U400" s="34" t="n">
        <v>114498</v>
      </c>
      <c r="V400" s="29"/>
      <c r="W400" s="35" t="n">
        <v>717118</v>
      </c>
      <c r="X400" s="36" t="n">
        <f aca="false">+Tabla[[#This Row],[TOTAL]]</f>
        <v>717118</v>
      </c>
      <c r="Y400" s="37"/>
      <c r="Z400" s="37"/>
      <c r="AA400" s="37"/>
      <c r="AB400" s="38" t="n">
        <f aca="false">+W400-AC400</f>
        <v>0</v>
      </c>
      <c r="AC400" s="34" t="n">
        <f aca="false">+Tabla[[#This Row],[P4]]+Tabla[[#This Row],[P3]]+Tabla[[#This Row],[P2]]+Tabla[[#This Row],[P1]]</f>
        <v>717118</v>
      </c>
      <c r="AD400" s="34" t="n">
        <f aca="false">+W400-AC400</f>
        <v>0</v>
      </c>
      <c r="AE400" s="21" t="str">
        <f aca="false">IF(AB400&lt;1,"PAGADA","PENDIENTE")</f>
        <v>PAGADA</v>
      </c>
      <c r="AF400" s="21"/>
      <c r="AG400" s="29" t="s">
        <v>77</v>
      </c>
      <c r="AH400" s="39" t="n">
        <v>46132</v>
      </c>
      <c r="AI400" s="40" t="n">
        <f aca="false">+IF(Tabla[[#This Row],[FECHA PAGO / ABONO]]&lt;1,0,(MONTH(Tabla[[#This Row],[FECHA PAGO / ABONO]])))</f>
        <v>4</v>
      </c>
      <c r="AJ400" s="40" t="n">
        <f aca="false">+IF(Tabla[[#This Row],[FECHA PAGO / ABONO]]&lt;1,0,(YEAR(Tabla[[#This Row],[FECHA PAGO / ABONO]])))</f>
        <v>2026</v>
      </c>
      <c r="AK400" s="41"/>
    </row>
    <row r="401" customFormat="false" ht="14.25" hidden="false" customHeight="false" outlineLevel="0" collapsed="false">
      <c r="A401" s="28" t="s">
        <v>242</v>
      </c>
      <c r="B401" s="29" t="s">
        <v>243</v>
      </c>
      <c r="C401" s="29" t="s">
        <v>125</v>
      </c>
      <c r="D401" s="21" t="n">
        <v>4184550</v>
      </c>
      <c r="E401" s="21" t="str">
        <f aca="false">+CONCATENATE(Tabla[[#This Row],[RUT]],Tabla[[#This Row],[PROVEEDOR]],Tabla[[#This Row],[FACTURA]])</f>
        <v>90193000-7Empresa El Mercurio S.A.P.4184550</v>
      </c>
      <c r="F401" s="57" t="n">
        <v>46101</v>
      </c>
      <c r="G401" s="31" t="n">
        <f aca="false">+F401+30</f>
        <v>46131</v>
      </c>
      <c r="H401" s="29" t="n">
        <f aca="true">+IF(AE401="PAGADA",0,TODAY()-G401)</f>
        <v>0</v>
      </c>
      <c r="I401" s="29" t="str">
        <f aca="false">+IF(H401&gt;180,"Atrasada",IF(H401&gt;150,"150 dias",IF(H401&gt;120,"120 dias",IF(H401&gt;90,"90 dias",IF(H401&gt;60,"60 dias",IF(H401&gt;30,"30 dias","Al Día"))))))</f>
        <v>Al Día</v>
      </c>
      <c r="J401" s="32" t="s">
        <v>80</v>
      </c>
      <c r="K401" s="29" t="s">
        <v>126</v>
      </c>
      <c r="L401" s="33" t="s">
        <v>277</v>
      </c>
      <c r="M401" s="29" t="n">
        <f aca="false">+YEAR(F401)</f>
        <v>2026</v>
      </c>
      <c r="N401" s="29" t="n">
        <v>2025</v>
      </c>
      <c r="O401" s="29" t="n">
        <v>1</v>
      </c>
      <c r="P401" s="29" t="str">
        <f aca="false">+CONCATENATE(Tabla[[#This Row],[MES CAMPAÑA]],"/",Tabla[[#This Row],[AÑO CAMPAÑA]])</f>
        <v>1/2025</v>
      </c>
      <c r="Q401" s="29" t="s">
        <v>120</v>
      </c>
      <c r="R401" s="29"/>
      <c r="S401" s="34" t="n">
        <v>0</v>
      </c>
      <c r="T401" s="34" t="n">
        <v>54514</v>
      </c>
      <c r="U401" s="34" t="n">
        <v>10358</v>
      </c>
      <c r="V401" s="29"/>
      <c r="W401" s="35" t="n">
        <v>64872</v>
      </c>
      <c r="X401" s="36" t="n">
        <f aca="false">+Tabla[[#This Row],[TOTAL]]</f>
        <v>64872</v>
      </c>
      <c r="Y401" s="37"/>
      <c r="Z401" s="37"/>
      <c r="AA401" s="37"/>
      <c r="AB401" s="38" t="n">
        <f aca="false">+W401-AC401</f>
        <v>0</v>
      </c>
      <c r="AC401" s="34" t="n">
        <f aca="false">+Tabla[[#This Row],[P4]]+Tabla[[#This Row],[P3]]+Tabla[[#This Row],[P2]]+Tabla[[#This Row],[P1]]</f>
        <v>64872</v>
      </c>
      <c r="AD401" s="34" t="n">
        <f aca="false">+W401-AC401</f>
        <v>0</v>
      </c>
      <c r="AE401" s="21" t="str">
        <f aca="false">IF(AB401&lt;1,"PAGADA","PENDIENTE")</f>
        <v>PAGADA</v>
      </c>
      <c r="AF401" s="21"/>
      <c r="AG401" s="29" t="s">
        <v>126</v>
      </c>
      <c r="AH401" s="40"/>
      <c r="AI401" s="40" t="n">
        <f aca="false">+IF(Tabla[[#This Row],[FECHA PAGO / ABONO]]&lt;1,0,(MONTH(Tabla[[#This Row],[FECHA PAGO / ABONO]])))</f>
        <v>0</v>
      </c>
      <c r="AJ401" s="40" t="n">
        <f aca="false">+IF(Tabla[[#This Row],[FECHA PAGO / ABONO]]&lt;1,0,(YEAR(Tabla[[#This Row],[FECHA PAGO / ABONO]])))</f>
        <v>0</v>
      </c>
      <c r="AK401" s="41" t="s">
        <v>289</v>
      </c>
    </row>
    <row r="402" customFormat="false" ht="14.25" hidden="false" customHeight="false" outlineLevel="0" collapsed="false">
      <c r="A402" s="28" t="s">
        <v>242</v>
      </c>
      <c r="B402" s="29" t="s">
        <v>243</v>
      </c>
      <c r="C402" s="29" t="s">
        <v>69</v>
      </c>
      <c r="D402" s="21" t="n">
        <v>15726101</v>
      </c>
      <c r="E402" s="21" t="str">
        <f aca="false">+CONCATENATE(Tabla[[#This Row],[RUT]],Tabla[[#This Row],[PROVEEDOR]],Tabla[[#This Row],[FACTURA]])</f>
        <v>90193000-7Empresa El Mercurio S.A.P.15726101</v>
      </c>
      <c r="F402" s="57" t="n">
        <v>46101</v>
      </c>
      <c r="G402" s="31" t="n">
        <f aca="false">+F402+30</f>
        <v>46131</v>
      </c>
      <c r="H402" s="29" t="n">
        <f aca="true">+IF(AE402="PAGADA",0,TODAY()-G402)</f>
        <v>73</v>
      </c>
      <c r="I402" s="29" t="str">
        <f aca="false">+IF(H402&gt;180,"Atrasada",IF(H402&gt;150,"150 dias",IF(H402&gt;120,"120 dias",IF(H402&gt;90,"90 dias",IF(H402&gt;60,"60 dias",IF(H402&gt;30,"30 dias","Al Día"))))))</f>
        <v>60 dias</v>
      </c>
      <c r="J402" s="32" t="s">
        <v>80</v>
      </c>
      <c r="K402" s="29" t="s">
        <v>81</v>
      </c>
      <c r="L402" s="33" t="s">
        <v>277</v>
      </c>
      <c r="M402" s="29" t="n">
        <f aca="false">+YEAR(F402)</f>
        <v>2026</v>
      </c>
      <c r="N402" s="29" t="n">
        <v>2026</v>
      </c>
      <c r="O402" s="29" t="n">
        <v>1</v>
      </c>
      <c r="P402" s="29" t="str">
        <f aca="false">+CONCATENATE(Tabla[[#This Row],[MES CAMPAÑA]],"/",Tabla[[#This Row],[AÑO CAMPAÑA]])</f>
        <v>1/2026</v>
      </c>
      <c r="Q402" s="29" t="s">
        <v>290</v>
      </c>
      <c r="R402" s="29"/>
      <c r="S402" s="34" t="n">
        <v>0</v>
      </c>
      <c r="T402" s="34" t="n">
        <v>54514</v>
      </c>
      <c r="U402" s="34" t="n">
        <v>10358</v>
      </c>
      <c r="V402" s="29"/>
      <c r="W402" s="35" t="n">
        <v>64872</v>
      </c>
      <c r="X402" s="36"/>
      <c r="Y402" s="37"/>
      <c r="Z402" s="37"/>
      <c r="AA402" s="37"/>
      <c r="AB402" s="38" t="n">
        <f aca="false">+W402-AC402</f>
        <v>64872</v>
      </c>
      <c r="AC402" s="34" t="n">
        <f aca="false">+Tabla[[#This Row],[P4]]+Tabla[[#This Row],[P3]]+Tabla[[#This Row],[P2]]+Tabla[[#This Row],[P1]]</f>
        <v>0</v>
      </c>
      <c r="AD402" s="34" t="n">
        <f aca="false">+W402-AC402</f>
        <v>64872</v>
      </c>
      <c r="AE402" s="21" t="str">
        <f aca="false">IF(AB402&lt;1,"PAGADA","PENDIENTE")</f>
        <v>PENDIENTE</v>
      </c>
      <c r="AF402" s="21" t="s">
        <v>246</v>
      </c>
      <c r="AG402" s="29"/>
      <c r="AH402" s="40"/>
      <c r="AI402" s="40" t="n">
        <f aca="false">+IF(Tabla[[#This Row],[FECHA PAGO / ABONO]]&lt;1,0,(MONTH(Tabla[[#This Row],[FECHA PAGO / ABONO]])))</f>
        <v>0</v>
      </c>
      <c r="AJ402" s="40" t="n">
        <f aca="false">+IF(Tabla[[#This Row],[FECHA PAGO / ABONO]]&lt;1,0,(YEAR(Tabla[[#This Row],[FECHA PAGO / ABONO]])))</f>
        <v>0</v>
      </c>
      <c r="AK402" s="41"/>
    </row>
    <row r="403" customFormat="false" ht="14.25" hidden="false" customHeight="false" outlineLevel="0" collapsed="false">
      <c r="A403" s="28" t="s">
        <v>101</v>
      </c>
      <c r="B403" s="29" t="s">
        <v>102</v>
      </c>
      <c r="C403" s="29" t="s">
        <v>69</v>
      </c>
      <c r="D403" s="21" t="n">
        <v>29695274</v>
      </c>
      <c r="E403" s="21" t="str">
        <f aca="false">+CONCATENATE(Tabla[[#This Row],[RUT]],Tabla[[#This Row],[PROVEEDOR]],Tabla[[#This Row],[FACTURA]])</f>
        <v>97006000-6BANCO DE CREDITO E INVERSIONES29695274</v>
      </c>
      <c r="F403" s="57" t="n">
        <v>46101</v>
      </c>
      <c r="G403" s="31" t="n">
        <f aca="false">+F403+30</f>
        <v>46131</v>
      </c>
      <c r="H403" s="29" t="n">
        <f aca="true">+IF(AE403="PAGADA",0,TODAY()-G403)</f>
        <v>0</v>
      </c>
      <c r="I403" s="29" t="str">
        <f aca="false">+IF(H403&gt;180,"Atrasada",IF(H403&gt;150,"150 dias",IF(H403&gt;120,"120 dias",IF(H403&gt;90,"90 dias",IF(H403&gt;60,"60 dias",IF(H403&gt;30,"30 dias","Al Día"))))))</f>
        <v>Al Día</v>
      </c>
      <c r="J403" s="32" t="s">
        <v>31</v>
      </c>
      <c r="K403" s="29" t="s">
        <v>81</v>
      </c>
      <c r="L403" s="33" t="s">
        <v>277</v>
      </c>
      <c r="M403" s="29" t="n">
        <f aca="false">+YEAR(F403)</f>
        <v>2026</v>
      </c>
      <c r="N403" s="29" t="n">
        <v>2026</v>
      </c>
      <c r="O403" s="29" t="n">
        <v>3</v>
      </c>
      <c r="P403" s="29" t="str">
        <f aca="false">+CONCATENATE(Tabla[[#This Row],[MES CAMPAÑA]],"/",Tabla[[#This Row],[AÑO CAMPAÑA]])</f>
        <v>3/2026</v>
      </c>
      <c r="Q403" s="29" t="s">
        <v>73</v>
      </c>
      <c r="R403" s="29"/>
      <c r="S403" s="34" t="n">
        <v>0</v>
      </c>
      <c r="T403" s="34" t="n">
        <v>69039</v>
      </c>
      <c r="U403" s="34" t="n">
        <v>13117</v>
      </c>
      <c r="V403" s="29"/>
      <c r="W403" s="35" t="n">
        <v>82156</v>
      </c>
      <c r="X403" s="36" t="n">
        <f aca="false">+Tabla[[#This Row],[TOTAL]]</f>
        <v>82156</v>
      </c>
      <c r="Y403" s="37"/>
      <c r="Z403" s="37"/>
      <c r="AA403" s="37"/>
      <c r="AB403" s="38" t="n">
        <f aca="false">+W403-AC403</f>
        <v>0</v>
      </c>
      <c r="AC403" s="34" t="n">
        <f aca="false">+Tabla[[#This Row],[P4]]+Tabla[[#This Row],[P3]]+Tabla[[#This Row],[P2]]+Tabla[[#This Row],[P1]]</f>
        <v>82156</v>
      </c>
      <c r="AD403" s="34" t="n">
        <f aca="false">+W403-AC403</f>
        <v>0</v>
      </c>
      <c r="AE403" s="21" t="str">
        <f aca="false">IF(AB403&lt;1,"PAGADA","PENDIENTE")</f>
        <v>PAGADA</v>
      </c>
      <c r="AF403" s="21"/>
      <c r="AG403" s="29"/>
      <c r="AH403" s="40"/>
      <c r="AI403" s="40" t="n">
        <f aca="false">+IF(Tabla[[#This Row],[FECHA PAGO / ABONO]]&lt;1,0,(MONTH(Tabla[[#This Row],[FECHA PAGO / ABONO]])))</f>
        <v>0</v>
      </c>
      <c r="AJ403" s="40" t="n">
        <f aca="false">+IF(Tabla[[#This Row],[FECHA PAGO / ABONO]]&lt;1,0,(YEAR(Tabla[[#This Row],[FECHA PAGO / ABONO]])))</f>
        <v>0</v>
      </c>
      <c r="AK403" s="41"/>
    </row>
    <row r="404" customFormat="false" ht="14.25" hidden="false" customHeight="false" outlineLevel="0" collapsed="false">
      <c r="A404" s="28" t="s">
        <v>291</v>
      </c>
      <c r="B404" s="29" t="s">
        <v>292</v>
      </c>
      <c r="C404" s="29" t="s">
        <v>69</v>
      </c>
      <c r="D404" s="21" t="n">
        <v>2999</v>
      </c>
      <c r="E404" s="21" t="str">
        <f aca="false">+CONCATENATE(Tabla[[#This Row],[RUT]],Tabla[[#This Row],[PROVEEDOR]],Tabla[[#This Row],[FACTURA]])</f>
        <v>76213392-KQ MARKETING S.A2999</v>
      </c>
      <c r="F404" s="57" t="n">
        <v>46105</v>
      </c>
      <c r="G404" s="31" t="n">
        <f aca="false">+F404+30</f>
        <v>46135</v>
      </c>
      <c r="H404" s="29" t="n">
        <f aca="true">+IF(AE404="PAGADA",0,TODAY()-G404)</f>
        <v>0</v>
      </c>
      <c r="I404" s="29" t="str">
        <f aca="false">+IF(H404&gt;180,"Atrasada",IF(H404&gt;150,"150 dias",IF(H404&gt;120,"120 dias",IF(H404&gt;90,"90 dias",IF(H404&gt;60,"60 dias",IF(H404&gt;30,"30 dias","Al Día"))))))</f>
        <v>Al Día</v>
      </c>
      <c r="J404" s="32" t="s">
        <v>31</v>
      </c>
      <c r="K404" s="29" t="s">
        <v>81</v>
      </c>
      <c r="L404" s="33" t="s">
        <v>277</v>
      </c>
      <c r="M404" s="29" t="n">
        <f aca="false">+YEAR(F404)</f>
        <v>2026</v>
      </c>
      <c r="N404" s="29" t="n">
        <v>2026</v>
      </c>
      <c r="O404" s="29" t="n">
        <v>3</v>
      </c>
      <c r="P404" s="29" t="str">
        <f aca="false">+CONCATENATE(Tabla[[#This Row],[MES CAMPAÑA]],"/",Tabla[[#This Row],[AÑO CAMPAÑA]])</f>
        <v>3/2026</v>
      </c>
      <c r="Q404" s="29" t="s">
        <v>73</v>
      </c>
      <c r="R404" s="29"/>
      <c r="S404" s="34" t="n">
        <v>0</v>
      </c>
      <c r="T404" s="34" t="n">
        <v>1739051</v>
      </c>
      <c r="U404" s="34" t="n">
        <v>330420</v>
      </c>
      <c r="V404" s="29"/>
      <c r="W404" s="35" t="n">
        <v>2069471</v>
      </c>
      <c r="X404" s="36" t="n">
        <f aca="false">+Tabla[[#This Row],[TOTAL]]</f>
        <v>2069471</v>
      </c>
      <c r="Y404" s="37"/>
      <c r="Z404" s="37"/>
      <c r="AA404" s="37"/>
      <c r="AB404" s="38" t="n">
        <f aca="false">+W404-AC404</f>
        <v>0</v>
      </c>
      <c r="AC404" s="34" t="n">
        <f aca="false">+Tabla[[#This Row],[P4]]+Tabla[[#This Row],[P3]]+Tabla[[#This Row],[P2]]+Tabla[[#This Row],[P1]]</f>
        <v>2069471</v>
      </c>
      <c r="AD404" s="34" t="n">
        <f aca="false">+W404-AC404</f>
        <v>0</v>
      </c>
      <c r="AE404" s="21" t="str">
        <f aca="false">IF(AB404&lt;1,"PAGADA","PENDIENTE")</f>
        <v>PAGADA</v>
      </c>
      <c r="AF404" s="21"/>
      <c r="AG404" s="29" t="s">
        <v>77</v>
      </c>
      <c r="AH404" s="39" t="n">
        <v>46176</v>
      </c>
      <c r="AI404" s="40" t="n">
        <f aca="false">+IF(Tabla[[#This Row],[FECHA PAGO / ABONO]]&lt;1,0,(MONTH(Tabla[[#This Row],[FECHA PAGO / ABONO]])))</f>
        <v>6</v>
      </c>
      <c r="AJ404" s="40" t="n">
        <f aca="false">+IF(Tabla[[#This Row],[FECHA PAGO / ABONO]]&lt;1,0,(YEAR(Tabla[[#This Row],[FECHA PAGO / ABONO]])))</f>
        <v>2026</v>
      </c>
      <c r="AK404" s="41"/>
    </row>
    <row r="405" customFormat="false" ht="14.25" hidden="false" customHeight="false" outlineLevel="0" collapsed="false">
      <c r="A405" s="28" t="s">
        <v>116</v>
      </c>
      <c r="B405" s="29" t="s">
        <v>117</v>
      </c>
      <c r="C405" s="29" t="s">
        <v>69</v>
      </c>
      <c r="D405" s="21" t="n">
        <v>1402</v>
      </c>
      <c r="E405" s="21" t="str">
        <f aca="false">+CONCATENATE(Tabla[[#This Row],[RUT]],Tabla[[#This Row],[PROVEEDOR]],Tabla[[#This Row],[FACTURA]])</f>
        <v>77954644-6WAPA MARKETING Y COMUNICACIONES LIMITADA.1402</v>
      </c>
      <c r="F405" s="57" t="n">
        <v>46106</v>
      </c>
      <c r="G405" s="31" t="n">
        <f aca="false">+F405+30</f>
        <v>46136</v>
      </c>
      <c r="H405" s="29" t="n">
        <f aca="true">+IF(AE405="PAGADA",0,TODAY()-G405)</f>
        <v>0</v>
      </c>
      <c r="I405" s="29" t="str">
        <f aca="false">+IF(H405&gt;180,"Atrasada",IF(H405&gt;150,"150 dias",IF(H405&gt;120,"120 dias",IF(H405&gt;90,"90 dias",IF(H405&gt;60,"60 dias",IF(H405&gt;30,"30 dias","Al Día"))))))</f>
        <v>Al Día</v>
      </c>
      <c r="J405" s="32" t="s">
        <v>80</v>
      </c>
      <c r="K405" s="29" t="s">
        <v>81</v>
      </c>
      <c r="L405" s="33" t="s">
        <v>277</v>
      </c>
      <c r="M405" s="29" t="n">
        <f aca="false">+YEAR(F405)</f>
        <v>2026</v>
      </c>
      <c r="N405" s="29" t="n">
        <v>2026</v>
      </c>
      <c r="O405" s="29" t="n">
        <v>2</v>
      </c>
      <c r="P405" s="29" t="str">
        <f aca="false">+CONCATENATE(Tabla[[#This Row],[MES CAMPAÑA]],"/",Tabla[[#This Row],[AÑO CAMPAÑA]])</f>
        <v>2/2026</v>
      </c>
      <c r="Q405" s="29" t="s">
        <v>92</v>
      </c>
      <c r="R405" s="29"/>
      <c r="S405" s="34" t="n">
        <v>0</v>
      </c>
      <c r="T405" s="34" t="n">
        <v>430000</v>
      </c>
      <c r="U405" s="34" t="n">
        <v>81700</v>
      </c>
      <c r="V405" s="29"/>
      <c r="W405" s="35" t="n">
        <v>511700</v>
      </c>
      <c r="X405" s="36" t="n">
        <f aca="false">+Tabla[[#This Row],[TOTAL]]</f>
        <v>511700</v>
      </c>
      <c r="Y405" s="37"/>
      <c r="Z405" s="37"/>
      <c r="AA405" s="37"/>
      <c r="AB405" s="38" t="n">
        <f aca="false">+W405-AC405</f>
        <v>0</v>
      </c>
      <c r="AC405" s="34" t="n">
        <f aca="false">+Tabla[[#This Row],[P4]]+Tabla[[#This Row],[P3]]+Tabla[[#This Row],[P2]]+Tabla[[#This Row],[P1]]</f>
        <v>511700</v>
      </c>
      <c r="AD405" s="34" t="n">
        <f aca="false">+W405-AC405</f>
        <v>0</v>
      </c>
      <c r="AE405" s="21" t="str">
        <f aca="false">IF(AB405&lt;1,"PAGADA","PENDIENTE")</f>
        <v>PAGADA</v>
      </c>
      <c r="AF405" s="21"/>
      <c r="AG405" s="29" t="s">
        <v>77</v>
      </c>
      <c r="AH405" s="39" t="n">
        <v>46162</v>
      </c>
      <c r="AI405" s="40" t="n">
        <f aca="false">+IF(Tabla[[#This Row],[FECHA PAGO / ABONO]]&lt;1,0,(MONTH(Tabla[[#This Row],[FECHA PAGO / ABONO]])))</f>
        <v>5</v>
      </c>
      <c r="AJ405" s="40" t="n">
        <f aca="false">+IF(Tabla[[#This Row],[FECHA PAGO / ABONO]]&lt;1,0,(YEAR(Tabla[[#This Row],[FECHA PAGO / ABONO]])))</f>
        <v>2026</v>
      </c>
      <c r="AK405" s="41"/>
    </row>
    <row r="406" customFormat="false" ht="14.25" hidden="false" customHeight="false" outlineLevel="0" collapsed="false">
      <c r="A406" s="28" t="s">
        <v>127</v>
      </c>
      <c r="B406" s="29" t="s">
        <v>128</v>
      </c>
      <c r="C406" s="29" t="s">
        <v>69</v>
      </c>
      <c r="D406" s="21" t="n">
        <v>47077</v>
      </c>
      <c r="E406" s="21" t="str">
        <f aca="false">+CONCATENATE(Tabla[[#This Row],[RUT]],Tabla[[#This Row],[PROVEEDOR]],Tabla[[#This Row],[FACTURA]])</f>
        <v>84364100-8Publicidad Exterior Publivia SpA47077</v>
      </c>
      <c r="F406" s="57" t="n">
        <v>46106</v>
      </c>
      <c r="G406" s="31" t="n">
        <f aca="false">+F406+30</f>
        <v>46136</v>
      </c>
      <c r="H406" s="29" t="n">
        <f aca="true">+IF(AE406="PAGADA",0,TODAY()-G406)</f>
        <v>68</v>
      </c>
      <c r="I406" s="29" t="str">
        <f aca="false">+IF(H406&gt;180,"Atrasada",IF(H406&gt;150,"150 dias",IF(H406&gt;120,"120 dias",IF(H406&gt;90,"90 dias",IF(H406&gt;60,"60 dias",IF(H406&gt;30,"30 dias","Al Día"))))))</f>
        <v>60 dias</v>
      </c>
      <c r="J406" s="32" t="s">
        <v>80</v>
      </c>
      <c r="K406" s="29" t="s">
        <v>81</v>
      </c>
      <c r="L406" s="33" t="s">
        <v>277</v>
      </c>
      <c r="M406" s="29" t="n">
        <f aca="false">+YEAR(F406)</f>
        <v>2026</v>
      </c>
      <c r="N406" s="29" t="n">
        <v>2026</v>
      </c>
      <c r="O406" s="29" t="n">
        <v>2</v>
      </c>
      <c r="P406" s="29" t="str">
        <f aca="false">+CONCATENATE(Tabla[[#This Row],[MES CAMPAÑA]],"/",Tabla[[#This Row],[AÑO CAMPAÑA]])</f>
        <v>2/2026</v>
      </c>
      <c r="Q406" s="29" t="s">
        <v>92</v>
      </c>
      <c r="R406" s="29"/>
      <c r="S406" s="34" t="n">
        <v>0</v>
      </c>
      <c r="T406" s="34" t="n">
        <v>597095</v>
      </c>
      <c r="U406" s="34" t="n">
        <v>113448</v>
      </c>
      <c r="V406" s="29"/>
      <c r="W406" s="35" t="n">
        <v>710543</v>
      </c>
      <c r="X406" s="36"/>
      <c r="Y406" s="37"/>
      <c r="Z406" s="37"/>
      <c r="AA406" s="37"/>
      <c r="AB406" s="38" t="n">
        <f aca="false">+W406-AC406</f>
        <v>710543</v>
      </c>
      <c r="AC406" s="34" t="n">
        <f aca="false">+Tabla[[#This Row],[P4]]+Tabla[[#This Row],[P3]]+Tabla[[#This Row],[P2]]+Tabla[[#This Row],[P1]]</f>
        <v>0</v>
      </c>
      <c r="AD406" s="34" t="n">
        <f aca="false">+W406-AC406</f>
        <v>710543</v>
      </c>
      <c r="AE406" s="21" t="str">
        <f aca="false">IF(AB406&lt;1,"PAGADA","PENDIENTE")</f>
        <v>PENDIENTE</v>
      </c>
      <c r="AF406" s="21"/>
      <c r="AG406" s="29"/>
      <c r="AH406" s="40"/>
      <c r="AI406" s="40" t="n">
        <f aca="false">+IF(Tabla[[#This Row],[FECHA PAGO / ABONO]]&lt;1,0,(MONTH(Tabla[[#This Row],[FECHA PAGO / ABONO]])))</f>
        <v>0</v>
      </c>
      <c r="AJ406" s="40" t="n">
        <f aca="false">+IF(Tabla[[#This Row],[FECHA PAGO / ABONO]]&lt;1,0,(YEAR(Tabla[[#This Row],[FECHA PAGO / ABONO]])))</f>
        <v>0</v>
      </c>
      <c r="AK406" s="41"/>
    </row>
    <row r="407" customFormat="false" ht="14.25" hidden="false" customHeight="false" outlineLevel="0" collapsed="false">
      <c r="A407" s="28" t="s">
        <v>127</v>
      </c>
      <c r="B407" s="29" t="s">
        <v>128</v>
      </c>
      <c r="C407" s="29" t="s">
        <v>69</v>
      </c>
      <c r="D407" s="21" t="n">
        <v>47078</v>
      </c>
      <c r="E407" s="21" t="str">
        <f aca="false">+CONCATENATE(Tabla[[#This Row],[RUT]],Tabla[[#This Row],[PROVEEDOR]],Tabla[[#This Row],[FACTURA]])</f>
        <v>84364100-8Publicidad Exterior Publivia SpA47078</v>
      </c>
      <c r="F407" s="57" t="n">
        <v>46106</v>
      </c>
      <c r="G407" s="31" t="n">
        <f aca="false">+F407+30</f>
        <v>46136</v>
      </c>
      <c r="H407" s="29" t="n">
        <f aca="true">+IF(AE407="PAGADA",0,TODAY()-G407)</f>
        <v>68</v>
      </c>
      <c r="I407" s="29" t="str">
        <f aca="false">+IF(H407&gt;180,"Atrasada",IF(H407&gt;150,"150 dias",IF(H407&gt;120,"120 dias",IF(H407&gt;90,"90 dias",IF(H407&gt;60,"60 dias",IF(H407&gt;30,"30 dias","Al Día"))))))</f>
        <v>60 dias</v>
      </c>
      <c r="J407" s="32" t="s">
        <v>80</v>
      </c>
      <c r="K407" s="29" t="s">
        <v>81</v>
      </c>
      <c r="L407" s="33" t="s">
        <v>277</v>
      </c>
      <c r="M407" s="29" t="n">
        <f aca="false">+YEAR(F407)</f>
        <v>2026</v>
      </c>
      <c r="N407" s="29" t="n">
        <v>2026</v>
      </c>
      <c r="O407" s="29" t="n">
        <v>2</v>
      </c>
      <c r="P407" s="29" t="str">
        <f aca="false">+CONCATENATE(Tabla[[#This Row],[MES CAMPAÑA]],"/",Tabla[[#This Row],[AÑO CAMPAÑA]])</f>
        <v>2/2026</v>
      </c>
      <c r="Q407" s="29" t="s">
        <v>92</v>
      </c>
      <c r="R407" s="29"/>
      <c r="S407" s="34" t="n">
        <v>0</v>
      </c>
      <c r="T407" s="34" t="n">
        <v>1287104</v>
      </c>
      <c r="U407" s="34" t="n">
        <v>244550</v>
      </c>
      <c r="V407" s="29"/>
      <c r="W407" s="35" t="n">
        <v>1531654</v>
      </c>
      <c r="X407" s="36"/>
      <c r="Y407" s="37"/>
      <c r="Z407" s="37"/>
      <c r="AA407" s="37"/>
      <c r="AB407" s="38" t="n">
        <f aca="false">+W407-AC407</f>
        <v>1531654</v>
      </c>
      <c r="AC407" s="34" t="n">
        <f aca="false">+Tabla[[#This Row],[P4]]+Tabla[[#This Row],[P3]]+Tabla[[#This Row],[P2]]+Tabla[[#This Row],[P1]]</f>
        <v>0</v>
      </c>
      <c r="AD407" s="34" t="n">
        <f aca="false">+W407-AC407</f>
        <v>1531654</v>
      </c>
      <c r="AE407" s="21" t="str">
        <f aca="false">IF(AB407&lt;1,"PAGADA","PENDIENTE")</f>
        <v>PENDIENTE</v>
      </c>
      <c r="AF407" s="21"/>
      <c r="AG407" s="29"/>
      <c r="AH407" s="40"/>
      <c r="AI407" s="40" t="n">
        <f aca="false">+IF(Tabla[[#This Row],[FECHA PAGO / ABONO]]&lt;1,0,(MONTH(Tabla[[#This Row],[FECHA PAGO / ABONO]])))</f>
        <v>0</v>
      </c>
      <c r="AJ407" s="40" t="n">
        <f aca="false">+IF(Tabla[[#This Row],[FECHA PAGO / ABONO]]&lt;1,0,(YEAR(Tabla[[#This Row],[FECHA PAGO / ABONO]])))</f>
        <v>0</v>
      </c>
      <c r="AK407" s="41"/>
    </row>
    <row r="408" customFormat="false" ht="14.25" hidden="false" customHeight="false" outlineLevel="0" collapsed="false">
      <c r="A408" s="28" t="s">
        <v>127</v>
      </c>
      <c r="B408" s="29" t="s">
        <v>128</v>
      </c>
      <c r="C408" s="29" t="s">
        <v>69</v>
      </c>
      <c r="D408" s="21" t="n">
        <v>47079</v>
      </c>
      <c r="E408" s="21" t="str">
        <f aca="false">+CONCATENATE(Tabla[[#This Row],[RUT]],Tabla[[#This Row],[PROVEEDOR]],Tabla[[#This Row],[FACTURA]])</f>
        <v>84364100-8Publicidad Exterior Publivia SpA47079</v>
      </c>
      <c r="F408" s="57" t="n">
        <v>46106</v>
      </c>
      <c r="G408" s="31" t="n">
        <f aca="false">+F408+30</f>
        <v>46136</v>
      </c>
      <c r="H408" s="29" t="n">
        <f aca="true">+IF(AE408="PAGADA",0,TODAY()-G408)</f>
        <v>68</v>
      </c>
      <c r="I408" s="29" t="str">
        <f aca="false">+IF(H408&gt;180,"Atrasada",IF(H408&gt;150,"150 dias",IF(H408&gt;120,"120 dias",IF(H408&gt;90,"90 dias",IF(H408&gt;60,"60 dias",IF(H408&gt;30,"30 dias","Al Día"))))))</f>
        <v>60 dias</v>
      </c>
      <c r="J408" s="32" t="s">
        <v>80</v>
      </c>
      <c r="K408" s="29" t="s">
        <v>81</v>
      </c>
      <c r="L408" s="33" t="s">
        <v>277</v>
      </c>
      <c r="M408" s="29" t="n">
        <f aca="false">+YEAR(F408)</f>
        <v>2026</v>
      </c>
      <c r="N408" s="29" t="n">
        <v>2026</v>
      </c>
      <c r="O408" s="29" t="n">
        <v>2</v>
      </c>
      <c r="P408" s="29" t="str">
        <f aca="false">+CONCATENATE(Tabla[[#This Row],[MES CAMPAÑA]],"/",Tabla[[#This Row],[AÑO CAMPAÑA]])</f>
        <v>2/2026</v>
      </c>
      <c r="Q408" s="29" t="s">
        <v>92</v>
      </c>
      <c r="R408" s="29"/>
      <c r="S408" s="34" t="n">
        <v>0</v>
      </c>
      <c r="T408" s="34" t="n">
        <v>364110</v>
      </c>
      <c r="U408" s="34" t="n">
        <v>69181</v>
      </c>
      <c r="V408" s="29"/>
      <c r="W408" s="35" t="n">
        <v>433291</v>
      </c>
      <c r="X408" s="36"/>
      <c r="Y408" s="37"/>
      <c r="Z408" s="37"/>
      <c r="AA408" s="37"/>
      <c r="AB408" s="38" t="n">
        <f aca="false">+W408-AC408</f>
        <v>433291</v>
      </c>
      <c r="AC408" s="34" t="n">
        <f aca="false">+Tabla[[#This Row],[P4]]+Tabla[[#This Row],[P3]]+Tabla[[#This Row],[P2]]+Tabla[[#This Row],[P1]]</f>
        <v>0</v>
      </c>
      <c r="AD408" s="34" t="n">
        <f aca="false">+W408-AC408</f>
        <v>433291</v>
      </c>
      <c r="AE408" s="21" t="str">
        <f aca="false">IF(AB408&lt;1,"PAGADA","PENDIENTE")</f>
        <v>PENDIENTE</v>
      </c>
      <c r="AF408" s="21"/>
      <c r="AG408" s="29"/>
      <c r="AH408" s="40"/>
      <c r="AI408" s="40" t="n">
        <f aca="false">+IF(Tabla[[#This Row],[FECHA PAGO / ABONO]]&lt;1,0,(MONTH(Tabla[[#This Row],[FECHA PAGO / ABONO]])))</f>
        <v>0</v>
      </c>
      <c r="AJ408" s="40" t="n">
        <f aca="false">+IF(Tabla[[#This Row],[FECHA PAGO / ABONO]]&lt;1,0,(YEAR(Tabla[[#This Row],[FECHA PAGO / ABONO]])))</f>
        <v>0</v>
      </c>
      <c r="AK408" s="41"/>
    </row>
    <row r="409" customFormat="false" ht="14.25" hidden="false" customHeight="false" outlineLevel="0" collapsed="false">
      <c r="A409" s="28" t="s">
        <v>127</v>
      </c>
      <c r="B409" s="29" t="s">
        <v>128</v>
      </c>
      <c r="C409" s="29" t="s">
        <v>69</v>
      </c>
      <c r="D409" s="21" t="n">
        <v>47080</v>
      </c>
      <c r="E409" s="21" t="str">
        <f aca="false">+CONCATENATE(Tabla[[#This Row],[RUT]],Tabla[[#This Row],[PROVEEDOR]],Tabla[[#This Row],[FACTURA]])</f>
        <v>84364100-8Publicidad Exterior Publivia SpA47080</v>
      </c>
      <c r="F409" s="57" t="n">
        <v>46106</v>
      </c>
      <c r="G409" s="31" t="n">
        <f aca="false">+F409+30</f>
        <v>46136</v>
      </c>
      <c r="H409" s="29" t="n">
        <f aca="true">+IF(AE409="PAGADA",0,TODAY()-G409)</f>
        <v>68</v>
      </c>
      <c r="I409" s="29" t="str">
        <f aca="false">+IF(H409&gt;180,"Atrasada",IF(H409&gt;150,"150 dias",IF(H409&gt;120,"120 dias",IF(H409&gt;90,"90 dias",IF(H409&gt;60,"60 dias",IF(H409&gt;30,"30 dias","Al Día"))))))</f>
        <v>60 dias</v>
      </c>
      <c r="J409" s="32" t="s">
        <v>80</v>
      </c>
      <c r="K409" s="29" t="s">
        <v>81</v>
      </c>
      <c r="L409" s="33" t="s">
        <v>277</v>
      </c>
      <c r="M409" s="29" t="n">
        <f aca="false">+YEAR(F409)</f>
        <v>2026</v>
      </c>
      <c r="N409" s="29" t="n">
        <v>2026</v>
      </c>
      <c r="O409" s="29" t="n">
        <v>2</v>
      </c>
      <c r="P409" s="29" t="str">
        <f aca="false">+CONCATENATE(Tabla[[#This Row],[MES CAMPAÑA]],"/",Tabla[[#This Row],[AÑO CAMPAÑA]])</f>
        <v>2/2026</v>
      </c>
      <c r="Q409" s="29" t="s">
        <v>92</v>
      </c>
      <c r="R409" s="29"/>
      <c r="S409" s="34" t="n">
        <v>0</v>
      </c>
      <c r="T409" s="34" t="n">
        <v>544034</v>
      </c>
      <c r="U409" s="34" t="n">
        <v>103366</v>
      </c>
      <c r="V409" s="29"/>
      <c r="W409" s="35" t="n">
        <v>647400</v>
      </c>
      <c r="X409" s="36"/>
      <c r="Y409" s="37"/>
      <c r="Z409" s="37"/>
      <c r="AA409" s="37"/>
      <c r="AB409" s="38" t="n">
        <f aca="false">+W409-AC409</f>
        <v>647400</v>
      </c>
      <c r="AC409" s="34" t="n">
        <f aca="false">+Tabla[[#This Row],[P4]]+Tabla[[#This Row],[P3]]+Tabla[[#This Row],[P2]]+Tabla[[#This Row],[P1]]</f>
        <v>0</v>
      </c>
      <c r="AD409" s="34" t="n">
        <f aca="false">+W409-AC409</f>
        <v>647400</v>
      </c>
      <c r="AE409" s="21" t="str">
        <f aca="false">IF(AB409&lt;1,"PAGADA","PENDIENTE")</f>
        <v>PENDIENTE</v>
      </c>
      <c r="AF409" s="21"/>
      <c r="AG409" s="29"/>
      <c r="AH409" s="40"/>
      <c r="AI409" s="40" t="n">
        <f aca="false">+IF(Tabla[[#This Row],[FECHA PAGO / ABONO]]&lt;1,0,(MONTH(Tabla[[#This Row],[FECHA PAGO / ABONO]])))</f>
        <v>0</v>
      </c>
      <c r="AJ409" s="40" t="n">
        <f aca="false">+IF(Tabla[[#This Row],[FECHA PAGO / ABONO]]&lt;1,0,(YEAR(Tabla[[#This Row],[FECHA PAGO / ABONO]])))</f>
        <v>0</v>
      </c>
      <c r="AK409" s="41"/>
    </row>
    <row r="410" customFormat="false" ht="14.25" hidden="false" customHeight="false" outlineLevel="0" collapsed="false">
      <c r="A410" s="28" t="s">
        <v>127</v>
      </c>
      <c r="B410" s="29" t="s">
        <v>128</v>
      </c>
      <c r="C410" s="29" t="s">
        <v>69</v>
      </c>
      <c r="D410" s="21" t="n">
        <v>47081</v>
      </c>
      <c r="E410" s="21" t="str">
        <f aca="false">+CONCATENATE(Tabla[[#This Row],[RUT]],Tabla[[#This Row],[PROVEEDOR]],Tabla[[#This Row],[FACTURA]])</f>
        <v>84364100-8Publicidad Exterior Publivia SpA47081</v>
      </c>
      <c r="F410" s="57" t="n">
        <v>46106</v>
      </c>
      <c r="G410" s="31" t="n">
        <f aca="false">+F410+30</f>
        <v>46136</v>
      </c>
      <c r="H410" s="29" t="n">
        <f aca="true">+IF(AE410="PAGADA",0,TODAY()-G410)</f>
        <v>68</v>
      </c>
      <c r="I410" s="29" t="str">
        <f aca="false">+IF(H410&gt;180,"Atrasada",IF(H410&gt;150,"150 dias",IF(H410&gt;120,"120 dias",IF(H410&gt;90,"90 dias",IF(H410&gt;60,"60 dias",IF(H410&gt;30,"30 dias","Al Día"))))))</f>
        <v>60 dias</v>
      </c>
      <c r="J410" s="32" t="s">
        <v>80</v>
      </c>
      <c r="K410" s="29" t="s">
        <v>81</v>
      </c>
      <c r="L410" s="33" t="s">
        <v>277</v>
      </c>
      <c r="M410" s="29" t="n">
        <f aca="false">+YEAR(F410)</f>
        <v>2026</v>
      </c>
      <c r="N410" s="29" t="n">
        <v>2026</v>
      </c>
      <c r="O410" s="29" t="n">
        <v>2</v>
      </c>
      <c r="P410" s="29" t="str">
        <f aca="false">+CONCATENATE(Tabla[[#This Row],[MES CAMPAÑA]],"/",Tabla[[#This Row],[AÑO CAMPAÑA]])</f>
        <v>2/2026</v>
      </c>
      <c r="Q410" s="29" t="s">
        <v>92</v>
      </c>
      <c r="R410" s="29"/>
      <c r="S410" s="34" t="n">
        <v>0</v>
      </c>
      <c r="T410" s="34" t="n">
        <v>571179</v>
      </c>
      <c r="U410" s="34" t="n">
        <v>108524</v>
      </c>
      <c r="V410" s="29"/>
      <c r="W410" s="35" t="n">
        <v>679703</v>
      </c>
      <c r="X410" s="36"/>
      <c r="Y410" s="37"/>
      <c r="Z410" s="37"/>
      <c r="AA410" s="37"/>
      <c r="AB410" s="38" t="n">
        <f aca="false">+W410-AC410</f>
        <v>679703</v>
      </c>
      <c r="AC410" s="34" t="n">
        <f aca="false">+Tabla[[#This Row],[P4]]+Tabla[[#This Row],[P3]]+Tabla[[#This Row],[P2]]+Tabla[[#This Row],[P1]]</f>
        <v>0</v>
      </c>
      <c r="AD410" s="34" t="n">
        <f aca="false">+W410-AC410</f>
        <v>679703</v>
      </c>
      <c r="AE410" s="21" t="str">
        <f aca="false">IF(AB410&lt;1,"PAGADA","PENDIENTE")</f>
        <v>PENDIENTE</v>
      </c>
      <c r="AF410" s="21"/>
      <c r="AG410" s="29"/>
      <c r="AH410" s="40"/>
      <c r="AI410" s="40" t="n">
        <f aca="false">+IF(Tabla[[#This Row],[FECHA PAGO / ABONO]]&lt;1,0,(MONTH(Tabla[[#This Row],[FECHA PAGO / ABONO]])))</f>
        <v>0</v>
      </c>
      <c r="AJ410" s="40" t="n">
        <f aca="false">+IF(Tabla[[#This Row],[FECHA PAGO / ABONO]]&lt;1,0,(YEAR(Tabla[[#This Row],[FECHA PAGO / ABONO]])))</f>
        <v>0</v>
      </c>
      <c r="AK410" s="41"/>
    </row>
    <row r="411" customFormat="false" ht="14.25" hidden="false" customHeight="false" outlineLevel="0" collapsed="false">
      <c r="A411" s="28" t="s">
        <v>127</v>
      </c>
      <c r="B411" s="29" t="s">
        <v>128</v>
      </c>
      <c r="C411" s="29" t="s">
        <v>69</v>
      </c>
      <c r="D411" s="21" t="n">
        <v>47082</v>
      </c>
      <c r="E411" s="21" t="str">
        <f aca="false">+CONCATENATE(Tabla[[#This Row],[RUT]],Tabla[[#This Row],[PROVEEDOR]],Tabla[[#This Row],[FACTURA]])</f>
        <v>84364100-8Publicidad Exterior Publivia SpA47082</v>
      </c>
      <c r="F411" s="57" t="n">
        <v>46106</v>
      </c>
      <c r="G411" s="31" t="n">
        <f aca="false">+F411+30</f>
        <v>46136</v>
      </c>
      <c r="H411" s="29" t="n">
        <f aca="true">+IF(AE411="PAGADA",0,TODAY()-G411)</f>
        <v>68</v>
      </c>
      <c r="I411" s="29" t="str">
        <f aca="false">+IF(H411&gt;180,"Atrasada",IF(H411&gt;150,"150 dias",IF(H411&gt;120,"120 dias",IF(H411&gt;90,"90 dias",IF(H411&gt;60,"60 dias",IF(H411&gt;30,"30 dias","Al Día"))))))</f>
        <v>60 dias</v>
      </c>
      <c r="J411" s="32" t="s">
        <v>80</v>
      </c>
      <c r="K411" s="29" t="s">
        <v>81</v>
      </c>
      <c r="L411" s="33" t="s">
        <v>277</v>
      </c>
      <c r="M411" s="29" t="n">
        <f aca="false">+YEAR(F411)</f>
        <v>2026</v>
      </c>
      <c r="N411" s="29" t="n">
        <v>2026</v>
      </c>
      <c r="O411" s="29" t="n">
        <v>2</v>
      </c>
      <c r="P411" s="29" t="str">
        <f aca="false">+CONCATENATE(Tabla[[#This Row],[MES CAMPAÑA]],"/",Tabla[[#This Row],[AÑO CAMPAÑA]])</f>
        <v>2/2026</v>
      </c>
      <c r="Q411" s="29" t="s">
        <v>92</v>
      </c>
      <c r="R411" s="29"/>
      <c r="S411" s="34" t="n">
        <v>0</v>
      </c>
      <c r="T411" s="34" t="n">
        <v>515199</v>
      </c>
      <c r="U411" s="34" t="n">
        <v>97888</v>
      </c>
      <c r="V411" s="29"/>
      <c r="W411" s="35" t="n">
        <v>613087</v>
      </c>
      <c r="X411" s="36"/>
      <c r="Y411" s="37"/>
      <c r="Z411" s="37"/>
      <c r="AA411" s="37"/>
      <c r="AB411" s="38" t="n">
        <f aca="false">+W411-AC411</f>
        <v>613087</v>
      </c>
      <c r="AC411" s="34" t="n">
        <f aca="false">+Tabla[[#This Row],[P4]]+Tabla[[#This Row],[P3]]+Tabla[[#This Row],[P2]]+Tabla[[#This Row],[P1]]</f>
        <v>0</v>
      </c>
      <c r="AD411" s="34" t="n">
        <f aca="false">+W411-AC411</f>
        <v>613087</v>
      </c>
      <c r="AE411" s="21" t="str">
        <f aca="false">IF(AB411&lt;1,"PAGADA","PENDIENTE")</f>
        <v>PENDIENTE</v>
      </c>
      <c r="AF411" s="21"/>
      <c r="AG411" s="29"/>
      <c r="AH411" s="40"/>
      <c r="AI411" s="40" t="n">
        <f aca="false">+IF(Tabla[[#This Row],[FECHA PAGO / ABONO]]&lt;1,0,(MONTH(Tabla[[#This Row],[FECHA PAGO / ABONO]])))</f>
        <v>0</v>
      </c>
      <c r="AJ411" s="40" t="n">
        <f aca="false">+IF(Tabla[[#This Row],[FECHA PAGO / ABONO]]&lt;1,0,(YEAR(Tabla[[#This Row],[FECHA PAGO / ABONO]])))</f>
        <v>0</v>
      </c>
      <c r="AK411" s="41"/>
    </row>
    <row r="412" customFormat="false" ht="14.25" hidden="false" customHeight="false" outlineLevel="0" collapsed="false">
      <c r="A412" s="28" t="s">
        <v>127</v>
      </c>
      <c r="B412" s="29" t="s">
        <v>128</v>
      </c>
      <c r="C412" s="29" t="s">
        <v>69</v>
      </c>
      <c r="D412" s="21" t="n">
        <v>47083</v>
      </c>
      <c r="E412" s="21" t="str">
        <f aca="false">+CONCATENATE(Tabla[[#This Row],[RUT]],Tabla[[#This Row],[PROVEEDOR]],Tabla[[#This Row],[FACTURA]])</f>
        <v>84364100-8Publicidad Exterior Publivia SpA47083</v>
      </c>
      <c r="F412" s="57" t="n">
        <v>46106</v>
      </c>
      <c r="G412" s="31" t="n">
        <f aca="false">+F412+30</f>
        <v>46136</v>
      </c>
      <c r="H412" s="29" t="n">
        <f aca="true">+IF(AE412="PAGADA",0,TODAY()-G412)</f>
        <v>68</v>
      </c>
      <c r="I412" s="29" t="str">
        <f aca="false">+IF(H412&gt;180,"Atrasada",IF(H412&gt;150,"150 dias",IF(H412&gt;120,"120 dias",IF(H412&gt;90,"90 dias",IF(H412&gt;60,"60 dias",IF(H412&gt;30,"30 dias","Al Día"))))))</f>
        <v>60 dias</v>
      </c>
      <c r="J412" s="32" t="s">
        <v>80</v>
      </c>
      <c r="K412" s="29" t="s">
        <v>81</v>
      </c>
      <c r="L412" s="33" t="s">
        <v>277</v>
      </c>
      <c r="M412" s="29" t="n">
        <f aca="false">+YEAR(F412)</f>
        <v>2026</v>
      </c>
      <c r="N412" s="29" t="n">
        <v>2026</v>
      </c>
      <c r="O412" s="29" t="n">
        <v>2</v>
      </c>
      <c r="P412" s="29" t="str">
        <f aca="false">+CONCATENATE(Tabla[[#This Row],[MES CAMPAÑA]],"/",Tabla[[#This Row],[AÑO CAMPAÑA]])</f>
        <v>2/2026</v>
      </c>
      <c r="Q412" s="29" t="s">
        <v>92</v>
      </c>
      <c r="R412" s="29"/>
      <c r="S412" s="34" t="n">
        <v>0</v>
      </c>
      <c r="T412" s="34" t="n">
        <v>489257</v>
      </c>
      <c r="U412" s="34" t="n">
        <v>92959</v>
      </c>
      <c r="V412" s="29"/>
      <c r="W412" s="35" t="n">
        <v>582216</v>
      </c>
      <c r="X412" s="36"/>
      <c r="Y412" s="37"/>
      <c r="Z412" s="37"/>
      <c r="AA412" s="37"/>
      <c r="AB412" s="38" t="n">
        <f aca="false">+W412-AC412</f>
        <v>582216</v>
      </c>
      <c r="AC412" s="34" t="n">
        <f aca="false">+Tabla[[#This Row],[P4]]+Tabla[[#This Row],[P3]]+Tabla[[#This Row],[P2]]+Tabla[[#This Row],[P1]]</f>
        <v>0</v>
      </c>
      <c r="AD412" s="34" t="n">
        <f aca="false">+W412-AC412</f>
        <v>582216</v>
      </c>
      <c r="AE412" s="21" t="str">
        <f aca="false">IF(AB412&lt;1,"PAGADA","PENDIENTE")</f>
        <v>PENDIENTE</v>
      </c>
      <c r="AF412" s="21"/>
      <c r="AG412" s="29"/>
      <c r="AH412" s="40"/>
      <c r="AI412" s="40" t="n">
        <f aca="false">+IF(Tabla[[#This Row],[FECHA PAGO / ABONO]]&lt;1,0,(MONTH(Tabla[[#This Row],[FECHA PAGO / ABONO]])))</f>
        <v>0</v>
      </c>
      <c r="AJ412" s="40" t="n">
        <f aca="false">+IF(Tabla[[#This Row],[FECHA PAGO / ABONO]]&lt;1,0,(YEAR(Tabla[[#This Row],[FECHA PAGO / ABONO]])))</f>
        <v>0</v>
      </c>
      <c r="AK412" s="41"/>
    </row>
    <row r="413" customFormat="false" ht="14.25" hidden="false" customHeight="false" outlineLevel="0" collapsed="false">
      <c r="A413" s="28" t="s">
        <v>127</v>
      </c>
      <c r="B413" s="29" t="s">
        <v>128</v>
      </c>
      <c r="C413" s="29" t="s">
        <v>69</v>
      </c>
      <c r="D413" s="21" t="n">
        <v>47084</v>
      </c>
      <c r="E413" s="21" t="str">
        <f aca="false">+CONCATENATE(Tabla[[#This Row],[RUT]],Tabla[[#This Row],[PROVEEDOR]],Tabla[[#This Row],[FACTURA]])</f>
        <v>84364100-8Publicidad Exterior Publivia SpA47084</v>
      </c>
      <c r="F413" s="57" t="n">
        <v>46106</v>
      </c>
      <c r="G413" s="31" t="n">
        <f aca="false">+F413+30</f>
        <v>46136</v>
      </c>
      <c r="H413" s="29" t="n">
        <f aca="true">+IF(AE413="PAGADA",0,TODAY()-G413)</f>
        <v>68</v>
      </c>
      <c r="I413" s="29" t="str">
        <f aca="false">+IF(H413&gt;180,"Atrasada",IF(H413&gt;150,"150 dias",IF(H413&gt;120,"120 dias",IF(H413&gt;90,"90 dias",IF(H413&gt;60,"60 dias",IF(H413&gt;30,"30 dias","Al Día"))))))</f>
        <v>60 dias</v>
      </c>
      <c r="J413" s="32" t="s">
        <v>80</v>
      </c>
      <c r="K413" s="29" t="s">
        <v>81</v>
      </c>
      <c r="L413" s="33" t="s">
        <v>277</v>
      </c>
      <c r="M413" s="29" t="n">
        <f aca="false">+YEAR(F413)</f>
        <v>2026</v>
      </c>
      <c r="N413" s="29" t="n">
        <v>2026</v>
      </c>
      <c r="O413" s="29" t="n">
        <v>2</v>
      </c>
      <c r="P413" s="29" t="str">
        <f aca="false">+CONCATENATE(Tabla[[#This Row],[MES CAMPAÑA]],"/",Tabla[[#This Row],[AÑO CAMPAÑA]])</f>
        <v>2/2026</v>
      </c>
      <c r="Q413" s="29" t="s">
        <v>92</v>
      </c>
      <c r="R413" s="29"/>
      <c r="S413" s="34" t="n">
        <v>0</v>
      </c>
      <c r="T413" s="34" t="n">
        <v>361254</v>
      </c>
      <c r="U413" s="34" t="n">
        <v>68638</v>
      </c>
      <c r="V413" s="29"/>
      <c r="W413" s="35" t="n">
        <v>429892</v>
      </c>
      <c r="X413" s="36"/>
      <c r="Y413" s="37"/>
      <c r="Z413" s="37"/>
      <c r="AA413" s="37"/>
      <c r="AB413" s="38" t="n">
        <f aca="false">+W413-AC413</f>
        <v>429892</v>
      </c>
      <c r="AC413" s="34" t="n">
        <f aca="false">+Tabla[[#This Row],[P4]]+Tabla[[#This Row],[P3]]+Tabla[[#This Row],[P2]]+Tabla[[#This Row],[P1]]</f>
        <v>0</v>
      </c>
      <c r="AD413" s="34" t="n">
        <f aca="false">+W413-AC413</f>
        <v>429892</v>
      </c>
      <c r="AE413" s="21" t="str">
        <f aca="false">IF(AB413&lt;1,"PAGADA","PENDIENTE")</f>
        <v>PENDIENTE</v>
      </c>
      <c r="AF413" s="21"/>
      <c r="AG413" s="29"/>
      <c r="AH413" s="40"/>
      <c r="AI413" s="40" t="n">
        <f aca="false">+IF(Tabla[[#This Row],[FECHA PAGO / ABONO]]&lt;1,0,(MONTH(Tabla[[#This Row],[FECHA PAGO / ABONO]])))</f>
        <v>0</v>
      </c>
      <c r="AJ413" s="40" t="n">
        <f aca="false">+IF(Tabla[[#This Row],[FECHA PAGO / ABONO]]&lt;1,0,(YEAR(Tabla[[#This Row],[FECHA PAGO / ABONO]])))</f>
        <v>0</v>
      </c>
      <c r="AK413" s="41"/>
    </row>
    <row r="414" customFormat="false" ht="14.25" hidden="false" customHeight="false" outlineLevel="0" collapsed="false">
      <c r="A414" s="28" t="s">
        <v>201</v>
      </c>
      <c r="B414" s="29" t="s">
        <v>202</v>
      </c>
      <c r="C414" s="29" t="s">
        <v>69</v>
      </c>
      <c r="D414" s="21" t="n">
        <v>6687</v>
      </c>
      <c r="E414" s="21" t="str">
        <f aca="false">+CONCATENATE(Tabla[[#This Row],[RUT]],Tabla[[#This Row],[PROVEEDOR]],Tabla[[#This Row],[FACTURA]])</f>
        <v>76394590-1SERVICIOS PUBLICITARIOS PUBLIVISION LIMITADA6687</v>
      </c>
      <c r="F414" s="57" t="n">
        <v>46106</v>
      </c>
      <c r="G414" s="31" t="n">
        <f aca="false">+F414+30</f>
        <v>46136</v>
      </c>
      <c r="H414" s="29" t="n">
        <f aca="true">+IF(AE414="PAGADA",0,TODAY()-G414)</f>
        <v>68</v>
      </c>
      <c r="I414" s="29" t="str">
        <f aca="false">+IF(H414&gt;180,"Atrasada",IF(H414&gt;150,"150 dias",IF(H414&gt;120,"120 dias",IF(H414&gt;90,"90 dias",IF(H414&gt;60,"60 dias",IF(H414&gt;30,"30 dias","Al Día"))))))</f>
        <v>60 dias</v>
      </c>
      <c r="J414" s="32" t="s">
        <v>80</v>
      </c>
      <c r="K414" s="29" t="s">
        <v>81</v>
      </c>
      <c r="L414" s="33" t="s">
        <v>277</v>
      </c>
      <c r="M414" s="29" t="n">
        <f aca="false">+YEAR(F414)</f>
        <v>2026</v>
      </c>
      <c r="N414" s="29" t="n">
        <v>2026</v>
      </c>
      <c r="O414" s="29" t="n">
        <v>2</v>
      </c>
      <c r="P414" s="29" t="str">
        <f aca="false">+CONCATENATE(Tabla[[#This Row],[MES CAMPAÑA]],"/",Tabla[[#This Row],[AÑO CAMPAÑA]])</f>
        <v>2/2026</v>
      </c>
      <c r="Q414" s="29" t="s">
        <v>92</v>
      </c>
      <c r="R414" s="29"/>
      <c r="S414" s="34" t="n">
        <v>0</v>
      </c>
      <c r="T414" s="34" t="n">
        <v>386552</v>
      </c>
      <c r="U414" s="34" t="n">
        <v>73445</v>
      </c>
      <c r="V414" s="29"/>
      <c r="W414" s="35" t="n">
        <v>459997</v>
      </c>
      <c r="X414" s="36"/>
      <c r="Y414" s="37"/>
      <c r="Z414" s="37"/>
      <c r="AA414" s="37"/>
      <c r="AB414" s="38" t="n">
        <f aca="false">+W414-AC414</f>
        <v>459997</v>
      </c>
      <c r="AC414" s="34" t="n">
        <f aca="false">+Tabla[[#This Row],[P4]]+Tabla[[#This Row],[P3]]+Tabla[[#This Row],[P2]]+Tabla[[#This Row],[P1]]</f>
        <v>0</v>
      </c>
      <c r="AD414" s="34" t="n">
        <f aca="false">+W414-AC414</f>
        <v>459997</v>
      </c>
      <c r="AE414" s="21" t="str">
        <f aca="false">IF(AB414&lt;1,"PAGADA","PENDIENTE")</f>
        <v>PENDIENTE</v>
      </c>
      <c r="AF414" s="21"/>
      <c r="AG414" s="29"/>
      <c r="AH414" s="40"/>
      <c r="AI414" s="40" t="n">
        <f aca="false">+IF(Tabla[[#This Row],[FECHA PAGO / ABONO]]&lt;1,0,(MONTH(Tabla[[#This Row],[FECHA PAGO / ABONO]])))</f>
        <v>0</v>
      </c>
      <c r="AJ414" s="40" t="n">
        <f aca="false">+IF(Tabla[[#This Row],[FECHA PAGO / ABONO]]&lt;1,0,(YEAR(Tabla[[#This Row],[FECHA PAGO / ABONO]])))</f>
        <v>0</v>
      </c>
      <c r="AK414" s="41"/>
    </row>
    <row r="415" customFormat="false" ht="14.25" hidden="false" customHeight="false" outlineLevel="0" collapsed="false">
      <c r="A415" s="28" t="s">
        <v>201</v>
      </c>
      <c r="B415" s="29" t="s">
        <v>202</v>
      </c>
      <c r="C415" s="29" t="s">
        <v>69</v>
      </c>
      <c r="D415" s="21" t="n">
        <v>6688</v>
      </c>
      <c r="E415" s="21" t="str">
        <f aca="false">+CONCATENATE(Tabla[[#This Row],[RUT]],Tabla[[#This Row],[PROVEEDOR]],Tabla[[#This Row],[FACTURA]])</f>
        <v>76394590-1SERVICIOS PUBLICITARIOS PUBLIVISION LIMITADA6688</v>
      </c>
      <c r="F415" s="57" t="n">
        <v>46106</v>
      </c>
      <c r="G415" s="31" t="n">
        <f aca="false">+F415+30</f>
        <v>46136</v>
      </c>
      <c r="H415" s="29" t="n">
        <f aca="true">+IF(AE415="PAGADA",0,TODAY()-G415)</f>
        <v>68</v>
      </c>
      <c r="I415" s="29" t="str">
        <f aca="false">+IF(H415&gt;180,"Atrasada",IF(H415&gt;150,"150 dias",IF(H415&gt;120,"120 dias",IF(H415&gt;90,"90 dias",IF(H415&gt;60,"60 dias",IF(H415&gt;30,"30 dias","Al Día"))))))</f>
        <v>60 dias</v>
      </c>
      <c r="J415" s="32" t="s">
        <v>80</v>
      </c>
      <c r="K415" s="29" t="s">
        <v>81</v>
      </c>
      <c r="L415" s="33" t="s">
        <v>277</v>
      </c>
      <c r="M415" s="29" t="n">
        <f aca="false">+YEAR(F415)</f>
        <v>2026</v>
      </c>
      <c r="N415" s="29" t="n">
        <v>2026</v>
      </c>
      <c r="O415" s="29" t="n">
        <v>2</v>
      </c>
      <c r="P415" s="29" t="str">
        <f aca="false">+CONCATENATE(Tabla[[#This Row],[MES CAMPAÑA]],"/",Tabla[[#This Row],[AÑO CAMPAÑA]])</f>
        <v>2/2026</v>
      </c>
      <c r="Q415" s="29" t="s">
        <v>92</v>
      </c>
      <c r="R415" s="29"/>
      <c r="S415" s="34" t="n">
        <v>0</v>
      </c>
      <c r="T415" s="34" t="n">
        <v>386552</v>
      </c>
      <c r="U415" s="34" t="n">
        <v>73445</v>
      </c>
      <c r="V415" s="29"/>
      <c r="W415" s="35" t="n">
        <v>459997</v>
      </c>
      <c r="X415" s="36"/>
      <c r="Y415" s="37"/>
      <c r="Z415" s="37"/>
      <c r="AA415" s="37"/>
      <c r="AB415" s="38" t="n">
        <f aca="false">+W415-AC415</f>
        <v>459997</v>
      </c>
      <c r="AC415" s="34" t="n">
        <f aca="false">+Tabla[[#This Row],[P4]]+Tabla[[#This Row],[P3]]+Tabla[[#This Row],[P2]]+Tabla[[#This Row],[P1]]</f>
        <v>0</v>
      </c>
      <c r="AD415" s="34" t="n">
        <f aca="false">+W415-AC415</f>
        <v>459997</v>
      </c>
      <c r="AE415" s="21" t="str">
        <f aca="false">IF(AB415&lt;1,"PAGADA","PENDIENTE")</f>
        <v>PENDIENTE</v>
      </c>
      <c r="AF415" s="21"/>
      <c r="AG415" s="29"/>
      <c r="AH415" s="40"/>
      <c r="AI415" s="40" t="n">
        <f aca="false">+IF(Tabla[[#This Row],[FECHA PAGO / ABONO]]&lt;1,0,(MONTH(Tabla[[#This Row],[FECHA PAGO / ABONO]])))</f>
        <v>0</v>
      </c>
      <c r="AJ415" s="40" t="n">
        <f aca="false">+IF(Tabla[[#This Row],[FECHA PAGO / ABONO]]&lt;1,0,(YEAR(Tabla[[#This Row],[FECHA PAGO / ABONO]])))</f>
        <v>0</v>
      </c>
      <c r="AK415" s="41"/>
    </row>
    <row r="416" customFormat="false" ht="14.25" hidden="false" customHeight="false" outlineLevel="0" collapsed="false">
      <c r="A416" s="28" t="s">
        <v>127</v>
      </c>
      <c r="B416" s="29" t="s">
        <v>128</v>
      </c>
      <c r="C416" s="29" t="s">
        <v>69</v>
      </c>
      <c r="D416" s="21" t="n">
        <v>47085</v>
      </c>
      <c r="E416" s="21" t="str">
        <f aca="false">+CONCATENATE(Tabla[[#This Row],[RUT]],Tabla[[#This Row],[PROVEEDOR]],Tabla[[#This Row],[FACTURA]])</f>
        <v>84364100-8Publicidad Exterior Publivia SpA47085</v>
      </c>
      <c r="F416" s="57" t="n">
        <v>46106</v>
      </c>
      <c r="G416" s="31" t="n">
        <f aca="false">+F416+30</f>
        <v>46136</v>
      </c>
      <c r="H416" s="29" t="n">
        <f aca="true">+IF(AE416="PAGADA",0,TODAY()-G416)</f>
        <v>68</v>
      </c>
      <c r="I416" s="29" t="str">
        <f aca="false">+IF(H416&gt;180,"Atrasada",IF(H416&gt;150,"150 dias",IF(H416&gt;120,"120 dias",IF(H416&gt;90,"90 dias",IF(H416&gt;60,"60 dias",IF(H416&gt;30,"30 dias","Al Día"))))))</f>
        <v>60 dias</v>
      </c>
      <c r="J416" s="32" t="s">
        <v>80</v>
      </c>
      <c r="K416" s="29" t="s">
        <v>81</v>
      </c>
      <c r="L416" s="33" t="s">
        <v>277</v>
      </c>
      <c r="M416" s="29" t="n">
        <f aca="false">+YEAR(F416)</f>
        <v>2026</v>
      </c>
      <c r="N416" s="29" t="n">
        <v>2026</v>
      </c>
      <c r="O416" s="29" t="n">
        <v>2</v>
      </c>
      <c r="P416" s="29" t="str">
        <f aca="false">+CONCATENATE(Tabla[[#This Row],[MES CAMPAÑA]],"/",Tabla[[#This Row],[AÑO CAMPAÑA]])</f>
        <v>2/2026</v>
      </c>
      <c r="Q416" s="29" t="s">
        <v>92</v>
      </c>
      <c r="R416" s="29"/>
      <c r="S416" s="34" t="n">
        <v>0</v>
      </c>
      <c r="T416" s="34" t="n">
        <v>641156</v>
      </c>
      <c r="U416" s="34" t="n">
        <v>121820</v>
      </c>
      <c r="V416" s="29"/>
      <c r="W416" s="35" t="n">
        <v>762976</v>
      </c>
      <c r="X416" s="36"/>
      <c r="Y416" s="37"/>
      <c r="Z416" s="37"/>
      <c r="AA416" s="37"/>
      <c r="AB416" s="38" t="n">
        <f aca="false">+W416-AC416</f>
        <v>762976</v>
      </c>
      <c r="AC416" s="34" t="n">
        <f aca="false">+Tabla[[#This Row],[P4]]+Tabla[[#This Row],[P3]]+Tabla[[#This Row],[P2]]+Tabla[[#This Row],[P1]]</f>
        <v>0</v>
      </c>
      <c r="AD416" s="34" t="n">
        <f aca="false">+W416-AC416</f>
        <v>762976</v>
      </c>
      <c r="AE416" s="21" t="str">
        <f aca="false">IF(AB416&lt;1,"PAGADA","PENDIENTE")</f>
        <v>PENDIENTE</v>
      </c>
      <c r="AF416" s="21"/>
      <c r="AG416" s="29"/>
      <c r="AH416" s="40"/>
      <c r="AI416" s="40" t="n">
        <f aca="false">+IF(Tabla[[#This Row],[FECHA PAGO / ABONO]]&lt;1,0,(MONTH(Tabla[[#This Row],[FECHA PAGO / ABONO]])))</f>
        <v>0</v>
      </c>
      <c r="AJ416" s="40" t="n">
        <f aca="false">+IF(Tabla[[#This Row],[FECHA PAGO / ABONO]]&lt;1,0,(YEAR(Tabla[[#This Row],[FECHA PAGO / ABONO]])))</f>
        <v>0</v>
      </c>
      <c r="AK416" s="41"/>
    </row>
    <row r="417" customFormat="false" ht="14.25" hidden="false" customHeight="false" outlineLevel="0" collapsed="false">
      <c r="A417" s="28" t="s">
        <v>201</v>
      </c>
      <c r="B417" s="29" t="s">
        <v>202</v>
      </c>
      <c r="C417" s="29" t="s">
        <v>69</v>
      </c>
      <c r="D417" s="21" t="n">
        <v>6689</v>
      </c>
      <c r="E417" s="21" t="str">
        <f aca="false">+CONCATENATE(Tabla[[#This Row],[RUT]],Tabla[[#This Row],[PROVEEDOR]],Tabla[[#This Row],[FACTURA]])</f>
        <v>76394590-1SERVICIOS PUBLICITARIOS PUBLIVISION LIMITADA6689</v>
      </c>
      <c r="F417" s="57" t="n">
        <v>46106</v>
      </c>
      <c r="G417" s="31" t="n">
        <f aca="false">+F417+30</f>
        <v>46136</v>
      </c>
      <c r="H417" s="29" t="n">
        <f aca="true">+IF(AE417="PAGADA",0,TODAY()-G417)</f>
        <v>68</v>
      </c>
      <c r="I417" s="29" t="str">
        <f aca="false">+IF(H417&gt;180,"Atrasada",IF(H417&gt;150,"150 dias",IF(H417&gt;120,"120 dias",IF(H417&gt;90,"90 dias",IF(H417&gt;60,"60 dias",IF(H417&gt;30,"30 dias","Al Día"))))))</f>
        <v>60 dias</v>
      </c>
      <c r="J417" s="32" t="s">
        <v>80</v>
      </c>
      <c r="K417" s="29" t="s">
        <v>81</v>
      </c>
      <c r="L417" s="33" t="s">
        <v>277</v>
      </c>
      <c r="M417" s="29" t="n">
        <f aca="false">+YEAR(F417)</f>
        <v>2026</v>
      </c>
      <c r="N417" s="29" t="n">
        <v>2026</v>
      </c>
      <c r="O417" s="29" t="n">
        <v>2</v>
      </c>
      <c r="P417" s="29" t="str">
        <f aca="false">+CONCATENATE(Tabla[[#This Row],[MES CAMPAÑA]],"/",Tabla[[#This Row],[AÑO CAMPAÑA]])</f>
        <v>2/2026</v>
      </c>
      <c r="Q417" s="29" t="s">
        <v>92</v>
      </c>
      <c r="R417" s="29"/>
      <c r="S417" s="34" t="n">
        <v>0</v>
      </c>
      <c r="T417" s="34" t="n">
        <v>386552</v>
      </c>
      <c r="U417" s="34" t="n">
        <v>73445</v>
      </c>
      <c r="V417" s="29"/>
      <c r="W417" s="35" t="n">
        <v>459997</v>
      </c>
      <c r="X417" s="36"/>
      <c r="Y417" s="37"/>
      <c r="Z417" s="37"/>
      <c r="AA417" s="37"/>
      <c r="AB417" s="38" t="n">
        <f aca="false">+W417-AC417</f>
        <v>459997</v>
      </c>
      <c r="AC417" s="34" t="n">
        <f aca="false">+Tabla[[#This Row],[P4]]+Tabla[[#This Row],[P3]]+Tabla[[#This Row],[P2]]+Tabla[[#This Row],[P1]]</f>
        <v>0</v>
      </c>
      <c r="AD417" s="34" t="n">
        <f aca="false">+W417-AC417</f>
        <v>459997</v>
      </c>
      <c r="AE417" s="21" t="str">
        <f aca="false">IF(AB417&lt;1,"PAGADA","PENDIENTE")</f>
        <v>PENDIENTE</v>
      </c>
      <c r="AF417" s="21"/>
      <c r="AG417" s="29"/>
      <c r="AH417" s="40"/>
      <c r="AI417" s="40" t="n">
        <f aca="false">+IF(Tabla[[#This Row],[FECHA PAGO / ABONO]]&lt;1,0,(MONTH(Tabla[[#This Row],[FECHA PAGO / ABONO]])))</f>
        <v>0</v>
      </c>
      <c r="AJ417" s="40" t="n">
        <f aca="false">+IF(Tabla[[#This Row],[FECHA PAGO / ABONO]]&lt;1,0,(YEAR(Tabla[[#This Row],[FECHA PAGO / ABONO]])))</f>
        <v>0</v>
      </c>
      <c r="AK417" s="41"/>
    </row>
    <row r="418" customFormat="false" ht="14.25" hidden="false" customHeight="false" outlineLevel="0" collapsed="false">
      <c r="A418" s="28" t="s">
        <v>127</v>
      </c>
      <c r="B418" s="29" t="s">
        <v>128</v>
      </c>
      <c r="C418" s="29" t="s">
        <v>69</v>
      </c>
      <c r="D418" s="21" t="n">
        <v>47086</v>
      </c>
      <c r="E418" s="21" t="str">
        <f aca="false">+CONCATENATE(Tabla[[#This Row],[RUT]],Tabla[[#This Row],[PROVEEDOR]],Tabla[[#This Row],[FACTURA]])</f>
        <v>84364100-8Publicidad Exterior Publivia SpA47086</v>
      </c>
      <c r="F418" s="57" t="n">
        <v>46106</v>
      </c>
      <c r="G418" s="31" t="n">
        <f aca="false">+F418+30</f>
        <v>46136</v>
      </c>
      <c r="H418" s="29" t="n">
        <f aca="true">+IF(AE418="PAGADA",0,TODAY()-G418)</f>
        <v>68</v>
      </c>
      <c r="I418" s="29" t="str">
        <f aca="false">+IF(H418&gt;180,"Atrasada",IF(H418&gt;150,"150 dias",IF(H418&gt;120,"120 dias",IF(H418&gt;90,"90 dias",IF(H418&gt;60,"60 dias",IF(H418&gt;30,"30 dias","Al Día"))))))</f>
        <v>60 dias</v>
      </c>
      <c r="J418" s="32" t="s">
        <v>80</v>
      </c>
      <c r="K418" s="29" t="s">
        <v>81</v>
      </c>
      <c r="L418" s="33" t="s">
        <v>277</v>
      </c>
      <c r="M418" s="29" t="n">
        <f aca="false">+YEAR(F418)</f>
        <v>2026</v>
      </c>
      <c r="N418" s="29" t="n">
        <v>2026</v>
      </c>
      <c r="O418" s="29" t="n">
        <v>2</v>
      </c>
      <c r="P418" s="29" t="str">
        <f aca="false">+CONCATENATE(Tabla[[#This Row],[MES CAMPAÑA]],"/",Tabla[[#This Row],[AÑO CAMPAÑA]])</f>
        <v>2/2026</v>
      </c>
      <c r="Q418" s="29" t="s">
        <v>92</v>
      </c>
      <c r="R418" s="29"/>
      <c r="S418" s="34" t="n">
        <v>0</v>
      </c>
      <c r="T418" s="34" t="n">
        <v>488041</v>
      </c>
      <c r="U418" s="34" t="n">
        <v>92728</v>
      </c>
      <c r="V418" s="29"/>
      <c r="W418" s="35" t="n">
        <v>580769</v>
      </c>
      <c r="X418" s="36"/>
      <c r="Y418" s="37"/>
      <c r="Z418" s="37"/>
      <c r="AA418" s="37"/>
      <c r="AB418" s="38" t="n">
        <f aca="false">+W418-AC418</f>
        <v>580769</v>
      </c>
      <c r="AC418" s="34" t="n">
        <f aca="false">+Tabla[[#This Row],[P4]]+Tabla[[#This Row],[P3]]+Tabla[[#This Row],[P2]]+Tabla[[#This Row],[P1]]</f>
        <v>0</v>
      </c>
      <c r="AD418" s="34" t="n">
        <f aca="false">+W418-AC418</f>
        <v>580769</v>
      </c>
      <c r="AE418" s="21" t="str">
        <f aca="false">IF(AB418&lt;1,"PAGADA","PENDIENTE")</f>
        <v>PENDIENTE</v>
      </c>
      <c r="AF418" s="21"/>
      <c r="AG418" s="29"/>
      <c r="AH418" s="40"/>
      <c r="AI418" s="40" t="n">
        <f aca="false">+IF(Tabla[[#This Row],[FECHA PAGO / ABONO]]&lt;1,0,(MONTH(Tabla[[#This Row],[FECHA PAGO / ABONO]])))</f>
        <v>0</v>
      </c>
      <c r="AJ418" s="40" t="n">
        <f aca="false">+IF(Tabla[[#This Row],[FECHA PAGO / ABONO]]&lt;1,0,(YEAR(Tabla[[#This Row],[FECHA PAGO / ABONO]])))</f>
        <v>0</v>
      </c>
      <c r="AK418" s="41"/>
    </row>
    <row r="419" customFormat="false" ht="14.25" hidden="false" customHeight="false" outlineLevel="0" collapsed="false">
      <c r="A419" s="28" t="s">
        <v>127</v>
      </c>
      <c r="B419" s="29" t="s">
        <v>128</v>
      </c>
      <c r="C419" s="29" t="s">
        <v>69</v>
      </c>
      <c r="D419" s="21" t="n">
        <v>47087</v>
      </c>
      <c r="E419" s="21" t="str">
        <f aca="false">+CONCATENATE(Tabla[[#This Row],[RUT]],Tabla[[#This Row],[PROVEEDOR]],Tabla[[#This Row],[FACTURA]])</f>
        <v>84364100-8Publicidad Exterior Publivia SpA47087</v>
      </c>
      <c r="F419" s="57" t="n">
        <v>46106</v>
      </c>
      <c r="G419" s="31" t="n">
        <f aca="false">+F419+30</f>
        <v>46136</v>
      </c>
      <c r="H419" s="29" t="n">
        <f aca="true">+IF(AE419="PAGADA",0,TODAY()-G419)</f>
        <v>68</v>
      </c>
      <c r="I419" s="29" t="str">
        <f aca="false">+IF(H419&gt;180,"Atrasada",IF(H419&gt;150,"150 dias",IF(H419&gt;120,"120 dias",IF(H419&gt;90,"90 dias",IF(H419&gt;60,"60 dias",IF(H419&gt;30,"30 dias","Al Día"))))))</f>
        <v>60 dias</v>
      </c>
      <c r="J419" s="32" t="s">
        <v>80</v>
      </c>
      <c r="K419" s="29" t="s">
        <v>81</v>
      </c>
      <c r="L419" s="33" t="s">
        <v>277</v>
      </c>
      <c r="M419" s="29" t="n">
        <f aca="false">+YEAR(F419)</f>
        <v>2026</v>
      </c>
      <c r="N419" s="29" t="n">
        <v>2026</v>
      </c>
      <c r="O419" s="29" t="n">
        <v>2</v>
      </c>
      <c r="P419" s="29" t="str">
        <f aca="false">+CONCATENATE(Tabla[[#This Row],[MES CAMPAÑA]],"/",Tabla[[#This Row],[AÑO CAMPAÑA]])</f>
        <v>2/2026</v>
      </c>
      <c r="Q419" s="29" t="s">
        <v>92</v>
      </c>
      <c r="R419" s="29"/>
      <c r="S419" s="34" t="n">
        <v>0</v>
      </c>
      <c r="T419" s="34" t="n">
        <v>378343</v>
      </c>
      <c r="U419" s="34" t="n">
        <v>71885</v>
      </c>
      <c r="V419" s="29"/>
      <c r="W419" s="35" t="n">
        <v>450228</v>
      </c>
      <c r="X419" s="36"/>
      <c r="Y419" s="37"/>
      <c r="Z419" s="37"/>
      <c r="AA419" s="37"/>
      <c r="AB419" s="38" t="n">
        <f aca="false">+W419-AC419</f>
        <v>450228</v>
      </c>
      <c r="AC419" s="34" t="n">
        <f aca="false">+Tabla[[#This Row],[P4]]+Tabla[[#This Row],[P3]]+Tabla[[#This Row],[P2]]+Tabla[[#This Row],[P1]]</f>
        <v>0</v>
      </c>
      <c r="AD419" s="34" t="n">
        <f aca="false">+W419-AC419</f>
        <v>450228</v>
      </c>
      <c r="AE419" s="21" t="str">
        <f aca="false">IF(AB419&lt;1,"PAGADA","PENDIENTE")</f>
        <v>PENDIENTE</v>
      </c>
      <c r="AF419" s="21"/>
      <c r="AG419" s="29"/>
      <c r="AH419" s="40"/>
      <c r="AI419" s="40" t="n">
        <f aca="false">+IF(Tabla[[#This Row],[FECHA PAGO / ABONO]]&lt;1,0,(MONTH(Tabla[[#This Row],[FECHA PAGO / ABONO]])))</f>
        <v>0</v>
      </c>
      <c r="AJ419" s="40" t="n">
        <f aca="false">+IF(Tabla[[#This Row],[FECHA PAGO / ABONO]]&lt;1,0,(YEAR(Tabla[[#This Row],[FECHA PAGO / ABONO]])))</f>
        <v>0</v>
      </c>
      <c r="AK419" s="41"/>
    </row>
    <row r="420" customFormat="false" ht="14.25" hidden="false" customHeight="false" outlineLevel="0" collapsed="false">
      <c r="A420" s="28" t="s">
        <v>191</v>
      </c>
      <c r="B420" s="29" t="s">
        <v>192</v>
      </c>
      <c r="C420" s="29" t="s">
        <v>69</v>
      </c>
      <c r="D420" s="21" t="n">
        <v>40861</v>
      </c>
      <c r="E420" s="21" t="str">
        <f aca="false">+CONCATENATE(Tabla[[#This Row],[RUT]],Tabla[[#This Row],[PROVEEDOR]],Tabla[[#This Row],[FACTURA]])</f>
        <v>94795000-2CIA.CHILENA DE COMUNICACIONES S.A.40861</v>
      </c>
      <c r="F420" s="57" t="n">
        <v>46106</v>
      </c>
      <c r="G420" s="31" t="n">
        <f aca="false">+F420+30</f>
        <v>46136</v>
      </c>
      <c r="H420" s="29" t="n">
        <f aca="true">+IF(AE420="PAGADA",0,TODAY()-G420)</f>
        <v>68</v>
      </c>
      <c r="I420" s="29" t="str">
        <f aca="false">+IF(H420&gt;180,"Atrasada",IF(H420&gt;150,"150 dias",IF(H420&gt;120,"120 dias",IF(H420&gt;90,"90 dias",IF(H420&gt;60,"60 dias",IF(H420&gt;30,"30 dias","Al Día"))))))</f>
        <v>60 dias</v>
      </c>
      <c r="J420" s="32" t="s">
        <v>80</v>
      </c>
      <c r="K420" s="29" t="s">
        <v>81</v>
      </c>
      <c r="L420" s="33" t="s">
        <v>277</v>
      </c>
      <c r="M420" s="29" t="n">
        <f aca="false">+YEAR(F420)</f>
        <v>2026</v>
      </c>
      <c r="N420" s="29" t="n">
        <v>2026</v>
      </c>
      <c r="O420" s="29" t="n">
        <v>2</v>
      </c>
      <c r="P420" s="29" t="str">
        <f aca="false">+CONCATENATE(Tabla[[#This Row],[MES CAMPAÑA]],"/",Tabla[[#This Row],[AÑO CAMPAÑA]])</f>
        <v>2/2026</v>
      </c>
      <c r="Q420" s="29" t="s">
        <v>293</v>
      </c>
      <c r="R420" s="29"/>
      <c r="S420" s="34" t="n">
        <v>0</v>
      </c>
      <c r="T420" s="34" t="n">
        <v>3100000</v>
      </c>
      <c r="U420" s="34" t="n">
        <v>589000</v>
      </c>
      <c r="V420" s="29"/>
      <c r="W420" s="35" t="n">
        <v>3689000</v>
      </c>
      <c r="X420" s="36"/>
      <c r="Y420" s="37"/>
      <c r="Z420" s="37"/>
      <c r="AA420" s="37"/>
      <c r="AB420" s="38" t="n">
        <f aca="false">+W420-AC420</f>
        <v>3689000</v>
      </c>
      <c r="AC420" s="34" t="n">
        <f aca="false">+Tabla[[#This Row],[P4]]+Tabla[[#This Row],[P3]]+Tabla[[#This Row],[P2]]+Tabla[[#This Row],[P1]]</f>
        <v>0</v>
      </c>
      <c r="AD420" s="34" t="n">
        <f aca="false">+W420-AC420</f>
        <v>3689000</v>
      </c>
      <c r="AE420" s="21" t="str">
        <f aca="false">IF(AB420&lt;1,"PAGADA","PENDIENTE")</f>
        <v>PENDIENTE</v>
      </c>
      <c r="AF420" s="21"/>
      <c r="AG420" s="29"/>
      <c r="AH420" s="40"/>
      <c r="AI420" s="40" t="n">
        <f aca="false">+IF(Tabla[[#This Row],[FECHA PAGO / ABONO]]&lt;1,0,(MONTH(Tabla[[#This Row],[FECHA PAGO / ABONO]])))</f>
        <v>0</v>
      </c>
      <c r="AJ420" s="40" t="n">
        <f aca="false">+IF(Tabla[[#This Row],[FECHA PAGO / ABONO]]&lt;1,0,(YEAR(Tabla[[#This Row],[FECHA PAGO / ABONO]])))</f>
        <v>0</v>
      </c>
      <c r="AK420" s="41"/>
    </row>
    <row r="421" customFormat="false" ht="14.25" hidden="false" customHeight="false" outlineLevel="0" collapsed="false">
      <c r="A421" s="28" t="s">
        <v>127</v>
      </c>
      <c r="B421" s="29" t="s">
        <v>128</v>
      </c>
      <c r="C421" s="29" t="s">
        <v>69</v>
      </c>
      <c r="D421" s="21" t="n">
        <v>47088</v>
      </c>
      <c r="E421" s="21" t="str">
        <f aca="false">+CONCATENATE(Tabla[[#This Row],[RUT]],Tabla[[#This Row],[PROVEEDOR]],Tabla[[#This Row],[FACTURA]])</f>
        <v>84364100-8Publicidad Exterior Publivia SpA47088</v>
      </c>
      <c r="F421" s="57" t="n">
        <v>46106</v>
      </c>
      <c r="G421" s="31" t="n">
        <f aca="false">+F421+30</f>
        <v>46136</v>
      </c>
      <c r="H421" s="29" t="n">
        <f aca="true">+IF(AE421="PAGADA",0,TODAY()-G421)</f>
        <v>68</v>
      </c>
      <c r="I421" s="29" t="str">
        <f aca="false">+IF(H421&gt;180,"Atrasada",IF(H421&gt;150,"150 dias",IF(H421&gt;120,"120 dias",IF(H421&gt;90,"90 dias",IF(H421&gt;60,"60 dias",IF(H421&gt;30,"30 dias","Al Día"))))))</f>
        <v>60 dias</v>
      </c>
      <c r="J421" s="32" t="s">
        <v>80</v>
      </c>
      <c r="K421" s="29" t="s">
        <v>81</v>
      </c>
      <c r="L421" s="33" t="s">
        <v>277</v>
      </c>
      <c r="M421" s="29" t="n">
        <f aca="false">+YEAR(F421)</f>
        <v>2026</v>
      </c>
      <c r="N421" s="29" t="n">
        <v>2026</v>
      </c>
      <c r="O421" s="29" t="n">
        <v>2</v>
      </c>
      <c r="P421" s="29" t="str">
        <f aca="false">+CONCATENATE(Tabla[[#This Row],[MES CAMPAÑA]],"/",Tabla[[#This Row],[AÑO CAMPAÑA]])</f>
        <v>2/2026</v>
      </c>
      <c r="Q421" s="29" t="s">
        <v>92</v>
      </c>
      <c r="R421" s="29"/>
      <c r="S421" s="34" t="n">
        <v>0</v>
      </c>
      <c r="T421" s="34" t="n">
        <v>429411</v>
      </c>
      <c r="U421" s="34" t="n">
        <v>81588</v>
      </c>
      <c r="V421" s="29"/>
      <c r="W421" s="35" t="n">
        <v>510999</v>
      </c>
      <c r="X421" s="36"/>
      <c r="Y421" s="37"/>
      <c r="Z421" s="37"/>
      <c r="AA421" s="37"/>
      <c r="AB421" s="38" t="n">
        <f aca="false">+W421-AC421</f>
        <v>510999</v>
      </c>
      <c r="AC421" s="34" t="n">
        <f aca="false">+Tabla[[#This Row],[P4]]+Tabla[[#This Row],[P3]]+Tabla[[#This Row],[P2]]+Tabla[[#This Row],[P1]]</f>
        <v>0</v>
      </c>
      <c r="AD421" s="34" t="n">
        <f aca="false">+W421-AC421</f>
        <v>510999</v>
      </c>
      <c r="AE421" s="21" t="str">
        <f aca="false">IF(AB421&lt;1,"PAGADA","PENDIENTE")</f>
        <v>PENDIENTE</v>
      </c>
      <c r="AF421" s="21"/>
      <c r="AG421" s="29"/>
      <c r="AH421" s="40"/>
      <c r="AI421" s="40" t="n">
        <f aca="false">+IF(Tabla[[#This Row],[FECHA PAGO / ABONO]]&lt;1,0,(MONTH(Tabla[[#This Row],[FECHA PAGO / ABONO]])))</f>
        <v>0</v>
      </c>
      <c r="AJ421" s="40" t="n">
        <f aca="false">+IF(Tabla[[#This Row],[FECHA PAGO / ABONO]]&lt;1,0,(YEAR(Tabla[[#This Row],[FECHA PAGO / ABONO]])))</f>
        <v>0</v>
      </c>
      <c r="AK421" s="41"/>
    </row>
    <row r="422" customFormat="false" ht="14.25" hidden="false" customHeight="false" outlineLevel="0" collapsed="false">
      <c r="A422" s="28" t="s">
        <v>201</v>
      </c>
      <c r="B422" s="29" t="s">
        <v>202</v>
      </c>
      <c r="C422" s="29" t="s">
        <v>69</v>
      </c>
      <c r="D422" s="21" t="n">
        <v>6690</v>
      </c>
      <c r="E422" s="21" t="str">
        <f aca="false">+CONCATENATE(Tabla[[#This Row],[RUT]],Tabla[[#This Row],[PROVEEDOR]],Tabla[[#This Row],[FACTURA]])</f>
        <v>76394590-1SERVICIOS PUBLICITARIOS PUBLIVISION LIMITADA6690</v>
      </c>
      <c r="F422" s="57" t="n">
        <v>46106</v>
      </c>
      <c r="G422" s="31" t="n">
        <f aca="false">+F422+30</f>
        <v>46136</v>
      </c>
      <c r="H422" s="29" t="n">
        <f aca="true">+IF(AE422="PAGADA",0,TODAY()-G422)</f>
        <v>68</v>
      </c>
      <c r="I422" s="29" t="str">
        <f aca="false">+IF(H422&gt;180,"Atrasada",IF(H422&gt;150,"150 dias",IF(H422&gt;120,"120 dias",IF(H422&gt;90,"90 dias",IF(H422&gt;60,"60 dias",IF(H422&gt;30,"30 dias","Al Día"))))))</f>
        <v>60 dias</v>
      </c>
      <c r="J422" s="32" t="s">
        <v>80</v>
      </c>
      <c r="K422" s="29" t="s">
        <v>81</v>
      </c>
      <c r="L422" s="33" t="s">
        <v>277</v>
      </c>
      <c r="M422" s="29" t="n">
        <f aca="false">+YEAR(F422)</f>
        <v>2026</v>
      </c>
      <c r="N422" s="29" t="n">
        <v>2026</v>
      </c>
      <c r="O422" s="29" t="n">
        <v>2</v>
      </c>
      <c r="P422" s="29" t="str">
        <f aca="false">+CONCATENATE(Tabla[[#This Row],[MES CAMPAÑA]],"/",Tabla[[#This Row],[AÑO CAMPAÑA]])</f>
        <v>2/2026</v>
      </c>
      <c r="Q422" s="29" t="s">
        <v>92</v>
      </c>
      <c r="R422" s="29"/>
      <c r="S422" s="34" t="n">
        <v>0</v>
      </c>
      <c r="T422" s="34" t="n">
        <v>212332</v>
      </c>
      <c r="U422" s="34" t="n">
        <v>40343</v>
      </c>
      <c r="V422" s="29"/>
      <c r="W422" s="35" t="n">
        <v>252675</v>
      </c>
      <c r="X422" s="36"/>
      <c r="Y422" s="37"/>
      <c r="Z422" s="37"/>
      <c r="AA422" s="37"/>
      <c r="AB422" s="38" t="n">
        <f aca="false">+W422-AC422</f>
        <v>252675</v>
      </c>
      <c r="AC422" s="34" t="n">
        <f aca="false">+Tabla[[#This Row],[P4]]+Tabla[[#This Row],[P3]]+Tabla[[#This Row],[P2]]+Tabla[[#This Row],[P1]]</f>
        <v>0</v>
      </c>
      <c r="AD422" s="34" t="n">
        <f aca="false">+W422-AC422</f>
        <v>252675</v>
      </c>
      <c r="AE422" s="21" t="str">
        <f aca="false">IF(AB422&lt;1,"PAGADA","PENDIENTE")</f>
        <v>PENDIENTE</v>
      </c>
      <c r="AF422" s="21"/>
      <c r="AG422" s="29"/>
      <c r="AH422" s="40"/>
      <c r="AI422" s="40" t="n">
        <f aca="false">+IF(Tabla[[#This Row],[FECHA PAGO / ABONO]]&lt;1,0,(MONTH(Tabla[[#This Row],[FECHA PAGO / ABONO]])))</f>
        <v>0</v>
      </c>
      <c r="AJ422" s="40" t="n">
        <f aca="false">+IF(Tabla[[#This Row],[FECHA PAGO / ABONO]]&lt;1,0,(YEAR(Tabla[[#This Row],[FECHA PAGO / ABONO]])))</f>
        <v>0</v>
      </c>
      <c r="AK422" s="41"/>
    </row>
    <row r="423" customFormat="false" ht="14.25" hidden="false" customHeight="false" outlineLevel="0" collapsed="false">
      <c r="A423" s="28" t="s">
        <v>127</v>
      </c>
      <c r="B423" s="29" t="s">
        <v>128</v>
      </c>
      <c r="C423" s="29" t="s">
        <v>69</v>
      </c>
      <c r="D423" s="21" t="n">
        <v>47089</v>
      </c>
      <c r="E423" s="21" t="str">
        <f aca="false">+CONCATENATE(Tabla[[#This Row],[RUT]],Tabla[[#This Row],[PROVEEDOR]],Tabla[[#This Row],[FACTURA]])</f>
        <v>84364100-8Publicidad Exterior Publivia SpA47089</v>
      </c>
      <c r="F423" s="57" t="n">
        <v>46106</v>
      </c>
      <c r="G423" s="31" t="n">
        <f aca="false">+F423+30</f>
        <v>46136</v>
      </c>
      <c r="H423" s="29" t="n">
        <f aca="true">+IF(AE423="PAGADA",0,TODAY()-G423)</f>
        <v>68</v>
      </c>
      <c r="I423" s="29" t="str">
        <f aca="false">+IF(H423&gt;180,"Atrasada",IF(H423&gt;150,"150 dias",IF(H423&gt;120,"120 dias",IF(H423&gt;90,"90 dias",IF(H423&gt;60,"60 dias",IF(H423&gt;30,"30 dias","Al Día"))))))</f>
        <v>60 dias</v>
      </c>
      <c r="J423" s="32" t="s">
        <v>80</v>
      </c>
      <c r="K423" s="29" t="s">
        <v>81</v>
      </c>
      <c r="L423" s="33" t="s">
        <v>277</v>
      </c>
      <c r="M423" s="29" t="n">
        <f aca="false">+YEAR(F423)</f>
        <v>2026</v>
      </c>
      <c r="N423" s="29" t="n">
        <v>2026</v>
      </c>
      <c r="O423" s="29" t="n">
        <v>2</v>
      </c>
      <c r="P423" s="29" t="str">
        <f aca="false">+CONCATENATE(Tabla[[#This Row],[MES CAMPAÑA]],"/",Tabla[[#This Row],[AÑO CAMPAÑA]])</f>
        <v>2/2026</v>
      </c>
      <c r="Q423" s="29" t="s">
        <v>92</v>
      </c>
      <c r="R423" s="29"/>
      <c r="S423" s="34" t="n">
        <v>0</v>
      </c>
      <c r="T423" s="34" t="n">
        <v>361254</v>
      </c>
      <c r="U423" s="34" t="n">
        <v>68638</v>
      </c>
      <c r="V423" s="29"/>
      <c r="W423" s="35" t="n">
        <v>429892</v>
      </c>
      <c r="X423" s="36"/>
      <c r="Y423" s="37"/>
      <c r="Z423" s="37"/>
      <c r="AA423" s="37"/>
      <c r="AB423" s="38" t="n">
        <f aca="false">+W423-AC423</f>
        <v>429892</v>
      </c>
      <c r="AC423" s="34" t="n">
        <f aca="false">+Tabla[[#This Row],[P4]]+Tabla[[#This Row],[P3]]+Tabla[[#This Row],[P2]]+Tabla[[#This Row],[P1]]</f>
        <v>0</v>
      </c>
      <c r="AD423" s="34" t="n">
        <f aca="false">+W423-AC423</f>
        <v>429892</v>
      </c>
      <c r="AE423" s="21" t="str">
        <f aca="false">IF(AB423&lt;1,"PAGADA","PENDIENTE")</f>
        <v>PENDIENTE</v>
      </c>
      <c r="AF423" s="21"/>
      <c r="AG423" s="29"/>
      <c r="AH423" s="40"/>
      <c r="AI423" s="40" t="n">
        <f aca="false">+IF(Tabla[[#This Row],[FECHA PAGO / ABONO]]&lt;1,0,(MONTH(Tabla[[#This Row],[FECHA PAGO / ABONO]])))</f>
        <v>0</v>
      </c>
      <c r="AJ423" s="40" t="n">
        <f aca="false">+IF(Tabla[[#This Row],[FECHA PAGO / ABONO]]&lt;1,0,(YEAR(Tabla[[#This Row],[FECHA PAGO / ABONO]])))</f>
        <v>0</v>
      </c>
      <c r="AK423" s="41"/>
    </row>
    <row r="424" customFormat="false" ht="14.25" hidden="false" customHeight="false" outlineLevel="0" collapsed="false">
      <c r="A424" s="28" t="s">
        <v>201</v>
      </c>
      <c r="B424" s="29" t="s">
        <v>202</v>
      </c>
      <c r="C424" s="29" t="s">
        <v>69</v>
      </c>
      <c r="D424" s="21" t="n">
        <v>6691</v>
      </c>
      <c r="E424" s="21" t="str">
        <f aca="false">+CONCATENATE(Tabla[[#This Row],[RUT]],Tabla[[#This Row],[PROVEEDOR]],Tabla[[#This Row],[FACTURA]])</f>
        <v>76394590-1SERVICIOS PUBLICITARIOS PUBLIVISION LIMITADA6691</v>
      </c>
      <c r="F424" s="57" t="n">
        <v>46106</v>
      </c>
      <c r="G424" s="31" t="n">
        <f aca="false">+F424+30</f>
        <v>46136</v>
      </c>
      <c r="H424" s="29" t="n">
        <f aca="true">+IF(AE424="PAGADA",0,TODAY()-G424)</f>
        <v>68</v>
      </c>
      <c r="I424" s="29" t="str">
        <f aca="false">+IF(H424&gt;180,"Atrasada",IF(H424&gt;150,"150 dias",IF(H424&gt;120,"120 dias",IF(H424&gt;90,"90 dias",IF(H424&gt;60,"60 dias",IF(H424&gt;30,"30 dias","Al Día"))))))</f>
        <v>60 dias</v>
      </c>
      <c r="J424" s="32" t="s">
        <v>80</v>
      </c>
      <c r="K424" s="29" t="s">
        <v>81</v>
      </c>
      <c r="L424" s="33" t="s">
        <v>277</v>
      </c>
      <c r="M424" s="29" t="n">
        <f aca="false">+YEAR(F424)</f>
        <v>2026</v>
      </c>
      <c r="N424" s="29" t="n">
        <v>2026</v>
      </c>
      <c r="O424" s="29" t="n">
        <v>2</v>
      </c>
      <c r="P424" s="29" t="str">
        <f aca="false">+CONCATENATE(Tabla[[#This Row],[MES CAMPAÑA]],"/",Tabla[[#This Row],[AÑO CAMPAÑA]])</f>
        <v>2/2026</v>
      </c>
      <c r="Q424" s="29" t="s">
        <v>92</v>
      </c>
      <c r="R424" s="29"/>
      <c r="S424" s="34" t="n">
        <v>0</v>
      </c>
      <c r="T424" s="34" t="n">
        <v>212332</v>
      </c>
      <c r="U424" s="34" t="n">
        <v>40343</v>
      </c>
      <c r="V424" s="29"/>
      <c r="W424" s="35" t="n">
        <v>252675</v>
      </c>
      <c r="X424" s="36"/>
      <c r="Y424" s="37"/>
      <c r="Z424" s="37"/>
      <c r="AA424" s="37"/>
      <c r="AB424" s="38" t="n">
        <f aca="false">+W424-AC424</f>
        <v>252675</v>
      </c>
      <c r="AC424" s="34" t="n">
        <f aca="false">+Tabla[[#This Row],[P4]]+Tabla[[#This Row],[P3]]+Tabla[[#This Row],[P2]]+Tabla[[#This Row],[P1]]</f>
        <v>0</v>
      </c>
      <c r="AD424" s="34" t="n">
        <f aca="false">+W424-AC424</f>
        <v>252675</v>
      </c>
      <c r="AE424" s="21" t="str">
        <f aca="false">IF(AB424&lt;1,"PAGADA","PENDIENTE")</f>
        <v>PENDIENTE</v>
      </c>
      <c r="AF424" s="21"/>
      <c r="AG424" s="29"/>
      <c r="AH424" s="40"/>
      <c r="AI424" s="40" t="n">
        <f aca="false">+IF(Tabla[[#This Row],[FECHA PAGO / ABONO]]&lt;1,0,(MONTH(Tabla[[#This Row],[FECHA PAGO / ABONO]])))</f>
        <v>0</v>
      </c>
      <c r="AJ424" s="40" t="n">
        <f aca="false">+IF(Tabla[[#This Row],[FECHA PAGO / ABONO]]&lt;1,0,(YEAR(Tabla[[#This Row],[FECHA PAGO / ABONO]])))</f>
        <v>0</v>
      </c>
      <c r="AK424" s="41"/>
    </row>
    <row r="425" customFormat="false" ht="14.25" hidden="false" customHeight="false" outlineLevel="0" collapsed="false">
      <c r="A425" s="28" t="s">
        <v>127</v>
      </c>
      <c r="B425" s="29" t="s">
        <v>128</v>
      </c>
      <c r="C425" s="29" t="s">
        <v>69</v>
      </c>
      <c r="D425" s="21" t="n">
        <v>47090</v>
      </c>
      <c r="E425" s="21" t="str">
        <f aca="false">+CONCATENATE(Tabla[[#This Row],[RUT]],Tabla[[#This Row],[PROVEEDOR]],Tabla[[#This Row],[FACTURA]])</f>
        <v>84364100-8Publicidad Exterior Publivia SpA47090</v>
      </c>
      <c r="F425" s="57" t="n">
        <v>46106</v>
      </c>
      <c r="G425" s="31" t="n">
        <f aca="false">+F425+30</f>
        <v>46136</v>
      </c>
      <c r="H425" s="29" t="n">
        <f aca="true">+IF(AE425="PAGADA",0,TODAY()-G425)</f>
        <v>68</v>
      </c>
      <c r="I425" s="29" t="str">
        <f aca="false">+IF(H425&gt;180,"Atrasada",IF(H425&gt;150,"150 dias",IF(H425&gt;120,"120 dias",IF(H425&gt;90,"90 dias",IF(H425&gt;60,"60 dias",IF(H425&gt;30,"30 dias","Al Día"))))))</f>
        <v>60 dias</v>
      </c>
      <c r="J425" s="32" t="s">
        <v>80</v>
      </c>
      <c r="K425" s="29" t="s">
        <v>81</v>
      </c>
      <c r="L425" s="33" t="s">
        <v>277</v>
      </c>
      <c r="M425" s="29" t="n">
        <f aca="false">+YEAR(F425)</f>
        <v>2026</v>
      </c>
      <c r="N425" s="29" t="n">
        <v>2026</v>
      </c>
      <c r="O425" s="29" t="n">
        <v>2</v>
      </c>
      <c r="P425" s="29" t="str">
        <f aca="false">+CONCATENATE(Tabla[[#This Row],[MES CAMPAÑA]],"/",Tabla[[#This Row],[AÑO CAMPAÑA]])</f>
        <v>2/2026</v>
      </c>
      <c r="Q425" s="29" t="s">
        <v>92</v>
      </c>
      <c r="R425" s="29"/>
      <c r="S425" s="34" t="n">
        <v>0</v>
      </c>
      <c r="T425" s="34" t="n">
        <v>361254</v>
      </c>
      <c r="U425" s="34" t="n">
        <v>68638</v>
      </c>
      <c r="V425" s="29"/>
      <c r="W425" s="35" t="n">
        <v>429892</v>
      </c>
      <c r="X425" s="36"/>
      <c r="Y425" s="37"/>
      <c r="Z425" s="37"/>
      <c r="AA425" s="37"/>
      <c r="AB425" s="38" t="n">
        <f aca="false">+W425-AC425</f>
        <v>429892</v>
      </c>
      <c r="AC425" s="34" t="n">
        <f aca="false">+Tabla[[#This Row],[P4]]+Tabla[[#This Row],[P3]]+Tabla[[#This Row],[P2]]+Tabla[[#This Row],[P1]]</f>
        <v>0</v>
      </c>
      <c r="AD425" s="34" t="n">
        <f aca="false">+W425-AC425</f>
        <v>429892</v>
      </c>
      <c r="AE425" s="21" t="str">
        <f aca="false">IF(AB425&lt;1,"PAGADA","PENDIENTE")</f>
        <v>PENDIENTE</v>
      </c>
      <c r="AF425" s="21"/>
      <c r="AG425" s="29"/>
      <c r="AH425" s="40"/>
      <c r="AI425" s="40" t="n">
        <f aca="false">+IF(Tabla[[#This Row],[FECHA PAGO / ABONO]]&lt;1,0,(MONTH(Tabla[[#This Row],[FECHA PAGO / ABONO]])))</f>
        <v>0</v>
      </c>
      <c r="AJ425" s="40" t="n">
        <f aca="false">+IF(Tabla[[#This Row],[FECHA PAGO / ABONO]]&lt;1,0,(YEAR(Tabla[[#This Row],[FECHA PAGO / ABONO]])))</f>
        <v>0</v>
      </c>
      <c r="AK425" s="41"/>
    </row>
    <row r="426" customFormat="false" ht="14.25" hidden="false" customHeight="false" outlineLevel="0" collapsed="false">
      <c r="A426" s="28" t="s">
        <v>201</v>
      </c>
      <c r="B426" s="29" t="s">
        <v>202</v>
      </c>
      <c r="C426" s="29" t="s">
        <v>69</v>
      </c>
      <c r="D426" s="21" t="n">
        <v>6692</v>
      </c>
      <c r="E426" s="21" t="str">
        <f aca="false">+CONCATENATE(Tabla[[#This Row],[RUT]],Tabla[[#This Row],[PROVEEDOR]],Tabla[[#This Row],[FACTURA]])</f>
        <v>76394590-1SERVICIOS PUBLICITARIOS PUBLIVISION LIMITADA6692</v>
      </c>
      <c r="F426" s="57" t="n">
        <v>46106</v>
      </c>
      <c r="G426" s="31" t="n">
        <f aca="false">+F426+30</f>
        <v>46136</v>
      </c>
      <c r="H426" s="29" t="n">
        <f aca="true">+IF(AE426="PAGADA",0,TODAY()-G426)</f>
        <v>68</v>
      </c>
      <c r="I426" s="29" t="str">
        <f aca="false">+IF(H426&gt;180,"Atrasada",IF(H426&gt;150,"150 dias",IF(H426&gt;120,"120 dias",IF(H426&gt;90,"90 dias",IF(H426&gt;60,"60 dias",IF(H426&gt;30,"30 dias","Al Día"))))))</f>
        <v>60 dias</v>
      </c>
      <c r="J426" s="32" t="s">
        <v>80</v>
      </c>
      <c r="K426" s="29" t="s">
        <v>81</v>
      </c>
      <c r="L426" s="33" t="s">
        <v>277</v>
      </c>
      <c r="M426" s="29" t="n">
        <f aca="false">+YEAR(F426)</f>
        <v>2026</v>
      </c>
      <c r="N426" s="29" t="n">
        <v>2026</v>
      </c>
      <c r="O426" s="29" t="n">
        <v>2</v>
      </c>
      <c r="P426" s="29" t="str">
        <f aca="false">+CONCATENATE(Tabla[[#This Row],[MES CAMPAÑA]],"/",Tabla[[#This Row],[AÑO CAMPAÑA]])</f>
        <v>2/2026</v>
      </c>
      <c r="Q426" s="29" t="s">
        <v>92</v>
      </c>
      <c r="R426" s="29"/>
      <c r="S426" s="34" t="n">
        <v>0</v>
      </c>
      <c r="T426" s="34" t="n">
        <v>386552</v>
      </c>
      <c r="U426" s="34" t="n">
        <v>73445</v>
      </c>
      <c r="V426" s="29"/>
      <c r="W426" s="35" t="n">
        <v>459997</v>
      </c>
      <c r="X426" s="36"/>
      <c r="Y426" s="37"/>
      <c r="Z426" s="37"/>
      <c r="AA426" s="37"/>
      <c r="AB426" s="38" t="n">
        <f aca="false">+W426-AC426</f>
        <v>459997</v>
      </c>
      <c r="AC426" s="34" t="n">
        <f aca="false">+Tabla[[#This Row],[P4]]+Tabla[[#This Row],[P3]]+Tabla[[#This Row],[P2]]+Tabla[[#This Row],[P1]]</f>
        <v>0</v>
      </c>
      <c r="AD426" s="34" t="n">
        <f aca="false">+W426-AC426</f>
        <v>459997</v>
      </c>
      <c r="AE426" s="21" t="str">
        <f aca="false">IF(AB426&lt;1,"PAGADA","PENDIENTE")</f>
        <v>PENDIENTE</v>
      </c>
      <c r="AF426" s="21"/>
      <c r="AG426" s="29"/>
      <c r="AH426" s="40"/>
      <c r="AI426" s="40" t="n">
        <f aca="false">+IF(Tabla[[#This Row],[FECHA PAGO / ABONO]]&lt;1,0,(MONTH(Tabla[[#This Row],[FECHA PAGO / ABONO]])))</f>
        <v>0</v>
      </c>
      <c r="AJ426" s="40" t="n">
        <f aca="false">+IF(Tabla[[#This Row],[FECHA PAGO / ABONO]]&lt;1,0,(YEAR(Tabla[[#This Row],[FECHA PAGO / ABONO]])))</f>
        <v>0</v>
      </c>
      <c r="AK426" s="41"/>
    </row>
    <row r="427" customFormat="false" ht="14.25" hidden="false" customHeight="false" outlineLevel="0" collapsed="false">
      <c r="A427" s="28" t="s">
        <v>127</v>
      </c>
      <c r="B427" s="29" t="s">
        <v>128</v>
      </c>
      <c r="C427" s="29" t="s">
        <v>69</v>
      </c>
      <c r="D427" s="21" t="n">
        <v>47091</v>
      </c>
      <c r="E427" s="21" t="str">
        <f aca="false">+CONCATENATE(Tabla[[#This Row],[RUT]],Tabla[[#This Row],[PROVEEDOR]],Tabla[[#This Row],[FACTURA]])</f>
        <v>84364100-8Publicidad Exterior Publivia SpA47091</v>
      </c>
      <c r="F427" s="57" t="n">
        <v>46106</v>
      </c>
      <c r="G427" s="31" t="n">
        <f aca="false">+F427+30</f>
        <v>46136</v>
      </c>
      <c r="H427" s="29" t="n">
        <f aca="true">+IF(AE427="PAGADA",0,TODAY()-G427)</f>
        <v>68</v>
      </c>
      <c r="I427" s="29" t="str">
        <f aca="false">+IF(H427&gt;180,"Atrasada",IF(H427&gt;150,"150 dias",IF(H427&gt;120,"120 dias",IF(H427&gt;90,"90 dias",IF(H427&gt;60,"60 dias",IF(H427&gt;30,"30 dias","Al Día"))))))</f>
        <v>60 dias</v>
      </c>
      <c r="J427" s="32" t="s">
        <v>80</v>
      </c>
      <c r="K427" s="29" t="s">
        <v>81</v>
      </c>
      <c r="L427" s="33" t="s">
        <v>277</v>
      </c>
      <c r="M427" s="29" t="n">
        <f aca="false">+YEAR(F427)</f>
        <v>2026</v>
      </c>
      <c r="N427" s="29" t="n">
        <v>2026</v>
      </c>
      <c r="O427" s="29" t="n">
        <v>2</v>
      </c>
      <c r="P427" s="29" t="str">
        <f aca="false">+CONCATENATE(Tabla[[#This Row],[MES CAMPAÑA]],"/",Tabla[[#This Row],[AÑO CAMPAÑA]])</f>
        <v>2/2026</v>
      </c>
      <c r="Q427" s="29" t="s">
        <v>92</v>
      </c>
      <c r="R427" s="29"/>
      <c r="S427" s="34" t="n">
        <v>0</v>
      </c>
      <c r="T427" s="34" t="n">
        <v>432640</v>
      </c>
      <c r="U427" s="34" t="n">
        <v>82202</v>
      </c>
      <c r="V427" s="29"/>
      <c r="W427" s="35" t="n">
        <v>514842</v>
      </c>
      <c r="X427" s="36"/>
      <c r="Y427" s="37"/>
      <c r="Z427" s="37"/>
      <c r="AA427" s="37"/>
      <c r="AB427" s="38" t="n">
        <f aca="false">+W427-AC427</f>
        <v>514842</v>
      </c>
      <c r="AC427" s="34" t="n">
        <f aca="false">+Tabla[[#This Row],[P4]]+Tabla[[#This Row],[P3]]+Tabla[[#This Row],[P2]]+Tabla[[#This Row],[P1]]</f>
        <v>0</v>
      </c>
      <c r="AD427" s="34" t="n">
        <f aca="false">+W427-AC427</f>
        <v>514842</v>
      </c>
      <c r="AE427" s="21" t="str">
        <f aca="false">IF(AB427&lt;1,"PAGADA","PENDIENTE")</f>
        <v>PENDIENTE</v>
      </c>
      <c r="AF427" s="21"/>
      <c r="AG427" s="29"/>
      <c r="AH427" s="40"/>
      <c r="AI427" s="40" t="n">
        <f aca="false">+IF(Tabla[[#This Row],[FECHA PAGO / ABONO]]&lt;1,0,(MONTH(Tabla[[#This Row],[FECHA PAGO / ABONO]])))</f>
        <v>0</v>
      </c>
      <c r="AJ427" s="40" t="n">
        <f aca="false">+IF(Tabla[[#This Row],[FECHA PAGO / ABONO]]&lt;1,0,(YEAR(Tabla[[#This Row],[FECHA PAGO / ABONO]])))</f>
        <v>0</v>
      </c>
      <c r="AK427" s="41"/>
    </row>
    <row r="428" customFormat="false" ht="14.25" hidden="false" customHeight="false" outlineLevel="0" collapsed="false">
      <c r="A428" s="28" t="s">
        <v>127</v>
      </c>
      <c r="B428" s="29" t="s">
        <v>128</v>
      </c>
      <c r="C428" s="29" t="s">
        <v>69</v>
      </c>
      <c r="D428" s="21" t="n">
        <v>47092</v>
      </c>
      <c r="E428" s="21" t="str">
        <f aca="false">+CONCATENATE(Tabla[[#This Row],[RUT]],Tabla[[#This Row],[PROVEEDOR]],Tabla[[#This Row],[FACTURA]])</f>
        <v>84364100-8Publicidad Exterior Publivia SpA47092</v>
      </c>
      <c r="F428" s="57" t="n">
        <v>46106</v>
      </c>
      <c r="G428" s="31" t="n">
        <f aca="false">+F428+30</f>
        <v>46136</v>
      </c>
      <c r="H428" s="29" t="n">
        <f aca="true">+IF(AE428="PAGADA",0,TODAY()-G428)</f>
        <v>68</v>
      </c>
      <c r="I428" s="29" t="str">
        <f aca="false">+IF(H428&gt;180,"Atrasada",IF(H428&gt;150,"150 dias",IF(H428&gt;120,"120 dias",IF(H428&gt;90,"90 dias",IF(H428&gt;60,"60 dias",IF(H428&gt;30,"30 dias","Al Día"))))))</f>
        <v>60 dias</v>
      </c>
      <c r="J428" s="32" t="s">
        <v>80</v>
      </c>
      <c r="K428" s="29" t="s">
        <v>81</v>
      </c>
      <c r="L428" s="33" t="s">
        <v>277</v>
      </c>
      <c r="M428" s="29" t="n">
        <f aca="false">+YEAR(F428)</f>
        <v>2026</v>
      </c>
      <c r="N428" s="29" t="n">
        <v>2026</v>
      </c>
      <c r="O428" s="29" t="n">
        <v>2</v>
      </c>
      <c r="P428" s="29" t="str">
        <f aca="false">+CONCATENATE(Tabla[[#This Row],[MES CAMPAÑA]],"/",Tabla[[#This Row],[AÑO CAMPAÑA]])</f>
        <v>2/2026</v>
      </c>
      <c r="Q428" s="29" t="s">
        <v>92</v>
      </c>
      <c r="R428" s="29"/>
      <c r="S428" s="34" t="n">
        <v>0</v>
      </c>
      <c r="T428" s="34" t="n">
        <v>1095995</v>
      </c>
      <c r="U428" s="34" t="n">
        <v>208239</v>
      </c>
      <c r="V428" s="29"/>
      <c r="W428" s="35" t="n">
        <v>1304234</v>
      </c>
      <c r="X428" s="36"/>
      <c r="Y428" s="37"/>
      <c r="Z428" s="37"/>
      <c r="AA428" s="37"/>
      <c r="AB428" s="38" t="n">
        <f aca="false">+W428-AC428</f>
        <v>1304234</v>
      </c>
      <c r="AC428" s="34" t="n">
        <f aca="false">+Tabla[[#This Row],[P4]]+Tabla[[#This Row],[P3]]+Tabla[[#This Row],[P2]]+Tabla[[#This Row],[P1]]</f>
        <v>0</v>
      </c>
      <c r="AD428" s="34" t="n">
        <f aca="false">+W428-AC428</f>
        <v>1304234</v>
      </c>
      <c r="AE428" s="21" t="str">
        <f aca="false">IF(AB428&lt;1,"PAGADA","PENDIENTE")</f>
        <v>PENDIENTE</v>
      </c>
      <c r="AF428" s="21"/>
      <c r="AG428" s="29"/>
      <c r="AH428" s="40"/>
      <c r="AI428" s="40" t="n">
        <f aca="false">+IF(Tabla[[#This Row],[FECHA PAGO / ABONO]]&lt;1,0,(MONTH(Tabla[[#This Row],[FECHA PAGO / ABONO]])))</f>
        <v>0</v>
      </c>
      <c r="AJ428" s="40" t="n">
        <f aca="false">+IF(Tabla[[#This Row],[FECHA PAGO / ABONO]]&lt;1,0,(YEAR(Tabla[[#This Row],[FECHA PAGO / ABONO]])))</f>
        <v>0</v>
      </c>
      <c r="AK428" s="41"/>
    </row>
    <row r="429" customFormat="false" ht="14.25" hidden="false" customHeight="false" outlineLevel="0" collapsed="false">
      <c r="A429" s="28" t="s">
        <v>127</v>
      </c>
      <c r="B429" s="29" t="s">
        <v>128</v>
      </c>
      <c r="C429" s="29" t="s">
        <v>69</v>
      </c>
      <c r="D429" s="21" t="n">
        <v>47093</v>
      </c>
      <c r="E429" s="21" t="str">
        <f aca="false">+CONCATENATE(Tabla[[#This Row],[RUT]],Tabla[[#This Row],[PROVEEDOR]],Tabla[[#This Row],[FACTURA]])</f>
        <v>84364100-8Publicidad Exterior Publivia SpA47093</v>
      </c>
      <c r="F429" s="57" t="n">
        <v>46106</v>
      </c>
      <c r="G429" s="31" t="n">
        <f aca="false">+F429+30</f>
        <v>46136</v>
      </c>
      <c r="H429" s="29" t="n">
        <f aca="true">+IF(AE429="PAGADA",0,TODAY()-G429)</f>
        <v>68</v>
      </c>
      <c r="I429" s="29" t="str">
        <f aca="false">+IF(H429&gt;180,"Atrasada",IF(H429&gt;150,"150 dias",IF(H429&gt;120,"120 dias",IF(H429&gt;90,"90 dias",IF(H429&gt;60,"60 dias",IF(H429&gt;30,"30 dias","Al Día"))))))</f>
        <v>60 dias</v>
      </c>
      <c r="J429" s="32" t="s">
        <v>80</v>
      </c>
      <c r="K429" s="29" t="s">
        <v>81</v>
      </c>
      <c r="L429" s="33" t="s">
        <v>277</v>
      </c>
      <c r="M429" s="29" t="n">
        <f aca="false">+YEAR(F429)</f>
        <v>2026</v>
      </c>
      <c r="N429" s="29" t="n">
        <v>2026</v>
      </c>
      <c r="O429" s="29" t="n">
        <v>2</v>
      </c>
      <c r="P429" s="29" t="str">
        <f aca="false">+CONCATENATE(Tabla[[#This Row],[MES CAMPAÑA]],"/",Tabla[[#This Row],[AÑO CAMPAÑA]])</f>
        <v>2/2026</v>
      </c>
      <c r="Q429" s="29" t="s">
        <v>92</v>
      </c>
      <c r="R429" s="29"/>
      <c r="S429" s="34" t="n">
        <v>0</v>
      </c>
      <c r="T429" s="34" t="n">
        <v>412738</v>
      </c>
      <c r="U429" s="34" t="n">
        <v>78420</v>
      </c>
      <c r="V429" s="29"/>
      <c r="W429" s="35" t="n">
        <v>491158</v>
      </c>
      <c r="X429" s="36"/>
      <c r="Y429" s="37"/>
      <c r="Z429" s="37"/>
      <c r="AA429" s="37"/>
      <c r="AB429" s="38" t="n">
        <f aca="false">+W429-AC429</f>
        <v>491158</v>
      </c>
      <c r="AC429" s="34" t="n">
        <f aca="false">+Tabla[[#This Row],[P4]]+Tabla[[#This Row],[P3]]+Tabla[[#This Row],[P2]]+Tabla[[#This Row],[P1]]</f>
        <v>0</v>
      </c>
      <c r="AD429" s="34" t="n">
        <f aca="false">+W429-AC429</f>
        <v>491158</v>
      </c>
      <c r="AE429" s="21" t="str">
        <f aca="false">IF(AB429&lt;1,"PAGADA","PENDIENTE")</f>
        <v>PENDIENTE</v>
      </c>
      <c r="AF429" s="21"/>
      <c r="AG429" s="29"/>
      <c r="AH429" s="40"/>
      <c r="AI429" s="40" t="n">
        <f aca="false">+IF(Tabla[[#This Row],[FECHA PAGO / ABONO]]&lt;1,0,(MONTH(Tabla[[#This Row],[FECHA PAGO / ABONO]])))</f>
        <v>0</v>
      </c>
      <c r="AJ429" s="40" t="n">
        <f aca="false">+IF(Tabla[[#This Row],[FECHA PAGO / ABONO]]&lt;1,0,(YEAR(Tabla[[#This Row],[FECHA PAGO / ABONO]])))</f>
        <v>0</v>
      </c>
      <c r="AK429" s="41"/>
    </row>
    <row r="430" customFormat="false" ht="14.25" hidden="false" customHeight="false" outlineLevel="0" collapsed="false">
      <c r="A430" s="28" t="s">
        <v>127</v>
      </c>
      <c r="B430" s="29" t="s">
        <v>128</v>
      </c>
      <c r="C430" s="29" t="s">
        <v>69</v>
      </c>
      <c r="D430" s="21" t="n">
        <v>47094</v>
      </c>
      <c r="E430" s="21" t="str">
        <f aca="false">+CONCATENATE(Tabla[[#This Row],[RUT]],Tabla[[#This Row],[PROVEEDOR]],Tabla[[#This Row],[FACTURA]])</f>
        <v>84364100-8Publicidad Exterior Publivia SpA47094</v>
      </c>
      <c r="F430" s="57" t="n">
        <v>46106</v>
      </c>
      <c r="G430" s="31" t="n">
        <f aca="false">+F430+30</f>
        <v>46136</v>
      </c>
      <c r="H430" s="29" t="n">
        <f aca="true">+IF(AE430="PAGADA",0,TODAY()-G430)</f>
        <v>68</v>
      </c>
      <c r="I430" s="29" t="str">
        <f aca="false">+IF(H430&gt;180,"Atrasada",IF(H430&gt;150,"150 dias",IF(H430&gt;120,"120 dias",IF(H430&gt;90,"90 dias",IF(H430&gt;60,"60 dias",IF(H430&gt;30,"30 dias","Al Día"))))))</f>
        <v>60 dias</v>
      </c>
      <c r="J430" s="32" t="s">
        <v>80</v>
      </c>
      <c r="K430" s="29" t="s">
        <v>81</v>
      </c>
      <c r="L430" s="33" t="s">
        <v>277</v>
      </c>
      <c r="M430" s="29" t="n">
        <f aca="false">+YEAR(F430)</f>
        <v>2026</v>
      </c>
      <c r="N430" s="29" t="n">
        <v>2026</v>
      </c>
      <c r="O430" s="29" t="n">
        <v>2</v>
      </c>
      <c r="P430" s="29" t="str">
        <f aca="false">+CONCATENATE(Tabla[[#This Row],[MES CAMPAÑA]],"/",Tabla[[#This Row],[AÑO CAMPAÑA]])</f>
        <v>2/2026</v>
      </c>
      <c r="Q430" s="29" t="s">
        <v>92</v>
      </c>
      <c r="R430" s="29"/>
      <c r="S430" s="34" t="n">
        <v>0</v>
      </c>
      <c r="T430" s="34" t="n">
        <v>393133</v>
      </c>
      <c r="U430" s="34" t="n">
        <v>74695</v>
      </c>
      <c r="V430" s="29"/>
      <c r="W430" s="35" t="n">
        <v>467828</v>
      </c>
      <c r="X430" s="36"/>
      <c r="Y430" s="37"/>
      <c r="Z430" s="37"/>
      <c r="AA430" s="37"/>
      <c r="AB430" s="38" t="n">
        <f aca="false">+W430-AC430</f>
        <v>467828</v>
      </c>
      <c r="AC430" s="34" t="n">
        <f aca="false">+Tabla[[#This Row],[P4]]+Tabla[[#This Row],[P3]]+Tabla[[#This Row],[P2]]+Tabla[[#This Row],[P1]]</f>
        <v>0</v>
      </c>
      <c r="AD430" s="34" t="n">
        <f aca="false">+W430-AC430</f>
        <v>467828</v>
      </c>
      <c r="AE430" s="21" t="str">
        <f aca="false">IF(AB430&lt;1,"PAGADA","PENDIENTE")</f>
        <v>PENDIENTE</v>
      </c>
      <c r="AF430" s="21"/>
      <c r="AG430" s="29"/>
      <c r="AH430" s="40"/>
      <c r="AI430" s="40" t="n">
        <f aca="false">+IF(Tabla[[#This Row],[FECHA PAGO / ABONO]]&lt;1,0,(MONTH(Tabla[[#This Row],[FECHA PAGO / ABONO]])))</f>
        <v>0</v>
      </c>
      <c r="AJ430" s="40" t="n">
        <f aca="false">+IF(Tabla[[#This Row],[FECHA PAGO / ABONO]]&lt;1,0,(YEAR(Tabla[[#This Row],[FECHA PAGO / ABONO]])))</f>
        <v>0</v>
      </c>
      <c r="AK430" s="41"/>
    </row>
    <row r="431" customFormat="false" ht="14.25" hidden="false" customHeight="false" outlineLevel="0" collapsed="false">
      <c r="A431" s="28" t="s">
        <v>127</v>
      </c>
      <c r="B431" s="29" t="s">
        <v>128</v>
      </c>
      <c r="C431" s="29" t="s">
        <v>69</v>
      </c>
      <c r="D431" s="21" t="n">
        <v>47095</v>
      </c>
      <c r="E431" s="21" t="str">
        <f aca="false">+CONCATENATE(Tabla[[#This Row],[RUT]],Tabla[[#This Row],[PROVEEDOR]],Tabla[[#This Row],[FACTURA]])</f>
        <v>84364100-8Publicidad Exterior Publivia SpA47095</v>
      </c>
      <c r="F431" s="57" t="n">
        <v>46106</v>
      </c>
      <c r="G431" s="31" t="n">
        <f aca="false">+F431+30</f>
        <v>46136</v>
      </c>
      <c r="H431" s="29" t="n">
        <f aca="true">+IF(AE431="PAGADA",0,TODAY()-G431)</f>
        <v>68</v>
      </c>
      <c r="I431" s="29" t="str">
        <f aca="false">+IF(H431&gt;180,"Atrasada",IF(H431&gt;150,"150 dias",IF(H431&gt;120,"120 dias",IF(H431&gt;90,"90 dias",IF(H431&gt;60,"60 dias",IF(H431&gt;30,"30 dias","Al Día"))))))</f>
        <v>60 dias</v>
      </c>
      <c r="J431" s="32" t="s">
        <v>80</v>
      </c>
      <c r="K431" s="29" t="s">
        <v>81</v>
      </c>
      <c r="L431" s="33" t="s">
        <v>277</v>
      </c>
      <c r="M431" s="29" t="n">
        <f aca="false">+YEAR(F431)</f>
        <v>2026</v>
      </c>
      <c r="N431" s="29" t="n">
        <v>2026</v>
      </c>
      <c r="O431" s="29" t="n">
        <v>2</v>
      </c>
      <c r="P431" s="29" t="str">
        <f aca="false">+CONCATENATE(Tabla[[#This Row],[MES CAMPAÑA]],"/",Tabla[[#This Row],[AÑO CAMPAÑA]])</f>
        <v>2/2026</v>
      </c>
      <c r="Q431" s="29" t="s">
        <v>92</v>
      </c>
      <c r="R431" s="29"/>
      <c r="S431" s="34" t="n">
        <v>0</v>
      </c>
      <c r="T431" s="34" t="n">
        <v>2000000</v>
      </c>
      <c r="U431" s="34" t="n">
        <v>380000</v>
      </c>
      <c r="V431" s="29"/>
      <c r="W431" s="35" t="n">
        <v>2380000</v>
      </c>
      <c r="X431" s="36"/>
      <c r="Y431" s="37"/>
      <c r="Z431" s="37"/>
      <c r="AA431" s="37"/>
      <c r="AB431" s="38" t="n">
        <f aca="false">+W431-AC431</f>
        <v>2380000</v>
      </c>
      <c r="AC431" s="34" t="n">
        <f aca="false">+Tabla[[#This Row],[P4]]+Tabla[[#This Row],[P3]]+Tabla[[#This Row],[P2]]+Tabla[[#This Row],[P1]]</f>
        <v>0</v>
      </c>
      <c r="AD431" s="34" t="n">
        <f aca="false">+W431-AC431</f>
        <v>2380000</v>
      </c>
      <c r="AE431" s="21" t="str">
        <f aca="false">IF(AB431&lt;1,"PAGADA","PENDIENTE")</f>
        <v>PENDIENTE</v>
      </c>
      <c r="AF431" s="21"/>
      <c r="AG431" s="29"/>
      <c r="AH431" s="40"/>
      <c r="AI431" s="40" t="n">
        <f aca="false">+IF(Tabla[[#This Row],[FECHA PAGO / ABONO]]&lt;1,0,(MONTH(Tabla[[#This Row],[FECHA PAGO / ABONO]])))</f>
        <v>0</v>
      </c>
      <c r="AJ431" s="40" t="n">
        <f aca="false">+IF(Tabla[[#This Row],[FECHA PAGO / ABONO]]&lt;1,0,(YEAR(Tabla[[#This Row],[FECHA PAGO / ABONO]])))</f>
        <v>0</v>
      </c>
      <c r="AK431" s="41"/>
    </row>
    <row r="432" customFormat="false" ht="14.25" hidden="false" customHeight="false" outlineLevel="0" collapsed="false">
      <c r="A432" s="28" t="s">
        <v>157</v>
      </c>
      <c r="B432" s="29" t="s">
        <v>158</v>
      </c>
      <c r="C432" s="29" t="s">
        <v>69</v>
      </c>
      <c r="D432" s="21" t="n">
        <v>4348</v>
      </c>
      <c r="E432" s="21" t="str">
        <f aca="false">+CONCATENATE(Tabla[[#This Row],[RUT]],Tabla[[#This Row],[PROVEEDOR]],Tabla[[#This Row],[FACTURA]])</f>
        <v>76617260-1IMPORTADORA Y COMERCIALIZADORA GREPSA LTDA4348</v>
      </c>
      <c r="F432" s="57" t="n">
        <v>46106</v>
      </c>
      <c r="G432" s="31" t="n">
        <f aca="false">+F432+30</f>
        <v>46136</v>
      </c>
      <c r="H432" s="29" t="n">
        <f aca="true">+IF(AE432="PAGADA",0,TODAY()-G432)</f>
        <v>0</v>
      </c>
      <c r="I432" s="29" t="str">
        <f aca="false">+IF(H432&gt;180,"Atrasada",IF(H432&gt;150,"150 dias",IF(H432&gt;120,"120 dias",IF(H432&gt;90,"90 dias",IF(H432&gt;60,"60 dias",IF(H432&gt;30,"30 dias","Al Día"))))))</f>
        <v>Al Día</v>
      </c>
      <c r="J432" s="32" t="s">
        <v>80</v>
      </c>
      <c r="K432" s="29" t="s">
        <v>81</v>
      </c>
      <c r="L432" s="33" t="s">
        <v>277</v>
      </c>
      <c r="M432" s="29" t="n">
        <f aca="false">+YEAR(F432)</f>
        <v>2026</v>
      </c>
      <c r="N432" s="29" t="n">
        <v>2026</v>
      </c>
      <c r="O432" s="29" t="n">
        <v>2</v>
      </c>
      <c r="P432" s="29" t="str">
        <f aca="false">+CONCATENATE(Tabla[[#This Row],[MES CAMPAÑA]],"/",Tabla[[#This Row],[AÑO CAMPAÑA]])</f>
        <v>2/2026</v>
      </c>
      <c r="Q432" s="29" t="s">
        <v>92</v>
      </c>
      <c r="R432" s="29"/>
      <c r="S432" s="34" t="n">
        <v>0</v>
      </c>
      <c r="T432" s="34" t="n">
        <v>790000</v>
      </c>
      <c r="U432" s="34" t="n">
        <v>150100</v>
      </c>
      <c r="V432" s="29"/>
      <c r="W432" s="35" t="n">
        <v>940100</v>
      </c>
      <c r="X432" s="36" t="n">
        <f aca="false">+Tabla[[#This Row],[TOTAL]]</f>
        <v>940100</v>
      </c>
      <c r="Y432" s="37"/>
      <c r="Z432" s="37"/>
      <c r="AA432" s="37"/>
      <c r="AB432" s="38" t="n">
        <f aca="false">+W432-AC432</f>
        <v>0</v>
      </c>
      <c r="AC432" s="34" t="n">
        <f aca="false">+Tabla[[#This Row],[P4]]+Tabla[[#This Row],[P3]]+Tabla[[#This Row],[P2]]+Tabla[[#This Row],[P1]]</f>
        <v>940100</v>
      </c>
      <c r="AD432" s="34" t="n">
        <f aca="false">+W432-AC432</f>
        <v>0</v>
      </c>
      <c r="AE432" s="21" t="str">
        <f aca="false">IF(AB432&lt;1,"PAGADA","PENDIENTE")</f>
        <v>PAGADA</v>
      </c>
      <c r="AF432" s="21"/>
      <c r="AG432" s="29" t="s">
        <v>77</v>
      </c>
      <c r="AH432" s="39" t="n">
        <v>46142</v>
      </c>
      <c r="AI432" s="40" t="n">
        <f aca="false">+IF(Tabla[[#This Row],[FECHA PAGO / ABONO]]&lt;1,0,(MONTH(Tabla[[#This Row],[FECHA PAGO / ABONO]])))</f>
        <v>4</v>
      </c>
      <c r="AJ432" s="40" t="n">
        <f aca="false">+IF(Tabla[[#This Row],[FECHA PAGO / ABONO]]&lt;1,0,(YEAR(Tabla[[#This Row],[FECHA PAGO / ABONO]])))</f>
        <v>2026</v>
      </c>
      <c r="AK432" s="41"/>
    </row>
    <row r="433" customFormat="false" ht="14.25" hidden="false" customHeight="false" outlineLevel="0" collapsed="false">
      <c r="A433" s="28" t="s">
        <v>121</v>
      </c>
      <c r="B433" s="29" t="s">
        <v>122</v>
      </c>
      <c r="C433" s="29" t="s">
        <v>69</v>
      </c>
      <c r="D433" s="21" t="n">
        <v>11253</v>
      </c>
      <c r="E433" s="21" t="str">
        <f aca="false">+CONCATENATE(Tabla[[#This Row],[RUT]],Tabla[[#This Row],[PROVEEDOR]],Tabla[[#This Row],[FACTURA]])</f>
        <v>76166681-9HS CHILE SPA11253</v>
      </c>
      <c r="F433" s="57" t="n">
        <v>46106</v>
      </c>
      <c r="G433" s="31" t="n">
        <f aca="false">+F433+30</f>
        <v>46136</v>
      </c>
      <c r="H433" s="29" t="n">
        <f aca="true">+IF(AE433="PAGADA",0,TODAY()-G433)</f>
        <v>68</v>
      </c>
      <c r="I433" s="29" t="str">
        <f aca="false">+IF(H433&gt;180,"Atrasada",IF(H433&gt;150,"150 dias",IF(H433&gt;120,"120 dias",IF(H433&gt;90,"90 dias",IF(H433&gt;60,"60 dias",IF(H433&gt;30,"30 dias","Al Día"))))))</f>
        <v>60 dias</v>
      </c>
      <c r="J433" s="32" t="s">
        <v>80</v>
      </c>
      <c r="K433" s="29" t="s">
        <v>81</v>
      </c>
      <c r="L433" s="33" t="s">
        <v>277</v>
      </c>
      <c r="M433" s="29" t="n">
        <f aca="false">+YEAR(F433)</f>
        <v>2026</v>
      </c>
      <c r="N433" s="29" t="n">
        <v>2026</v>
      </c>
      <c r="O433" s="29" t="n">
        <v>2</v>
      </c>
      <c r="P433" s="29" t="str">
        <f aca="false">+CONCATENATE(Tabla[[#This Row],[MES CAMPAÑA]],"/",Tabla[[#This Row],[AÑO CAMPAÑA]])</f>
        <v>2/2026</v>
      </c>
      <c r="Q433" s="29" t="s">
        <v>130</v>
      </c>
      <c r="R433" s="29"/>
      <c r="S433" s="34" t="n">
        <v>0</v>
      </c>
      <c r="T433" s="34" t="n">
        <v>2200000</v>
      </c>
      <c r="U433" s="34" t="n">
        <v>418000</v>
      </c>
      <c r="V433" s="29"/>
      <c r="W433" s="35" t="n">
        <v>2618000</v>
      </c>
      <c r="X433" s="36"/>
      <c r="Y433" s="37"/>
      <c r="Z433" s="37"/>
      <c r="AA433" s="37"/>
      <c r="AB433" s="38" t="n">
        <f aca="false">+W433-AC433</f>
        <v>2618000</v>
      </c>
      <c r="AC433" s="34" t="n">
        <f aca="false">+Tabla[[#This Row],[P4]]+Tabla[[#This Row],[P3]]+Tabla[[#This Row],[P2]]+Tabla[[#This Row],[P1]]</f>
        <v>0</v>
      </c>
      <c r="AD433" s="34" t="n">
        <f aca="false">+W433-AC433</f>
        <v>2618000</v>
      </c>
      <c r="AE433" s="21" t="str">
        <f aca="false">IF(AB433&lt;1,"PAGADA","PENDIENTE")</f>
        <v>PENDIENTE</v>
      </c>
      <c r="AF433" s="21"/>
      <c r="AG433" s="29"/>
      <c r="AH433" s="40"/>
      <c r="AI433" s="40" t="n">
        <f aca="false">+IF(Tabla[[#This Row],[FECHA PAGO / ABONO]]&lt;1,0,(MONTH(Tabla[[#This Row],[FECHA PAGO / ABONO]])))</f>
        <v>0</v>
      </c>
      <c r="AJ433" s="40" t="n">
        <f aca="false">+IF(Tabla[[#This Row],[FECHA PAGO / ABONO]]&lt;1,0,(YEAR(Tabla[[#This Row],[FECHA PAGO / ABONO]])))</f>
        <v>0</v>
      </c>
      <c r="AK433" s="41"/>
    </row>
    <row r="434" customFormat="false" ht="14.25" hidden="false" customHeight="false" outlineLevel="0" collapsed="false">
      <c r="A434" s="28" t="s">
        <v>121</v>
      </c>
      <c r="B434" s="29" t="s">
        <v>122</v>
      </c>
      <c r="C434" s="29" t="s">
        <v>69</v>
      </c>
      <c r="D434" s="21" t="n">
        <v>11254</v>
      </c>
      <c r="E434" s="21" t="str">
        <f aca="false">+CONCATENATE(Tabla[[#This Row],[RUT]],Tabla[[#This Row],[PROVEEDOR]],Tabla[[#This Row],[FACTURA]])</f>
        <v>76166681-9HS CHILE SPA11254</v>
      </c>
      <c r="F434" s="57" t="n">
        <v>46106</v>
      </c>
      <c r="G434" s="31" t="n">
        <f aca="false">+F434+30</f>
        <v>46136</v>
      </c>
      <c r="H434" s="29" t="n">
        <f aca="true">+IF(AE434="PAGADA",0,TODAY()-G434)</f>
        <v>68</v>
      </c>
      <c r="I434" s="29" t="str">
        <f aca="false">+IF(H434&gt;180,"Atrasada",IF(H434&gt;150,"150 dias",IF(H434&gt;120,"120 dias",IF(H434&gt;90,"90 dias",IF(H434&gt;60,"60 dias",IF(H434&gt;30,"30 dias","Al Día"))))))</f>
        <v>60 dias</v>
      </c>
      <c r="J434" s="32" t="s">
        <v>80</v>
      </c>
      <c r="K434" s="29" t="s">
        <v>81</v>
      </c>
      <c r="L434" s="33" t="s">
        <v>277</v>
      </c>
      <c r="M434" s="29" t="n">
        <f aca="false">+YEAR(F434)</f>
        <v>2026</v>
      </c>
      <c r="N434" s="29" t="n">
        <v>2026</v>
      </c>
      <c r="O434" s="29" t="n">
        <v>2</v>
      </c>
      <c r="P434" s="29" t="str">
        <f aca="false">+CONCATENATE(Tabla[[#This Row],[MES CAMPAÑA]],"/",Tabla[[#This Row],[AÑO CAMPAÑA]])</f>
        <v>2/2026</v>
      </c>
      <c r="Q434" s="29" t="s">
        <v>130</v>
      </c>
      <c r="R434" s="29"/>
      <c r="S434" s="34" t="n">
        <v>0</v>
      </c>
      <c r="T434" s="34" t="n">
        <v>576000</v>
      </c>
      <c r="U434" s="34" t="n">
        <v>109440</v>
      </c>
      <c r="V434" s="29"/>
      <c r="W434" s="35" t="n">
        <v>685440</v>
      </c>
      <c r="X434" s="36"/>
      <c r="Y434" s="37"/>
      <c r="Z434" s="37"/>
      <c r="AA434" s="37"/>
      <c r="AB434" s="38" t="n">
        <f aca="false">+W434-AC434</f>
        <v>685440</v>
      </c>
      <c r="AC434" s="34" t="n">
        <f aca="false">+Tabla[[#This Row],[P4]]+Tabla[[#This Row],[P3]]+Tabla[[#This Row],[P2]]+Tabla[[#This Row],[P1]]</f>
        <v>0</v>
      </c>
      <c r="AD434" s="34" t="n">
        <f aca="false">+W434-AC434</f>
        <v>685440</v>
      </c>
      <c r="AE434" s="21" t="str">
        <f aca="false">IF(AB434&lt;1,"PAGADA","PENDIENTE")</f>
        <v>PENDIENTE</v>
      </c>
      <c r="AF434" s="21"/>
      <c r="AG434" s="29"/>
      <c r="AH434" s="40"/>
      <c r="AI434" s="40" t="n">
        <f aca="false">+IF(Tabla[[#This Row],[FECHA PAGO / ABONO]]&lt;1,0,(MONTH(Tabla[[#This Row],[FECHA PAGO / ABONO]])))</f>
        <v>0</v>
      </c>
      <c r="AJ434" s="40" t="n">
        <f aca="false">+IF(Tabla[[#This Row],[FECHA PAGO / ABONO]]&lt;1,0,(YEAR(Tabla[[#This Row],[FECHA PAGO / ABONO]])))</f>
        <v>0</v>
      </c>
      <c r="AK434" s="41"/>
    </row>
    <row r="435" customFormat="false" ht="14.25" hidden="false" customHeight="false" outlineLevel="0" collapsed="false">
      <c r="A435" s="28" t="s">
        <v>121</v>
      </c>
      <c r="B435" s="29" t="s">
        <v>122</v>
      </c>
      <c r="C435" s="29" t="s">
        <v>69</v>
      </c>
      <c r="D435" s="21" t="n">
        <v>11255</v>
      </c>
      <c r="E435" s="21" t="str">
        <f aca="false">+CONCATENATE(Tabla[[#This Row],[RUT]],Tabla[[#This Row],[PROVEEDOR]],Tabla[[#This Row],[FACTURA]])</f>
        <v>76166681-9HS CHILE SPA11255</v>
      </c>
      <c r="F435" s="57" t="n">
        <v>46106</v>
      </c>
      <c r="G435" s="31" t="n">
        <f aca="false">+F435+30</f>
        <v>46136</v>
      </c>
      <c r="H435" s="29" t="n">
        <f aca="true">+IF(AE435="PAGADA",0,TODAY()-G435)</f>
        <v>68</v>
      </c>
      <c r="I435" s="29" t="str">
        <f aca="false">+IF(H435&gt;180,"Atrasada",IF(H435&gt;150,"150 dias",IF(H435&gt;120,"120 dias",IF(H435&gt;90,"90 dias",IF(H435&gt;60,"60 dias",IF(H435&gt;30,"30 dias","Al Día"))))))</f>
        <v>60 dias</v>
      </c>
      <c r="J435" s="32" t="s">
        <v>80</v>
      </c>
      <c r="K435" s="29" t="s">
        <v>81</v>
      </c>
      <c r="L435" s="33" t="s">
        <v>277</v>
      </c>
      <c r="M435" s="29" t="n">
        <f aca="false">+YEAR(F435)</f>
        <v>2026</v>
      </c>
      <c r="N435" s="29" t="n">
        <v>2026</v>
      </c>
      <c r="O435" s="29" t="n">
        <v>2</v>
      </c>
      <c r="P435" s="29" t="str">
        <f aca="false">+CONCATENATE(Tabla[[#This Row],[MES CAMPAÑA]],"/",Tabla[[#This Row],[AÑO CAMPAÑA]])</f>
        <v>2/2026</v>
      </c>
      <c r="Q435" s="29" t="s">
        <v>130</v>
      </c>
      <c r="R435" s="29"/>
      <c r="S435" s="34" t="n">
        <v>0</v>
      </c>
      <c r="T435" s="34" t="n">
        <v>368750</v>
      </c>
      <c r="U435" s="34" t="n">
        <v>70063</v>
      </c>
      <c r="V435" s="29"/>
      <c r="W435" s="35" t="n">
        <v>438813</v>
      </c>
      <c r="X435" s="36"/>
      <c r="Y435" s="37"/>
      <c r="Z435" s="37"/>
      <c r="AA435" s="37"/>
      <c r="AB435" s="38" t="n">
        <f aca="false">+W435-AC435</f>
        <v>438813</v>
      </c>
      <c r="AC435" s="34" t="n">
        <f aca="false">+Tabla[[#This Row],[P4]]+Tabla[[#This Row],[P3]]+Tabla[[#This Row],[P2]]+Tabla[[#This Row],[P1]]</f>
        <v>0</v>
      </c>
      <c r="AD435" s="34" t="n">
        <f aca="false">+W435-AC435</f>
        <v>438813</v>
      </c>
      <c r="AE435" s="21" t="str">
        <f aca="false">IF(AB435&lt;1,"PAGADA","PENDIENTE")</f>
        <v>PENDIENTE</v>
      </c>
      <c r="AF435" s="21"/>
      <c r="AG435" s="29"/>
      <c r="AH435" s="40"/>
      <c r="AI435" s="40" t="n">
        <f aca="false">+IF(Tabla[[#This Row],[FECHA PAGO / ABONO]]&lt;1,0,(MONTH(Tabla[[#This Row],[FECHA PAGO / ABONO]])))</f>
        <v>0</v>
      </c>
      <c r="AJ435" s="40" t="n">
        <f aca="false">+IF(Tabla[[#This Row],[FECHA PAGO / ABONO]]&lt;1,0,(YEAR(Tabla[[#This Row],[FECHA PAGO / ABONO]])))</f>
        <v>0</v>
      </c>
      <c r="AK435" s="41"/>
    </row>
    <row r="436" customFormat="false" ht="14.25" hidden="false" customHeight="false" outlineLevel="0" collapsed="false">
      <c r="A436" s="28" t="s">
        <v>121</v>
      </c>
      <c r="B436" s="29" t="s">
        <v>122</v>
      </c>
      <c r="C436" s="29" t="s">
        <v>69</v>
      </c>
      <c r="D436" s="21" t="n">
        <v>11256</v>
      </c>
      <c r="E436" s="21" t="str">
        <f aca="false">+CONCATENATE(Tabla[[#This Row],[RUT]],Tabla[[#This Row],[PROVEEDOR]],Tabla[[#This Row],[FACTURA]])</f>
        <v>76166681-9HS CHILE SPA11256</v>
      </c>
      <c r="F436" s="57" t="n">
        <v>46106</v>
      </c>
      <c r="G436" s="31" t="n">
        <f aca="false">+F436+30</f>
        <v>46136</v>
      </c>
      <c r="H436" s="29" t="n">
        <f aca="true">+IF(AE436="PAGADA",0,TODAY()-G436)</f>
        <v>68</v>
      </c>
      <c r="I436" s="29" t="str">
        <f aca="false">+IF(H436&gt;180,"Atrasada",IF(H436&gt;150,"150 dias",IF(H436&gt;120,"120 dias",IF(H436&gt;90,"90 dias",IF(H436&gt;60,"60 dias",IF(H436&gt;30,"30 dias","Al Día"))))))</f>
        <v>60 dias</v>
      </c>
      <c r="J436" s="32" t="s">
        <v>80</v>
      </c>
      <c r="K436" s="29" t="s">
        <v>81</v>
      </c>
      <c r="L436" s="33" t="s">
        <v>277</v>
      </c>
      <c r="M436" s="29" t="n">
        <f aca="false">+YEAR(F436)</f>
        <v>2026</v>
      </c>
      <c r="N436" s="29" t="n">
        <v>2026</v>
      </c>
      <c r="O436" s="29" t="n">
        <v>2</v>
      </c>
      <c r="P436" s="29" t="str">
        <f aca="false">+CONCATENATE(Tabla[[#This Row],[MES CAMPAÑA]],"/",Tabla[[#This Row],[AÑO CAMPAÑA]])</f>
        <v>2/2026</v>
      </c>
      <c r="Q436" s="29" t="s">
        <v>130</v>
      </c>
      <c r="R436" s="29"/>
      <c r="S436" s="34" t="n">
        <v>0</v>
      </c>
      <c r="T436" s="34" t="n">
        <v>18075875</v>
      </c>
      <c r="U436" s="34" t="n">
        <v>3434416</v>
      </c>
      <c r="V436" s="29"/>
      <c r="W436" s="35" t="n">
        <v>21510291</v>
      </c>
      <c r="X436" s="36"/>
      <c r="Y436" s="37"/>
      <c r="Z436" s="37"/>
      <c r="AA436" s="37"/>
      <c r="AB436" s="38" t="n">
        <f aca="false">+W436-AC436</f>
        <v>21510291</v>
      </c>
      <c r="AC436" s="34" t="n">
        <f aca="false">+Tabla[[#This Row],[P4]]+Tabla[[#This Row],[P3]]+Tabla[[#This Row],[P2]]+Tabla[[#This Row],[P1]]</f>
        <v>0</v>
      </c>
      <c r="AD436" s="34" t="n">
        <f aca="false">+W436-AC436</f>
        <v>21510291</v>
      </c>
      <c r="AE436" s="21" t="str">
        <f aca="false">IF(AB436&lt;1,"PAGADA","PENDIENTE")</f>
        <v>PENDIENTE</v>
      </c>
      <c r="AF436" s="21"/>
      <c r="AG436" s="29"/>
      <c r="AH436" s="40"/>
      <c r="AI436" s="40" t="n">
        <f aca="false">+IF(Tabla[[#This Row],[FECHA PAGO / ABONO]]&lt;1,0,(MONTH(Tabla[[#This Row],[FECHA PAGO / ABONO]])))</f>
        <v>0</v>
      </c>
      <c r="AJ436" s="40" t="n">
        <f aca="false">+IF(Tabla[[#This Row],[FECHA PAGO / ABONO]]&lt;1,0,(YEAR(Tabla[[#This Row],[FECHA PAGO / ABONO]])))</f>
        <v>0</v>
      </c>
      <c r="AK436" s="41"/>
    </row>
    <row r="437" customFormat="false" ht="14.25" hidden="false" customHeight="false" outlineLevel="0" collapsed="false">
      <c r="A437" s="28" t="s">
        <v>121</v>
      </c>
      <c r="B437" s="29" t="s">
        <v>122</v>
      </c>
      <c r="C437" s="29" t="s">
        <v>69</v>
      </c>
      <c r="D437" s="21" t="n">
        <v>11257</v>
      </c>
      <c r="E437" s="21" t="str">
        <f aca="false">+CONCATENATE(Tabla[[#This Row],[RUT]],Tabla[[#This Row],[PROVEEDOR]],Tabla[[#This Row],[FACTURA]])</f>
        <v>76166681-9HS CHILE SPA11257</v>
      </c>
      <c r="F437" s="57" t="n">
        <v>46106</v>
      </c>
      <c r="G437" s="31" t="n">
        <f aca="false">+F437+30</f>
        <v>46136</v>
      </c>
      <c r="H437" s="29" t="n">
        <f aca="true">+IF(AE437="PAGADA",0,TODAY()-G437)</f>
        <v>68</v>
      </c>
      <c r="I437" s="29" t="str">
        <f aca="false">+IF(H437&gt;180,"Atrasada",IF(H437&gt;150,"150 dias",IF(H437&gt;120,"120 dias",IF(H437&gt;90,"90 dias",IF(H437&gt;60,"60 dias",IF(H437&gt;30,"30 dias","Al Día"))))))</f>
        <v>60 dias</v>
      </c>
      <c r="J437" s="32" t="s">
        <v>80</v>
      </c>
      <c r="K437" s="29" t="s">
        <v>81</v>
      </c>
      <c r="L437" s="33" t="s">
        <v>277</v>
      </c>
      <c r="M437" s="29" t="n">
        <f aca="false">+YEAR(F437)</f>
        <v>2026</v>
      </c>
      <c r="N437" s="29" t="n">
        <v>2026</v>
      </c>
      <c r="O437" s="29" t="n">
        <v>2</v>
      </c>
      <c r="P437" s="29" t="str">
        <f aca="false">+CONCATENATE(Tabla[[#This Row],[MES CAMPAÑA]],"/",Tabla[[#This Row],[AÑO CAMPAÑA]])</f>
        <v>2/2026</v>
      </c>
      <c r="Q437" s="29" t="s">
        <v>123</v>
      </c>
      <c r="R437" s="29"/>
      <c r="S437" s="34" t="n">
        <v>0</v>
      </c>
      <c r="T437" s="34" t="n">
        <v>1209000</v>
      </c>
      <c r="U437" s="34" t="n">
        <v>229710</v>
      </c>
      <c r="V437" s="29"/>
      <c r="W437" s="35" t="n">
        <v>1438710</v>
      </c>
      <c r="X437" s="36"/>
      <c r="Y437" s="37"/>
      <c r="Z437" s="37"/>
      <c r="AA437" s="37"/>
      <c r="AB437" s="38" t="n">
        <f aca="false">+W437-AC437</f>
        <v>1438710</v>
      </c>
      <c r="AC437" s="34" t="n">
        <f aca="false">+Tabla[[#This Row],[P4]]+Tabla[[#This Row],[P3]]+Tabla[[#This Row],[P2]]+Tabla[[#This Row],[P1]]</f>
        <v>0</v>
      </c>
      <c r="AD437" s="34" t="n">
        <f aca="false">+W437-AC437</f>
        <v>1438710</v>
      </c>
      <c r="AE437" s="21" t="str">
        <f aca="false">IF(AB437&lt;1,"PAGADA","PENDIENTE")</f>
        <v>PENDIENTE</v>
      </c>
      <c r="AF437" s="21"/>
      <c r="AG437" s="29"/>
      <c r="AH437" s="40"/>
      <c r="AI437" s="40" t="n">
        <f aca="false">+IF(Tabla[[#This Row],[FECHA PAGO / ABONO]]&lt;1,0,(MONTH(Tabla[[#This Row],[FECHA PAGO / ABONO]])))</f>
        <v>0</v>
      </c>
      <c r="AJ437" s="40" t="n">
        <f aca="false">+IF(Tabla[[#This Row],[FECHA PAGO / ABONO]]&lt;1,0,(YEAR(Tabla[[#This Row],[FECHA PAGO / ABONO]])))</f>
        <v>0</v>
      </c>
      <c r="AK437" s="41"/>
    </row>
    <row r="438" customFormat="false" ht="14.25" hidden="false" customHeight="false" outlineLevel="0" collapsed="false">
      <c r="A438" s="28" t="s">
        <v>121</v>
      </c>
      <c r="B438" s="29" t="s">
        <v>122</v>
      </c>
      <c r="C438" s="29" t="s">
        <v>69</v>
      </c>
      <c r="D438" s="21" t="n">
        <v>11258</v>
      </c>
      <c r="E438" s="21" t="str">
        <f aca="false">+CONCATENATE(Tabla[[#This Row],[RUT]],Tabla[[#This Row],[PROVEEDOR]],Tabla[[#This Row],[FACTURA]])</f>
        <v>76166681-9HS CHILE SPA11258</v>
      </c>
      <c r="F438" s="57" t="n">
        <v>46106</v>
      </c>
      <c r="G438" s="31" t="n">
        <f aca="false">+F438+30</f>
        <v>46136</v>
      </c>
      <c r="H438" s="29" t="n">
        <f aca="true">+IF(AE438="PAGADA",0,TODAY()-G438)</f>
        <v>68</v>
      </c>
      <c r="I438" s="29" t="str">
        <f aca="false">+IF(H438&gt;180,"Atrasada",IF(H438&gt;150,"150 dias",IF(H438&gt;120,"120 dias",IF(H438&gt;90,"90 dias",IF(H438&gt;60,"60 dias",IF(H438&gt;30,"30 dias","Al Día"))))))</f>
        <v>60 dias</v>
      </c>
      <c r="J438" s="32" t="s">
        <v>80</v>
      </c>
      <c r="K438" s="29" t="s">
        <v>81</v>
      </c>
      <c r="L438" s="33" t="s">
        <v>277</v>
      </c>
      <c r="M438" s="29" t="n">
        <f aca="false">+YEAR(F438)</f>
        <v>2026</v>
      </c>
      <c r="N438" s="29" t="n">
        <v>2026</v>
      </c>
      <c r="O438" s="29" t="n">
        <v>2</v>
      </c>
      <c r="P438" s="29" t="str">
        <f aca="false">+CONCATENATE(Tabla[[#This Row],[MES CAMPAÑA]],"/",Tabla[[#This Row],[AÑO CAMPAÑA]])</f>
        <v>2/2026</v>
      </c>
      <c r="Q438" s="29" t="s">
        <v>265</v>
      </c>
      <c r="R438" s="29"/>
      <c r="S438" s="34" t="n">
        <v>0</v>
      </c>
      <c r="T438" s="34" t="n">
        <v>1106000</v>
      </c>
      <c r="U438" s="34" t="n">
        <v>210140</v>
      </c>
      <c r="V438" s="29"/>
      <c r="W438" s="35" t="n">
        <v>1316140</v>
      </c>
      <c r="X438" s="36"/>
      <c r="Y438" s="37"/>
      <c r="Z438" s="37"/>
      <c r="AA438" s="37"/>
      <c r="AB438" s="38" t="n">
        <f aca="false">+W438-AC438</f>
        <v>1316140</v>
      </c>
      <c r="AC438" s="34" t="n">
        <f aca="false">+Tabla[[#This Row],[P4]]+Tabla[[#This Row],[P3]]+Tabla[[#This Row],[P2]]+Tabla[[#This Row],[P1]]</f>
        <v>0</v>
      </c>
      <c r="AD438" s="34" t="n">
        <f aca="false">+W438-AC438</f>
        <v>1316140</v>
      </c>
      <c r="AE438" s="21" t="str">
        <f aca="false">IF(AB438&lt;1,"PAGADA","PENDIENTE")</f>
        <v>PENDIENTE</v>
      </c>
      <c r="AF438" s="21"/>
      <c r="AG438" s="29"/>
      <c r="AH438" s="40"/>
      <c r="AI438" s="40" t="n">
        <f aca="false">+IF(Tabla[[#This Row],[FECHA PAGO / ABONO]]&lt;1,0,(MONTH(Tabla[[#This Row],[FECHA PAGO / ABONO]])))</f>
        <v>0</v>
      </c>
      <c r="AJ438" s="40" t="n">
        <f aca="false">+IF(Tabla[[#This Row],[FECHA PAGO / ABONO]]&lt;1,0,(YEAR(Tabla[[#This Row],[FECHA PAGO / ABONO]])))</f>
        <v>0</v>
      </c>
      <c r="AK438" s="41"/>
    </row>
    <row r="439" customFormat="false" ht="14.25" hidden="false" customHeight="false" outlineLevel="0" collapsed="false">
      <c r="A439" s="28" t="s">
        <v>121</v>
      </c>
      <c r="B439" s="29" t="s">
        <v>122</v>
      </c>
      <c r="C439" s="29" t="s">
        <v>69</v>
      </c>
      <c r="D439" s="21" t="n">
        <v>11259</v>
      </c>
      <c r="E439" s="21" t="str">
        <f aca="false">+CONCATENATE(Tabla[[#This Row],[RUT]],Tabla[[#This Row],[PROVEEDOR]],Tabla[[#This Row],[FACTURA]])</f>
        <v>76166681-9HS CHILE SPA11259</v>
      </c>
      <c r="F439" s="57" t="n">
        <v>46106</v>
      </c>
      <c r="G439" s="31" t="n">
        <f aca="false">+F439+30</f>
        <v>46136</v>
      </c>
      <c r="H439" s="29" t="n">
        <f aca="true">+IF(AE439="PAGADA",0,TODAY()-G439)</f>
        <v>68</v>
      </c>
      <c r="I439" s="29" t="str">
        <f aca="false">+IF(H439&gt;180,"Atrasada",IF(H439&gt;150,"150 dias",IF(H439&gt;120,"120 dias",IF(H439&gt;90,"90 dias",IF(H439&gt;60,"60 dias",IF(H439&gt;30,"30 dias","Al Día"))))))</f>
        <v>60 dias</v>
      </c>
      <c r="J439" s="32" t="s">
        <v>80</v>
      </c>
      <c r="K439" s="29" t="s">
        <v>81</v>
      </c>
      <c r="L439" s="33" t="s">
        <v>277</v>
      </c>
      <c r="M439" s="29" t="n">
        <f aca="false">+YEAR(F439)</f>
        <v>2026</v>
      </c>
      <c r="N439" s="29" t="n">
        <v>2026</v>
      </c>
      <c r="O439" s="29" t="n">
        <v>2</v>
      </c>
      <c r="P439" s="29" t="str">
        <f aca="false">+CONCATENATE(Tabla[[#This Row],[MES CAMPAÑA]],"/",Tabla[[#This Row],[AÑO CAMPAÑA]])</f>
        <v>2/2026</v>
      </c>
      <c r="Q439" s="29" t="s">
        <v>265</v>
      </c>
      <c r="R439" s="29"/>
      <c r="S439" s="34" t="n">
        <v>0</v>
      </c>
      <c r="T439" s="34" t="n">
        <v>634676</v>
      </c>
      <c r="U439" s="34" t="n">
        <v>120588</v>
      </c>
      <c r="V439" s="29"/>
      <c r="W439" s="35" t="n">
        <v>755264</v>
      </c>
      <c r="X439" s="36"/>
      <c r="Y439" s="37"/>
      <c r="Z439" s="37"/>
      <c r="AA439" s="37"/>
      <c r="AB439" s="38" t="n">
        <f aca="false">+W439-AC439</f>
        <v>755264</v>
      </c>
      <c r="AC439" s="34" t="n">
        <f aca="false">+Tabla[[#This Row],[P4]]+Tabla[[#This Row],[P3]]+Tabla[[#This Row],[P2]]+Tabla[[#This Row],[P1]]</f>
        <v>0</v>
      </c>
      <c r="AD439" s="34" t="n">
        <f aca="false">+W439-AC439</f>
        <v>755264</v>
      </c>
      <c r="AE439" s="21" t="str">
        <f aca="false">IF(AB439&lt;1,"PAGADA","PENDIENTE")</f>
        <v>PENDIENTE</v>
      </c>
      <c r="AF439" s="21"/>
      <c r="AG439" s="29"/>
      <c r="AH439" s="40"/>
      <c r="AI439" s="40" t="n">
        <f aca="false">+IF(Tabla[[#This Row],[FECHA PAGO / ABONO]]&lt;1,0,(MONTH(Tabla[[#This Row],[FECHA PAGO / ABONO]])))</f>
        <v>0</v>
      </c>
      <c r="AJ439" s="40" t="n">
        <f aca="false">+IF(Tabla[[#This Row],[FECHA PAGO / ABONO]]&lt;1,0,(YEAR(Tabla[[#This Row],[FECHA PAGO / ABONO]])))</f>
        <v>0</v>
      </c>
      <c r="AK439" s="41"/>
    </row>
    <row r="440" customFormat="false" ht="14.25" hidden="false" customHeight="false" outlineLevel="0" collapsed="false">
      <c r="A440" s="28" t="s">
        <v>121</v>
      </c>
      <c r="B440" s="29" t="s">
        <v>122</v>
      </c>
      <c r="C440" s="29" t="s">
        <v>69</v>
      </c>
      <c r="D440" s="21" t="n">
        <v>11260</v>
      </c>
      <c r="E440" s="21" t="str">
        <f aca="false">+CONCATENATE(Tabla[[#This Row],[RUT]],Tabla[[#This Row],[PROVEEDOR]],Tabla[[#This Row],[FACTURA]])</f>
        <v>76166681-9HS CHILE SPA11260</v>
      </c>
      <c r="F440" s="57" t="n">
        <v>46106</v>
      </c>
      <c r="G440" s="31" t="n">
        <f aca="false">+F440+30</f>
        <v>46136</v>
      </c>
      <c r="H440" s="29" t="n">
        <f aca="true">+IF(AE440="PAGADA",0,TODAY()-G440)</f>
        <v>68</v>
      </c>
      <c r="I440" s="29" t="str">
        <f aca="false">+IF(H440&gt;180,"Atrasada",IF(H440&gt;150,"150 dias",IF(H440&gt;120,"120 dias",IF(H440&gt;90,"90 dias",IF(H440&gt;60,"60 dias",IF(H440&gt;30,"30 dias","Al Día"))))))</f>
        <v>60 dias</v>
      </c>
      <c r="J440" s="32" t="s">
        <v>80</v>
      </c>
      <c r="K440" s="29" t="s">
        <v>81</v>
      </c>
      <c r="L440" s="33" t="s">
        <v>277</v>
      </c>
      <c r="M440" s="29" t="n">
        <f aca="false">+YEAR(F440)</f>
        <v>2026</v>
      </c>
      <c r="N440" s="29" t="n">
        <v>2026</v>
      </c>
      <c r="O440" s="29" t="n">
        <v>2</v>
      </c>
      <c r="P440" s="29" t="str">
        <f aca="false">+CONCATENATE(Tabla[[#This Row],[MES CAMPAÑA]],"/",Tabla[[#This Row],[AÑO CAMPAÑA]])</f>
        <v>2/2026</v>
      </c>
      <c r="Q440" s="29" t="s">
        <v>265</v>
      </c>
      <c r="R440" s="29"/>
      <c r="S440" s="34" t="n">
        <v>0</v>
      </c>
      <c r="T440" s="34" t="n">
        <v>821324</v>
      </c>
      <c r="U440" s="34" t="n">
        <v>156052</v>
      </c>
      <c r="V440" s="29"/>
      <c r="W440" s="35" t="n">
        <v>977376</v>
      </c>
      <c r="X440" s="36"/>
      <c r="Y440" s="37"/>
      <c r="Z440" s="37"/>
      <c r="AA440" s="37"/>
      <c r="AB440" s="38" t="n">
        <f aca="false">+W440-AC440</f>
        <v>977376</v>
      </c>
      <c r="AC440" s="34" t="n">
        <f aca="false">+Tabla[[#This Row],[P4]]+Tabla[[#This Row],[P3]]+Tabla[[#This Row],[P2]]+Tabla[[#This Row],[P1]]</f>
        <v>0</v>
      </c>
      <c r="AD440" s="34" t="n">
        <f aca="false">+W440-AC440</f>
        <v>977376</v>
      </c>
      <c r="AE440" s="21" t="str">
        <f aca="false">IF(AB440&lt;1,"PAGADA","PENDIENTE")</f>
        <v>PENDIENTE</v>
      </c>
      <c r="AF440" s="21"/>
      <c r="AG440" s="29"/>
      <c r="AH440" s="40"/>
      <c r="AI440" s="40" t="n">
        <f aca="false">+IF(Tabla[[#This Row],[FECHA PAGO / ABONO]]&lt;1,0,(MONTH(Tabla[[#This Row],[FECHA PAGO / ABONO]])))</f>
        <v>0</v>
      </c>
      <c r="AJ440" s="40" t="n">
        <f aca="false">+IF(Tabla[[#This Row],[FECHA PAGO / ABONO]]&lt;1,0,(YEAR(Tabla[[#This Row],[FECHA PAGO / ABONO]])))</f>
        <v>0</v>
      </c>
      <c r="AK440" s="41"/>
    </row>
    <row r="441" customFormat="false" ht="14.25" hidden="false" customHeight="false" outlineLevel="0" collapsed="false">
      <c r="A441" s="28" t="s">
        <v>121</v>
      </c>
      <c r="B441" s="29" t="s">
        <v>122</v>
      </c>
      <c r="C441" s="29" t="s">
        <v>69</v>
      </c>
      <c r="D441" s="21" t="n">
        <v>11261</v>
      </c>
      <c r="E441" s="21" t="str">
        <f aca="false">+CONCATENATE(Tabla[[#This Row],[RUT]],Tabla[[#This Row],[PROVEEDOR]],Tabla[[#This Row],[FACTURA]])</f>
        <v>76166681-9HS CHILE SPA11261</v>
      </c>
      <c r="F441" s="57" t="n">
        <v>46106</v>
      </c>
      <c r="G441" s="31" t="n">
        <f aca="false">+F441+30</f>
        <v>46136</v>
      </c>
      <c r="H441" s="29" t="n">
        <f aca="true">+IF(AE441="PAGADA",0,TODAY()-G441)</f>
        <v>68</v>
      </c>
      <c r="I441" s="29" t="str">
        <f aca="false">+IF(H441&gt;180,"Atrasada",IF(H441&gt;150,"150 dias",IF(H441&gt;120,"120 dias",IF(H441&gt;90,"90 dias",IF(H441&gt;60,"60 dias",IF(H441&gt;30,"30 dias","Al Día"))))))</f>
        <v>60 dias</v>
      </c>
      <c r="J441" s="32" t="s">
        <v>80</v>
      </c>
      <c r="K441" s="29" t="s">
        <v>81</v>
      </c>
      <c r="L441" s="33" t="s">
        <v>277</v>
      </c>
      <c r="M441" s="29" t="n">
        <f aca="false">+YEAR(F441)</f>
        <v>2026</v>
      </c>
      <c r="N441" s="29" t="n">
        <v>2026</v>
      </c>
      <c r="O441" s="29" t="n">
        <v>2</v>
      </c>
      <c r="P441" s="29" t="str">
        <f aca="false">+CONCATENATE(Tabla[[#This Row],[MES CAMPAÑA]],"/",Tabla[[#This Row],[AÑO CAMPAÑA]])</f>
        <v>2/2026</v>
      </c>
      <c r="Q441" s="29" t="s">
        <v>265</v>
      </c>
      <c r="R441" s="29"/>
      <c r="S441" s="34" t="n">
        <v>0</v>
      </c>
      <c r="T441" s="34" t="n">
        <v>87097</v>
      </c>
      <c r="U441" s="34" t="n">
        <v>16548</v>
      </c>
      <c r="V441" s="29"/>
      <c r="W441" s="35" t="n">
        <v>103645</v>
      </c>
      <c r="X441" s="36"/>
      <c r="Y441" s="37"/>
      <c r="Z441" s="37"/>
      <c r="AA441" s="37"/>
      <c r="AB441" s="38" t="n">
        <f aca="false">+W441-AC441</f>
        <v>103645</v>
      </c>
      <c r="AC441" s="34" t="n">
        <f aca="false">+Tabla[[#This Row],[P4]]+Tabla[[#This Row],[P3]]+Tabla[[#This Row],[P2]]+Tabla[[#This Row],[P1]]</f>
        <v>0</v>
      </c>
      <c r="AD441" s="34" t="n">
        <f aca="false">+W441-AC441</f>
        <v>103645</v>
      </c>
      <c r="AE441" s="21" t="str">
        <f aca="false">IF(AB441&lt;1,"PAGADA","PENDIENTE")</f>
        <v>PENDIENTE</v>
      </c>
      <c r="AF441" s="21"/>
      <c r="AG441" s="29"/>
      <c r="AH441" s="40"/>
      <c r="AI441" s="40" t="n">
        <f aca="false">+IF(Tabla[[#This Row],[FECHA PAGO / ABONO]]&lt;1,0,(MONTH(Tabla[[#This Row],[FECHA PAGO / ABONO]])))</f>
        <v>0</v>
      </c>
      <c r="AJ441" s="40" t="n">
        <f aca="false">+IF(Tabla[[#This Row],[FECHA PAGO / ABONO]]&lt;1,0,(YEAR(Tabla[[#This Row],[FECHA PAGO / ABONO]])))</f>
        <v>0</v>
      </c>
      <c r="AK441" s="41"/>
    </row>
    <row r="442" customFormat="false" ht="14.25" hidden="false" customHeight="false" outlineLevel="0" collapsed="false">
      <c r="A442" s="28" t="s">
        <v>121</v>
      </c>
      <c r="B442" s="29" t="s">
        <v>122</v>
      </c>
      <c r="C442" s="29" t="s">
        <v>69</v>
      </c>
      <c r="D442" s="21" t="n">
        <v>11262</v>
      </c>
      <c r="E442" s="21" t="str">
        <f aca="false">+CONCATENATE(Tabla[[#This Row],[RUT]],Tabla[[#This Row],[PROVEEDOR]],Tabla[[#This Row],[FACTURA]])</f>
        <v>76166681-9HS CHILE SPA11262</v>
      </c>
      <c r="F442" s="57" t="n">
        <v>46106</v>
      </c>
      <c r="G442" s="31" t="n">
        <f aca="false">+F442+30</f>
        <v>46136</v>
      </c>
      <c r="H442" s="29" t="n">
        <f aca="true">+IF(AE442="PAGADA",0,TODAY()-G442)</f>
        <v>68</v>
      </c>
      <c r="I442" s="29" t="str">
        <f aca="false">+IF(H442&gt;180,"Atrasada",IF(H442&gt;150,"150 dias",IF(H442&gt;120,"120 dias",IF(H442&gt;90,"90 dias",IF(H442&gt;60,"60 dias",IF(H442&gt;30,"30 dias","Al Día"))))))</f>
        <v>60 dias</v>
      </c>
      <c r="J442" s="32" t="s">
        <v>80</v>
      </c>
      <c r="K442" s="29" t="s">
        <v>81</v>
      </c>
      <c r="L442" s="33" t="s">
        <v>277</v>
      </c>
      <c r="M442" s="29" t="n">
        <f aca="false">+YEAR(F442)</f>
        <v>2026</v>
      </c>
      <c r="N442" s="29" t="n">
        <v>2026</v>
      </c>
      <c r="O442" s="29" t="n">
        <v>2</v>
      </c>
      <c r="P442" s="29" t="str">
        <f aca="false">+CONCATENATE(Tabla[[#This Row],[MES CAMPAÑA]],"/",Tabla[[#This Row],[AÑO CAMPAÑA]])</f>
        <v>2/2026</v>
      </c>
      <c r="Q442" s="29" t="s">
        <v>265</v>
      </c>
      <c r="R442" s="29"/>
      <c r="S442" s="34" t="n">
        <v>0</v>
      </c>
      <c r="T442" s="34" t="n">
        <v>209677</v>
      </c>
      <c r="U442" s="34" t="n">
        <v>39839</v>
      </c>
      <c r="V442" s="29"/>
      <c r="W442" s="35" t="n">
        <v>249516</v>
      </c>
      <c r="X442" s="36"/>
      <c r="Y442" s="37"/>
      <c r="Z442" s="37"/>
      <c r="AA442" s="37"/>
      <c r="AB442" s="38" t="n">
        <f aca="false">+W442-AC442</f>
        <v>249516</v>
      </c>
      <c r="AC442" s="34" t="n">
        <f aca="false">+Tabla[[#This Row],[P4]]+Tabla[[#This Row],[P3]]+Tabla[[#This Row],[P2]]+Tabla[[#This Row],[P1]]</f>
        <v>0</v>
      </c>
      <c r="AD442" s="34" t="n">
        <f aca="false">+W442-AC442</f>
        <v>249516</v>
      </c>
      <c r="AE442" s="21" t="str">
        <f aca="false">IF(AB442&lt;1,"PAGADA","PENDIENTE")</f>
        <v>PENDIENTE</v>
      </c>
      <c r="AF442" s="21"/>
      <c r="AG442" s="29"/>
      <c r="AH442" s="40"/>
      <c r="AI442" s="40" t="n">
        <f aca="false">+IF(Tabla[[#This Row],[FECHA PAGO / ABONO]]&lt;1,0,(MONTH(Tabla[[#This Row],[FECHA PAGO / ABONO]])))</f>
        <v>0</v>
      </c>
      <c r="AJ442" s="40" t="n">
        <f aca="false">+IF(Tabla[[#This Row],[FECHA PAGO / ABONO]]&lt;1,0,(YEAR(Tabla[[#This Row],[FECHA PAGO / ABONO]])))</f>
        <v>0</v>
      </c>
      <c r="AK442" s="41"/>
    </row>
    <row r="443" customFormat="false" ht="14.25" hidden="false" customHeight="false" outlineLevel="0" collapsed="false">
      <c r="A443" s="28" t="s">
        <v>121</v>
      </c>
      <c r="B443" s="29" t="s">
        <v>122</v>
      </c>
      <c r="C443" s="29" t="s">
        <v>69</v>
      </c>
      <c r="D443" s="21" t="n">
        <v>11263</v>
      </c>
      <c r="E443" s="21" t="str">
        <f aca="false">+CONCATENATE(Tabla[[#This Row],[RUT]],Tabla[[#This Row],[PROVEEDOR]],Tabla[[#This Row],[FACTURA]])</f>
        <v>76166681-9HS CHILE SPA11263</v>
      </c>
      <c r="F443" s="57" t="n">
        <v>46106</v>
      </c>
      <c r="G443" s="31" t="n">
        <f aca="false">+F443+30</f>
        <v>46136</v>
      </c>
      <c r="H443" s="29" t="n">
        <f aca="true">+IF(AE443="PAGADA",0,TODAY()-G443)</f>
        <v>68</v>
      </c>
      <c r="I443" s="29" t="str">
        <f aca="false">+IF(H443&gt;180,"Atrasada",IF(H443&gt;150,"150 dias",IF(H443&gt;120,"120 dias",IF(H443&gt;90,"90 dias",IF(H443&gt;60,"60 dias",IF(H443&gt;30,"30 dias","Al Día"))))))</f>
        <v>60 dias</v>
      </c>
      <c r="J443" s="32" t="s">
        <v>80</v>
      </c>
      <c r="K443" s="29" t="s">
        <v>81</v>
      </c>
      <c r="L443" s="33" t="s">
        <v>277</v>
      </c>
      <c r="M443" s="29" t="n">
        <f aca="false">+YEAR(F443)</f>
        <v>2026</v>
      </c>
      <c r="N443" s="29" t="n">
        <v>2026</v>
      </c>
      <c r="O443" s="29" t="n">
        <v>2</v>
      </c>
      <c r="P443" s="29" t="str">
        <f aca="false">+CONCATENATE(Tabla[[#This Row],[MES CAMPAÑA]],"/",Tabla[[#This Row],[AÑO CAMPAÑA]])</f>
        <v>2/2026</v>
      </c>
      <c r="Q443" s="29" t="s">
        <v>264</v>
      </c>
      <c r="R443" s="29"/>
      <c r="S443" s="34" t="n">
        <v>0</v>
      </c>
      <c r="T443" s="34" t="n">
        <v>674659</v>
      </c>
      <c r="U443" s="34" t="n">
        <v>128185</v>
      </c>
      <c r="V443" s="29"/>
      <c r="W443" s="35" t="n">
        <v>802844</v>
      </c>
      <c r="X443" s="36"/>
      <c r="Y443" s="37"/>
      <c r="Z443" s="37"/>
      <c r="AA443" s="37"/>
      <c r="AB443" s="38" t="n">
        <f aca="false">+W443-AC443</f>
        <v>802844</v>
      </c>
      <c r="AC443" s="34" t="n">
        <f aca="false">+Tabla[[#This Row],[P4]]+Tabla[[#This Row],[P3]]+Tabla[[#This Row],[P2]]+Tabla[[#This Row],[P1]]</f>
        <v>0</v>
      </c>
      <c r="AD443" s="34" t="n">
        <f aca="false">+W443-AC443</f>
        <v>802844</v>
      </c>
      <c r="AE443" s="21" t="str">
        <f aca="false">IF(AB443&lt;1,"PAGADA","PENDIENTE")</f>
        <v>PENDIENTE</v>
      </c>
      <c r="AF443" s="21"/>
      <c r="AG443" s="29"/>
      <c r="AH443" s="40"/>
      <c r="AI443" s="40" t="n">
        <f aca="false">+IF(Tabla[[#This Row],[FECHA PAGO / ABONO]]&lt;1,0,(MONTH(Tabla[[#This Row],[FECHA PAGO / ABONO]])))</f>
        <v>0</v>
      </c>
      <c r="AJ443" s="40" t="n">
        <f aca="false">+IF(Tabla[[#This Row],[FECHA PAGO / ABONO]]&lt;1,0,(YEAR(Tabla[[#This Row],[FECHA PAGO / ABONO]])))</f>
        <v>0</v>
      </c>
      <c r="AK443" s="41"/>
    </row>
    <row r="444" customFormat="false" ht="14.25" hidden="false" customHeight="false" outlineLevel="0" collapsed="false">
      <c r="A444" s="28" t="s">
        <v>121</v>
      </c>
      <c r="B444" s="29" t="s">
        <v>122</v>
      </c>
      <c r="C444" s="29" t="s">
        <v>69</v>
      </c>
      <c r="D444" s="21" t="n">
        <v>11265</v>
      </c>
      <c r="E444" s="21" t="str">
        <f aca="false">+CONCATENATE(Tabla[[#This Row],[RUT]],Tabla[[#This Row],[PROVEEDOR]],Tabla[[#This Row],[FACTURA]])</f>
        <v>76166681-9HS CHILE SPA11265</v>
      </c>
      <c r="F444" s="57" t="n">
        <v>46106</v>
      </c>
      <c r="G444" s="31" t="n">
        <f aca="false">+F444+30</f>
        <v>46136</v>
      </c>
      <c r="H444" s="29" t="n">
        <f aca="true">+IF(AE444="PAGADA",0,TODAY()-G444)</f>
        <v>68</v>
      </c>
      <c r="I444" s="29" t="str">
        <f aca="false">+IF(H444&gt;180,"Atrasada",IF(H444&gt;150,"150 dias",IF(H444&gt;120,"120 dias",IF(H444&gt;90,"90 dias",IF(H444&gt;60,"60 dias",IF(H444&gt;30,"30 dias","Al Día"))))))</f>
        <v>60 dias</v>
      </c>
      <c r="J444" s="32" t="s">
        <v>80</v>
      </c>
      <c r="K444" s="29" t="s">
        <v>81</v>
      </c>
      <c r="L444" s="33" t="s">
        <v>277</v>
      </c>
      <c r="M444" s="29" t="n">
        <f aca="false">+YEAR(F444)</f>
        <v>2026</v>
      </c>
      <c r="N444" s="29" t="n">
        <v>2026</v>
      </c>
      <c r="O444" s="29" t="n">
        <v>2</v>
      </c>
      <c r="P444" s="29" t="str">
        <f aca="false">+CONCATENATE(Tabla[[#This Row],[MES CAMPAÑA]],"/",Tabla[[#This Row],[AÑO CAMPAÑA]])</f>
        <v>2/2026</v>
      </c>
      <c r="Q444" s="29" t="s">
        <v>105</v>
      </c>
      <c r="R444" s="29"/>
      <c r="S444" s="34" t="n">
        <v>0</v>
      </c>
      <c r="T444" s="34" t="n">
        <v>1143000</v>
      </c>
      <c r="U444" s="34" t="n">
        <v>217170</v>
      </c>
      <c r="V444" s="29"/>
      <c r="W444" s="35" t="n">
        <v>1360170</v>
      </c>
      <c r="X444" s="36"/>
      <c r="Y444" s="37"/>
      <c r="Z444" s="37"/>
      <c r="AA444" s="37"/>
      <c r="AB444" s="38" t="n">
        <f aca="false">+W444-AC444</f>
        <v>1360170</v>
      </c>
      <c r="AC444" s="34" t="n">
        <f aca="false">+Tabla[[#This Row],[P4]]+Tabla[[#This Row],[P3]]+Tabla[[#This Row],[P2]]+Tabla[[#This Row],[P1]]</f>
        <v>0</v>
      </c>
      <c r="AD444" s="34" t="n">
        <f aca="false">+W444-AC444</f>
        <v>1360170</v>
      </c>
      <c r="AE444" s="21" t="str">
        <f aca="false">IF(AB444&lt;1,"PAGADA","PENDIENTE")</f>
        <v>PENDIENTE</v>
      </c>
      <c r="AF444" s="21"/>
      <c r="AG444" s="29"/>
      <c r="AH444" s="40"/>
      <c r="AI444" s="40" t="n">
        <f aca="false">+IF(Tabla[[#This Row],[FECHA PAGO / ABONO]]&lt;1,0,(MONTH(Tabla[[#This Row],[FECHA PAGO / ABONO]])))</f>
        <v>0</v>
      </c>
      <c r="AJ444" s="40" t="n">
        <f aca="false">+IF(Tabla[[#This Row],[FECHA PAGO / ABONO]]&lt;1,0,(YEAR(Tabla[[#This Row],[FECHA PAGO / ABONO]])))</f>
        <v>0</v>
      </c>
      <c r="AK444" s="41"/>
    </row>
    <row r="445" customFormat="false" ht="14.25" hidden="false" customHeight="false" outlineLevel="0" collapsed="false">
      <c r="A445" s="28" t="s">
        <v>175</v>
      </c>
      <c r="B445" s="29" t="s">
        <v>176</v>
      </c>
      <c r="C445" s="29" t="s">
        <v>69</v>
      </c>
      <c r="D445" s="21" t="n">
        <v>2047</v>
      </c>
      <c r="E445" s="21" t="str">
        <f aca="false">+CONCATENATE(Tabla[[#This Row],[RUT]],Tabla[[#This Row],[PROVEEDOR]],Tabla[[#This Row],[FACTURA]])</f>
        <v>77837600-8COMUNICACIONES SAN ANDRES LIMITADA2047</v>
      </c>
      <c r="F445" s="57" t="n">
        <v>46106</v>
      </c>
      <c r="G445" s="31" t="n">
        <f aca="false">+F445+30</f>
        <v>46136</v>
      </c>
      <c r="H445" s="29" t="n">
        <f aca="true">+IF(AE445="PAGADA",0,TODAY()-G445)</f>
        <v>68</v>
      </c>
      <c r="I445" s="29" t="str">
        <f aca="false">+IF(H445&gt;180,"Atrasada",IF(H445&gt;150,"150 dias",IF(H445&gt;120,"120 dias",IF(H445&gt;90,"90 dias",IF(H445&gt;60,"60 dias",IF(H445&gt;30,"30 dias","Al Día"))))))</f>
        <v>60 dias</v>
      </c>
      <c r="J445" s="32" t="s">
        <v>80</v>
      </c>
      <c r="K445" s="29" t="s">
        <v>81</v>
      </c>
      <c r="L445" s="33" t="s">
        <v>277</v>
      </c>
      <c r="M445" s="29" t="n">
        <f aca="false">+YEAR(F445)</f>
        <v>2026</v>
      </c>
      <c r="N445" s="29" t="n">
        <v>2026</v>
      </c>
      <c r="O445" s="29" t="n">
        <v>2</v>
      </c>
      <c r="P445" s="29" t="str">
        <f aca="false">+CONCATENATE(Tabla[[#This Row],[MES CAMPAÑA]],"/",Tabla[[#This Row],[AÑO CAMPAÑA]])</f>
        <v>2/2026</v>
      </c>
      <c r="Q445" s="29" t="s">
        <v>108</v>
      </c>
      <c r="R445" s="29"/>
      <c r="S445" s="34" t="n">
        <v>0</v>
      </c>
      <c r="T445" s="34" t="n">
        <v>500000</v>
      </c>
      <c r="U445" s="34" t="n">
        <v>95000</v>
      </c>
      <c r="V445" s="29"/>
      <c r="W445" s="35" t="n">
        <v>595000</v>
      </c>
      <c r="X445" s="36"/>
      <c r="Y445" s="37"/>
      <c r="Z445" s="37"/>
      <c r="AA445" s="37"/>
      <c r="AB445" s="38" t="n">
        <f aca="false">+W445-AC445</f>
        <v>595000</v>
      </c>
      <c r="AC445" s="34" t="n">
        <f aca="false">+Tabla[[#This Row],[P4]]+Tabla[[#This Row],[P3]]+Tabla[[#This Row],[P2]]+Tabla[[#This Row],[P1]]</f>
        <v>0</v>
      </c>
      <c r="AD445" s="34" t="n">
        <f aca="false">+W445-AC445</f>
        <v>595000</v>
      </c>
      <c r="AE445" s="21" t="str">
        <f aca="false">IF(AB445&lt;1,"PAGADA","PENDIENTE")</f>
        <v>PENDIENTE</v>
      </c>
      <c r="AF445" s="21"/>
      <c r="AG445" s="29"/>
      <c r="AH445" s="40"/>
      <c r="AI445" s="40" t="n">
        <f aca="false">+IF(Tabla[[#This Row],[FECHA PAGO / ABONO]]&lt;1,0,(MONTH(Tabla[[#This Row],[FECHA PAGO / ABONO]])))</f>
        <v>0</v>
      </c>
      <c r="AJ445" s="40" t="n">
        <f aca="false">+IF(Tabla[[#This Row],[FECHA PAGO / ABONO]]&lt;1,0,(YEAR(Tabla[[#This Row],[FECHA PAGO / ABONO]])))</f>
        <v>0</v>
      </c>
      <c r="AK445" s="41"/>
    </row>
    <row r="446" customFormat="false" ht="14.25" hidden="false" customHeight="false" outlineLevel="0" collapsed="false">
      <c r="A446" s="28" t="s">
        <v>238</v>
      </c>
      <c r="B446" s="29" t="s">
        <v>239</v>
      </c>
      <c r="C446" s="29" t="s">
        <v>229</v>
      </c>
      <c r="D446" s="21" t="n">
        <v>215</v>
      </c>
      <c r="E446" s="21" t="str">
        <f aca="false">+CONCATENATE(Tabla[[#This Row],[RUT]],Tabla[[#This Row],[PROVEEDOR]],Tabla[[#This Row],[FACTURA]])</f>
        <v>77688283-6SOCIEDAD DE PROFESIONALES YY LIMITADA215</v>
      </c>
      <c r="F446" s="57" t="n">
        <v>46106</v>
      </c>
      <c r="G446" s="31" t="n">
        <f aca="false">+F446+30</f>
        <v>46136</v>
      </c>
      <c r="H446" s="29" t="n">
        <f aca="true">+IF(AE446="PAGADA",0,TODAY()-G446)</f>
        <v>0</v>
      </c>
      <c r="I446" s="29" t="str">
        <f aca="false">+IF(H446&gt;180,"Atrasada",IF(H446&gt;150,"150 dias",IF(H446&gt;120,"120 dias",IF(H446&gt;90,"90 dias",IF(H446&gt;60,"60 dias",IF(H446&gt;30,"30 dias","Al Día"))))))</f>
        <v>Al Día</v>
      </c>
      <c r="J446" s="32" t="s">
        <v>31</v>
      </c>
      <c r="K446" s="29" t="s">
        <v>81</v>
      </c>
      <c r="L446" s="33" t="s">
        <v>277</v>
      </c>
      <c r="M446" s="29" t="n">
        <f aca="false">+YEAR(F446)</f>
        <v>2026</v>
      </c>
      <c r="N446" s="29" t="n">
        <v>2026</v>
      </c>
      <c r="O446" s="29" t="n">
        <v>3</v>
      </c>
      <c r="P446" s="29" t="str">
        <f aca="false">+CONCATENATE(Tabla[[#This Row],[MES CAMPAÑA]],"/",Tabla[[#This Row],[AÑO CAMPAÑA]])</f>
        <v>3/2026</v>
      </c>
      <c r="Q446" s="29" t="s">
        <v>73</v>
      </c>
      <c r="R446" s="29"/>
      <c r="S446" s="34" t="n">
        <v>6500000</v>
      </c>
      <c r="T446" s="34" t="n">
        <v>0</v>
      </c>
      <c r="U446" s="34" t="n">
        <v>0</v>
      </c>
      <c r="V446" s="29"/>
      <c r="W446" s="35" t="n">
        <v>6500000</v>
      </c>
      <c r="X446" s="36" t="n">
        <f aca="false">+Tabla[[#This Row],[TOTAL]]</f>
        <v>6500000</v>
      </c>
      <c r="Y446" s="37"/>
      <c r="Z446" s="37"/>
      <c r="AA446" s="37"/>
      <c r="AB446" s="38" t="n">
        <f aca="false">+W446-AC446</f>
        <v>0</v>
      </c>
      <c r="AC446" s="34" t="n">
        <f aca="false">+Tabla[[#This Row],[P4]]+Tabla[[#This Row],[P3]]+Tabla[[#This Row],[P2]]+Tabla[[#This Row],[P1]]</f>
        <v>6500000</v>
      </c>
      <c r="AD446" s="34" t="n">
        <f aca="false">+W446-AC446</f>
        <v>0</v>
      </c>
      <c r="AE446" s="21" t="str">
        <f aca="false">IF(AB446&lt;1,"PAGADA","PENDIENTE")</f>
        <v>PAGADA</v>
      </c>
      <c r="AF446" s="21"/>
      <c r="AG446" s="29" t="s">
        <v>77</v>
      </c>
      <c r="AH446" s="39" t="n">
        <v>46107</v>
      </c>
      <c r="AI446" s="40" t="n">
        <f aca="false">+IF(Tabla[[#This Row],[FECHA PAGO / ABONO]]&lt;1,0,(MONTH(Tabla[[#This Row],[FECHA PAGO / ABONO]])))</f>
        <v>3</v>
      </c>
      <c r="AJ446" s="40" t="n">
        <f aca="false">+IF(Tabla[[#This Row],[FECHA PAGO / ABONO]]&lt;1,0,(YEAR(Tabla[[#This Row],[FECHA PAGO / ABONO]])))</f>
        <v>2026</v>
      </c>
      <c r="AK446" s="41"/>
    </row>
    <row r="447" customFormat="false" ht="14.25" hidden="false" customHeight="false" outlineLevel="0" collapsed="false">
      <c r="A447" s="28" t="s">
        <v>231</v>
      </c>
      <c r="B447" s="29" t="s">
        <v>232</v>
      </c>
      <c r="C447" s="29" t="s">
        <v>69</v>
      </c>
      <c r="D447" s="21" t="n">
        <v>320691</v>
      </c>
      <c r="E447" s="21" t="str">
        <f aca="false">+CONCATENATE(Tabla[[#This Row],[RUT]],Tabla[[#This Row],[PROVEEDOR]],Tabla[[#This Row],[FACTURA]])</f>
        <v>99538470-1PORTALES DE NEGOCIOS S.A320691</v>
      </c>
      <c r="F447" s="57" t="n">
        <v>46106</v>
      </c>
      <c r="G447" s="31" t="n">
        <f aca="false">+F447+30</f>
        <v>46136</v>
      </c>
      <c r="H447" s="29" t="n">
        <f aca="true">+IF(AE447="PAGADA",0,TODAY()-G447)</f>
        <v>68</v>
      </c>
      <c r="I447" s="29" t="str">
        <f aca="false">+IF(H447&gt;180,"Atrasada",IF(H447&gt;150,"150 dias",IF(H447&gt;120,"120 dias",IF(H447&gt;90,"90 dias",IF(H447&gt;60,"60 dias",IF(H447&gt;30,"30 dias","Al Día"))))))</f>
        <v>60 dias</v>
      </c>
      <c r="J447" s="32" t="s">
        <v>80</v>
      </c>
      <c r="K447" s="29" t="s">
        <v>81</v>
      </c>
      <c r="L447" s="33" t="s">
        <v>277</v>
      </c>
      <c r="M447" s="29" t="n">
        <f aca="false">+YEAR(F447)</f>
        <v>2026</v>
      </c>
      <c r="N447" s="29" t="n">
        <v>2026</v>
      </c>
      <c r="O447" s="29" t="n">
        <v>2</v>
      </c>
      <c r="P447" s="29" t="str">
        <f aca="false">+CONCATENATE(Tabla[[#This Row],[MES CAMPAÑA]],"/",Tabla[[#This Row],[AÑO CAMPAÑA]])</f>
        <v>2/2026</v>
      </c>
      <c r="Q447" s="29" t="s">
        <v>130</v>
      </c>
      <c r="R447" s="29"/>
      <c r="S447" s="34" t="n">
        <v>0</v>
      </c>
      <c r="T447" s="34" t="n">
        <v>3000000</v>
      </c>
      <c r="U447" s="34" t="n">
        <v>570000</v>
      </c>
      <c r="V447" s="29"/>
      <c r="W447" s="35" t="n">
        <v>3570000</v>
      </c>
      <c r="X447" s="36"/>
      <c r="Y447" s="37"/>
      <c r="Z447" s="37"/>
      <c r="AA447" s="37"/>
      <c r="AB447" s="38" t="n">
        <f aca="false">+W447-AC447</f>
        <v>3570000</v>
      </c>
      <c r="AC447" s="34" t="n">
        <f aca="false">+Tabla[[#This Row],[P4]]+Tabla[[#This Row],[P3]]+Tabla[[#This Row],[P2]]+Tabla[[#This Row],[P1]]</f>
        <v>0</v>
      </c>
      <c r="AD447" s="34" t="n">
        <f aca="false">+W447-AC447</f>
        <v>3570000</v>
      </c>
      <c r="AE447" s="21" t="str">
        <f aca="false">IF(AB447&lt;1,"PAGADA","PENDIENTE")</f>
        <v>PENDIENTE</v>
      </c>
      <c r="AF447" s="21"/>
      <c r="AG447" s="29"/>
      <c r="AH447" s="40"/>
      <c r="AI447" s="40" t="n">
        <f aca="false">+IF(Tabla[[#This Row],[FECHA PAGO / ABONO]]&lt;1,0,(MONTH(Tabla[[#This Row],[FECHA PAGO / ABONO]])))</f>
        <v>0</v>
      </c>
      <c r="AJ447" s="40" t="n">
        <f aca="false">+IF(Tabla[[#This Row],[FECHA PAGO / ABONO]]&lt;1,0,(YEAR(Tabla[[#This Row],[FECHA PAGO / ABONO]])))</f>
        <v>0</v>
      </c>
      <c r="AK447" s="41"/>
    </row>
    <row r="448" customFormat="false" ht="14.25" hidden="false" customHeight="false" outlineLevel="0" collapsed="false">
      <c r="A448" s="28" t="s">
        <v>185</v>
      </c>
      <c r="B448" s="29" t="s">
        <v>186</v>
      </c>
      <c r="C448" s="29" t="s">
        <v>69</v>
      </c>
      <c r="D448" s="21" t="n">
        <v>139122</v>
      </c>
      <c r="E448" s="21" t="str">
        <f aca="false">+CONCATENATE(Tabla[[#This Row],[RUT]],Tabla[[#This Row],[PROVEEDOR]],Tabla[[#This Row],[FACTURA]])</f>
        <v>79947310-0PRISA MEDIA CHILE S.A.139122</v>
      </c>
      <c r="F448" s="57" t="n">
        <v>46106</v>
      </c>
      <c r="G448" s="31" t="n">
        <f aca="false">+F448+30</f>
        <v>46136</v>
      </c>
      <c r="H448" s="29" t="n">
        <f aca="true">+IF(AE448="PAGADA",0,TODAY()-G448)</f>
        <v>68</v>
      </c>
      <c r="I448" s="29" t="str">
        <f aca="false">+IF(H448&gt;180,"Atrasada",IF(H448&gt;150,"150 dias",IF(H448&gt;120,"120 dias",IF(H448&gt;90,"90 dias",IF(H448&gt;60,"60 dias",IF(H448&gt;30,"30 dias","Al Día"))))))</f>
        <v>60 dias</v>
      </c>
      <c r="J448" s="32" t="s">
        <v>80</v>
      </c>
      <c r="K448" s="29" t="s">
        <v>81</v>
      </c>
      <c r="L448" s="33" t="s">
        <v>277</v>
      </c>
      <c r="M448" s="29" t="n">
        <f aca="false">+YEAR(F448)</f>
        <v>2026</v>
      </c>
      <c r="N448" s="29" t="n">
        <v>2026</v>
      </c>
      <c r="O448" s="29" t="n">
        <v>2</v>
      </c>
      <c r="P448" s="29" t="str">
        <f aca="false">+CONCATENATE(Tabla[[#This Row],[MES CAMPAÑA]],"/",Tabla[[#This Row],[AÑO CAMPAÑA]])</f>
        <v>2/2026</v>
      </c>
      <c r="Q448" s="29" t="s">
        <v>123</v>
      </c>
      <c r="R448" s="29"/>
      <c r="S448" s="34" t="n">
        <v>0</v>
      </c>
      <c r="T448" s="34" t="n">
        <v>1140000</v>
      </c>
      <c r="U448" s="34" t="n">
        <v>216600</v>
      </c>
      <c r="V448" s="29"/>
      <c r="W448" s="35" t="n">
        <v>1356600</v>
      </c>
      <c r="X448" s="36"/>
      <c r="Y448" s="37"/>
      <c r="Z448" s="37"/>
      <c r="AA448" s="37"/>
      <c r="AB448" s="38" t="n">
        <f aca="false">+W448-AC448</f>
        <v>1356600</v>
      </c>
      <c r="AC448" s="34" t="n">
        <f aca="false">+Tabla[[#This Row],[P4]]+Tabla[[#This Row],[P3]]+Tabla[[#This Row],[P2]]+Tabla[[#This Row],[P1]]</f>
        <v>0</v>
      </c>
      <c r="AD448" s="34" t="n">
        <f aca="false">+W448-AC448</f>
        <v>1356600</v>
      </c>
      <c r="AE448" s="21" t="str">
        <f aca="false">IF(AB448&lt;1,"PAGADA","PENDIENTE")</f>
        <v>PENDIENTE</v>
      </c>
      <c r="AF448" s="21"/>
      <c r="AG448" s="29"/>
      <c r="AH448" s="40"/>
      <c r="AI448" s="40" t="n">
        <f aca="false">+IF(Tabla[[#This Row],[FECHA PAGO / ABONO]]&lt;1,0,(MONTH(Tabla[[#This Row],[FECHA PAGO / ABONO]])))</f>
        <v>0</v>
      </c>
      <c r="AJ448" s="40" t="n">
        <f aca="false">+IF(Tabla[[#This Row],[FECHA PAGO / ABONO]]&lt;1,0,(YEAR(Tabla[[#This Row],[FECHA PAGO / ABONO]])))</f>
        <v>0</v>
      </c>
      <c r="AK448" s="41"/>
    </row>
    <row r="449" customFormat="false" ht="14.25" hidden="false" customHeight="false" outlineLevel="0" collapsed="false">
      <c r="A449" s="28" t="s">
        <v>185</v>
      </c>
      <c r="B449" s="29" t="s">
        <v>186</v>
      </c>
      <c r="C449" s="29" t="s">
        <v>69</v>
      </c>
      <c r="D449" s="21" t="n">
        <v>139123</v>
      </c>
      <c r="E449" s="21" t="str">
        <f aca="false">+CONCATENATE(Tabla[[#This Row],[RUT]],Tabla[[#This Row],[PROVEEDOR]],Tabla[[#This Row],[FACTURA]])</f>
        <v>79947310-0PRISA MEDIA CHILE S.A.139123</v>
      </c>
      <c r="F449" s="57" t="n">
        <v>46106</v>
      </c>
      <c r="G449" s="31" t="n">
        <f aca="false">+F449+30</f>
        <v>46136</v>
      </c>
      <c r="H449" s="29" t="n">
        <f aca="true">+IF(AE449="PAGADA",0,TODAY()-G449)</f>
        <v>68</v>
      </c>
      <c r="I449" s="29" t="str">
        <f aca="false">+IF(H449&gt;180,"Atrasada",IF(H449&gt;150,"150 dias",IF(H449&gt;120,"120 dias",IF(H449&gt;90,"90 dias",IF(H449&gt;60,"60 dias",IF(H449&gt;30,"30 dias","Al Día"))))))</f>
        <v>60 dias</v>
      </c>
      <c r="J449" s="32" t="s">
        <v>80</v>
      </c>
      <c r="K449" s="29" t="s">
        <v>81</v>
      </c>
      <c r="L449" s="33" t="s">
        <v>277</v>
      </c>
      <c r="M449" s="29" t="n">
        <f aca="false">+YEAR(F449)</f>
        <v>2026</v>
      </c>
      <c r="N449" s="29" t="n">
        <v>2026</v>
      </c>
      <c r="O449" s="29" t="n">
        <v>2</v>
      </c>
      <c r="P449" s="29" t="str">
        <f aca="false">+CONCATENATE(Tabla[[#This Row],[MES CAMPAÑA]],"/",Tabla[[#This Row],[AÑO CAMPAÑA]])</f>
        <v>2/2026</v>
      </c>
      <c r="Q449" s="29" t="s">
        <v>123</v>
      </c>
      <c r="R449" s="29"/>
      <c r="S449" s="34" t="n">
        <v>0</v>
      </c>
      <c r="T449" s="34" t="n">
        <v>1560000</v>
      </c>
      <c r="U449" s="34" t="n">
        <v>296400</v>
      </c>
      <c r="V449" s="29"/>
      <c r="W449" s="35" t="n">
        <v>1856400</v>
      </c>
      <c r="X449" s="36"/>
      <c r="Y449" s="37"/>
      <c r="Z449" s="37"/>
      <c r="AA449" s="37"/>
      <c r="AB449" s="38" t="n">
        <f aca="false">+W449-AC449</f>
        <v>1856400</v>
      </c>
      <c r="AC449" s="34" t="n">
        <f aca="false">+Tabla[[#This Row],[P4]]+Tabla[[#This Row],[P3]]+Tabla[[#This Row],[P2]]+Tabla[[#This Row],[P1]]</f>
        <v>0</v>
      </c>
      <c r="AD449" s="34" t="n">
        <f aca="false">+W449-AC449</f>
        <v>1856400</v>
      </c>
      <c r="AE449" s="21" t="str">
        <f aca="false">IF(AB449&lt;1,"PAGADA","PENDIENTE")</f>
        <v>PENDIENTE</v>
      </c>
      <c r="AF449" s="21"/>
      <c r="AG449" s="29"/>
      <c r="AH449" s="40"/>
      <c r="AI449" s="40" t="n">
        <f aca="false">+IF(Tabla[[#This Row],[FECHA PAGO / ABONO]]&lt;1,0,(MONTH(Tabla[[#This Row],[FECHA PAGO / ABONO]])))</f>
        <v>0</v>
      </c>
      <c r="AJ449" s="40" t="n">
        <f aca="false">+IF(Tabla[[#This Row],[FECHA PAGO / ABONO]]&lt;1,0,(YEAR(Tabla[[#This Row],[FECHA PAGO / ABONO]])))</f>
        <v>0</v>
      </c>
      <c r="AK449" s="41"/>
    </row>
    <row r="450" customFormat="false" ht="14.25" hidden="false" customHeight="false" outlineLevel="0" collapsed="false">
      <c r="A450" s="28" t="s">
        <v>185</v>
      </c>
      <c r="B450" s="29" t="s">
        <v>186</v>
      </c>
      <c r="C450" s="29" t="s">
        <v>69</v>
      </c>
      <c r="D450" s="21" t="n">
        <v>139121</v>
      </c>
      <c r="E450" s="21" t="str">
        <f aca="false">+CONCATENATE(Tabla[[#This Row],[RUT]],Tabla[[#This Row],[PROVEEDOR]],Tabla[[#This Row],[FACTURA]])</f>
        <v>79947310-0PRISA MEDIA CHILE S.A.139121</v>
      </c>
      <c r="F450" s="57" t="n">
        <v>46106</v>
      </c>
      <c r="G450" s="31" t="n">
        <f aca="false">+F450+30</f>
        <v>46136</v>
      </c>
      <c r="H450" s="29" t="n">
        <f aca="true">+IF(AE450="PAGADA",0,TODAY()-G450)</f>
        <v>68</v>
      </c>
      <c r="I450" s="29" t="str">
        <f aca="false">+IF(H450&gt;180,"Atrasada",IF(H450&gt;150,"150 dias",IF(H450&gt;120,"120 dias",IF(H450&gt;90,"90 dias",IF(H450&gt;60,"60 dias",IF(H450&gt;30,"30 dias","Al Día"))))))</f>
        <v>60 dias</v>
      </c>
      <c r="J450" s="32" t="s">
        <v>80</v>
      </c>
      <c r="K450" s="29" t="s">
        <v>81</v>
      </c>
      <c r="L450" s="33" t="s">
        <v>277</v>
      </c>
      <c r="M450" s="29" t="n">
        <f aca="false">+YEAR(F450)</f>
        <v>2026</v>
      </c>
      <c r="N450" s="29" t="n">
        <v>2026</v>
      </c>
      <c r="O450" s="29" t="n">
        <v>2</v>
      </c>
      <c r="P450" s="29" t="str">
        <f aca="false">+CONCATENATE(Tabla[[#This Row],[MES CAMPAÑA]],"/",Tabla[[#This Row],[AÑO CAMPAÑA]])</f>
        <v>2/2026</v>
      </c>
      <c r="Q450" s="29" t="s">
        <v>123</v>
      </c>
      <c r="R450" s="29"/>
      <c r="S450" s="34" t="n">
        <v>0</v>
      </c>
      <c r="T450" s="34" t="n">
        <v>1560000</v>
      </c>
      <c r="U450" s="34" t="n">
        <v>296400</v>
      </c>
      <c r="V450" s="29"/>
      <c r="W450" s="35" t="n">
        <v>1856400</v>
      </c>
      <c r="X450" s="36"/>
      <c r="Y450" s="37"/>
      <c r="Z450" s="37"/>
      <c r="AA450" s="37"/>
      <c r="AB450" s="38" t="n">
        <f aca="false">+W450-AC450</f>
        <v>1856400</v>
      </c>
      <c r="AC450" s="34" t="n">
        <f aca="false">+Tabla[[#This Row],[P4]]+Tabla[[#This Row],[P3]]+Tabla[[#This Row],[P2]]+Tabla[[#This Row],[P1]]</f>
        <v>0</v>
      </c>
      <c r="AD450" s="34" t="n">
        <f aca="false">+W450-AC450</f>
        <v>1856400</v>
      </c>
      <c r="AE450" s="21" t="str">
        <f aca="false">IF(AB450&lt;1,"PAGADA","PENDIENTE")</f>
        <v>PENDIENTE</v>
      </c>
      <c r="AF450" s="21"/>
      <c r="AG450" s="29"/>
      <c r="AH450" s="40"/>
      <c r="AI450" s="40" t="n">
        <f aca="false">+IF(Tabla[[#This Row],[FECHA PAGO / ABONO]]&lt;1,0,(MONTH(Tabla[[#This Row],[FECHA PAGO / ABONO]])))</f>
        <v>0</v>
      </c>
      <c r="AJ450" s="40" t="n">
        <f aca="false">+IF(Tabla[[#This Row],[FECHA PAGO / ABONO]]&lt;1,0,(YEAR(Tabla[[#This Row],[FECHA PAGO / ABONO]])))</f>
        <v>0</v>
      </c>
      <c r="AK450" s="41"/>
    </row>
    <row r="451" customFormat="false" ht="14.25" hidden="false" customHeight="false" outlineLevel="0" collapsed="false">
      <c r="A451" s="28" t="s">
        <v>294</v>
      </c>
      <c r="B451" s="29" t="s">
        <v>295</v>
      </c>
      <c r="C451" s="29" t="s">
        <v>69</v>
      </c>
      <c r="D451" s="21" t="n">
        <v>102315</v>
      </c>
      <c r="E451" s="21" t="str">
        <f aca="false">+CONCATENATE(Tabla[[#This Row],[RUT]],Tabla[[#This Row],[PROVEEDOR]],Tabla[[#This Row],[FACTURA]])</f>
        <v>82066500-7PRISA MEDIA CORP SpA102315</v>
      </c>
      <c r="F451" s="57" t="n">
        <v>46106</v>
      </c>
      <c r="G451" s="31" t="n">
        <f aca="false">+F451+30</f>
        <v>46136</v>
      </c>
      <c r="H451" s="29" t="n">
        <f aca="true">+IF(AE451="PAGADA",0,TODAY()-G451)</f>
        <v>68</v>
      </c>
      <c r="I451" s="29" t="str">
        <f aca="false">+IF(H451&gt;180,"Atrasada",IF(H451&gt;150,"150 dias",IF(H451&gt;120,"120 dias",IF(H451&gt;90,"90 dias",IF(H451&gt;60,"60 dias",IF(H451&gt;30,"30 dias","Al Día"))))))</f>
        <v>60 dias</v>
      </c>
      <c r="J451" s="32" t="s">
        <v>80</v>
      </c>
      <c r="K451" s="29" t="s">
        <v>81</v>
      </c>
      <c r="L451" s="33" t="s">
        <v>277</v>
      </c>
      <c r="M451" s="29" t="n">
        <f aca="false">+YEAR(F451)</f>
        <v>2026</v>
      </c>
      <c r="N451" s="29" t="n">
        <v>2026</v>
      </c>
      <c r="O451" s="29" t="n">
        <v>2</v>
      </c>
      <c r="P451" s="29" t="str">
        <f aca="false">+CONCATENATE(Tabla[[#This Row],[MES CAMPAÑA]],"/",Tabla[[#This Row],[AÑO CAMPAÑA]])</f>
        <v>2/2026</v>
      </c>
      <c r="Q451" s="29" t="s">
        <v>296</v>
      </c>
      <c r="R451" s="29"/>
      <c r="S451" s="34" t="n">
        <v>0</v>
      </c>
      <c r="T451" s="34" t="n">
        <v>1155000</v>
      </c>
      <c r="U451" s="34" t="n">
        <v>219450</v>
      </c>
      <c r="V451" s="29"/>
      <c r="W451" s="35" t="n">
        <v>1374450</v>
      </c>
      <c r="X451" s="36"/>
      <c r="Y451" s="37"/>
      <c r="Z451" s="37"/>
      <c r="AA451" s="37"/>
      <c r="AB451" s="38" t="n">
        <f aca="false">+W451-AC451</f>
        <v>1374450</v>
      </c>
      <c r="AC451" s="34" t="n">
        <f aca="false">+Tabla[[#This Row],[P4]]+Tabla[[#This Row],[P3]]+Tabla[[#This Row],[P2]]+Tabla[[#This Row],[P1]]</f>
        <v>0</v>
      </c>
      <c r="AD451" s="34" t="n">
        <f aca="false">+W451-AC451</f>
        <v>1374450</v>
      </c>
      <c r="AE451" s="21" t="str">
        <f aca="false">IF(AB451&lt;1,"PAGADA","PENDIENTE")</f>
        <v>PENDIENTE</v>
      </c>
      <c r="AF451" s="21"/>
      <c r="AG451" s="29"/>
      <c r="AH451" s="40"/>
      <c r="AI451" s="40" t="n">
        <f aca="false">+IF(Tabla[[#This Row],[FECHA PAGO / ABONO]]&lt;1,0,(MONTH(Tabla[[#This Row],[FECHA PAGO / ABONO]])))</f>
        <v>0</v>
      </c>
      <c r="AJ451" s="40" t="n">
        <f aca="false">+IF(Tabla[[#This Row],[FECHA PAGO / ABONO]]&lt;1,0,(YEAR(Tabla[[#This Row],[FECHA PAGO / ABONO]])))</f>
        <v>0</v>
      </c>
      <c r="AK451" s="41"/>
    </row>
    <row r="452" customFormat="false" ht="14.25" hidden="false" customHeight="false" outlineLevel="0" collapsed="false">
      <c r="A452" s="28" t="s">
        <v>294</v>
      </c>
      <c r="B452" s="29" t="s">
        <v>295</v>
      </c>
      <c r="C452" s="29" t="s">
        <v>69</v>
      </c>
      <c r="D452" s="21" t="n">
        <v>102317</v>
      </c>
      <c r="E452" s="21" t="str">
        <f aca="false">+CONCATENATE(Tabla[[#This Row],[RUT]],Tabla[[#This Row],[PROVEEDOR]],Tabla[[#This Row],[FACTURA]])</f>
        <v>82066500-7PRISA MEDIA CORP SpA102317</v>
      </c>
      <c r="F452" s="57" t="n">
        <v>46106</v>
      </c>
      <c r="G452" s="31" t="n">
        <f aca="false">+F452+30</f>
        <v>46136</v>
      </c>
      <c r="H452" s="29" t="n">
        <f aca="true">+IF(AE452="PAGADA",0,TODAY()-G452)</f>
        <v>68</v>
      </c>
      <c r="I452" s="29" t="str">
        <f aca="false">+IF(H452&gt;180,"Atrasada",IF(H452&gt;150,"150 dias",IF(H452&gt;120,"120 dias",IF(H452&gt;90,"90 dias",IF(H452&gt;60,"60 dias",IF(H452&gt;30,"30 dias","Al Día"))))))</f>
        <v>60 dias</v>
      </c>
      <c r="J452" s="32" t="s">
        <v>80</v>
      </c>
      <c r="K452" s="29" t="s">
        <v>81</v>
      </c>
      <c r="L452" s="33" t="s">
        <v>277</v>
      </c>
      <c r="M452" s="29" t="n">
        <f aca="false">+YEAR(F452)</f>
        <v>2026</v>
      </c>
      <c r="N452" s="29" t="n">
        <v>2026</v>
      </c>
      <c r="O452" s="29" t="n">
        <v>2</v>
      </c>
      <c r="P452" s="29" t="str">
        <f aca="false">+CONCATENATE(Tabla[[#This Row],[MES CAMPAÑA]],"/",Tabla[[#This Row],[AÑO CAMPAÑA]])</f>
        <v>2/2026</v>
      </c>
      <c r="Q452" s="29" t="s">
        <v>105</v>
      </c>
      <c r="R452" s="29"/>
      <c r="S452" s="34" t="n">
        <v>0</v>
      </c>
      <c r="T452" s="34" t="n">
        <v>5775000</v>
      </c>
      <c r="U452" s="34" t="n">
        <v>1097250</v>
      </c>
      <c r="V452" s="29"/>
      <c r="W452" s="35" t="n">
        <v>6872250</v>
      </c>
      <c r="X452" s="36"/>
      <c r="Y452" s="37"/>
      <c r="Z452" s="37"/>
      <c r="AA452" s="37"/>
      <c r="AB452" s="38" t="n">
        <f aca="false">+W452-AC452</f>
        <v>6872250</v>
      </c>
      <c r="AC452" s="34" t="n">
        <f aca="false">+Tabla[[#This Row],[P4]]+Tabla[[#This Row],[P3]]+Tabla[[#This Row],[P2]]+Tabla[[#This Row],[P1]]</f>
        <v>0</v>
      </c>
      <c r="AD452" s="34" t="n">
        <f aca="false">+W452-AC452</f>
        <v>6872250</v>
      </c>
      <c r="AE452" s="21" t="str">
        <f aca="false">IF(AB452&lt;1,"PAGADA","PENDIENTE")</f>
        <v>PENDIENTE</v>
      </c>
      <c r="AF452" s="21"/>
      <c r="AG452" s="29"/>
      <c r="AH452" s="40"/>
      <c r="AI452" s="40" t="n">
        <f aca="false">+IF(Tabla[[#This Row],[FECHA PAGO / ABONO]]&lt;1,0,(MONTH(Tabla[[#This Row],[FECHA PAGO / ABONO]])))</f>
        <v>0</v>
      </c>
      <c r="AJ452" s="40" t="n">
        <f aca="false">+IF(Tabla[[#This Row],[FECHA PAGO / ABONO]]&lt;1,0,(YEAR(Tabla[[#This Row],[FECHA PAGO / ABONO]])))</f>
        <v>0</v>
      </c>
      <c r="AK452" s="41"/>
    </row>
    <row r="453" customFormat="false" ht="14.25" hidden="false" customHeight="false" outlineLevel="0" collapsed="false">
      <c r="A453" s="28" t="s">
        <v>294</v>
      </c>
      <c r="B453" s="29" t="s">
        <v>295</v>
      </c>
      <c r="C453" s="29" t="s">
        <v>69</v>
      </c>
      <c r="D453" s="21" t="n">
        <v>102316</v>
      </c>
      <c r="E453" s="21" t="str">
        <f aca="false">+CONCATENATE(Tabla[[#This Row],[RUT]],Tabla[[#This Row],[PROVEEDOR]],Tabla[[#This Row],[FACTURA]])</f>
        <v>82066500-7PRISA MEDIA CORP SpA102316</v>
      </c>
      <c r="F453" s="57" t="n">
        <v>46106</v>
      </c>
      <c r="G453" s="31" t="n">
        <f aca="false">+F453+30</f>
        <v>46136</v>
      </c>
      <c r="H453" s="29" t="n">
        <f aca="true">+IF(AE453="PAGADA",0,TODAY()-G453)</f>
        <v>68</v>
      </c>
      <c r="I453" s="29" t="str">
        <f aca="false">+IF(H453&gt;180,"Atrasada",IF(H453&gt;150,"150 dias",IF(H453&gt;120,"120 dias",IF(H453&gt;90,"90 dias",IF(H453&gt;60,"60 dias",IF(H453&gt;30,"30 dias","Al Día"))))))</f>
        <v>60 dias</v>
      </c>
      <c r="J453" s="32" t="s">
        <v>80</v>
      </c>
      <c r="K453" s="29" t="s">
        <v>81</v>
      </c>
      <c r="L453" s="33" t="s">
        <v>277</v>
      </c>
      <c r="M453" s="29" t="n">
        <f aca="false">+YEAR(F453)</f>
        <v>2026</v>
      </c>
      <c r="N453" s="29" t="n">
        <v>2026</v>
      </c>
      <c r="O453" s="29" t="n">
        <v>2</v>
      </c>
      <c r="P453" s="29" t="str">
        <f aca="false">+CONCATENATE(Tabla[[#This Row],[MES CAMPAÑA]],"/",Tabla[[#This Row],[AÑO CAMPAÑA]])</f>
        <v>2/2026</v>
      </c>
      <c r="Q453" s="29" t="s">
        <v>105</v>
      </c>
      <c r="R453" s="29"/>
      <c r="S453" s="34" t="n">
        <v>0</v>
      </c>
      <c r="T453" s="34" t="n">
        <v>6060000</v>
      </c>
      <c r="U453" s="34" t="n">
        <v>1151400</v>
      </c>
      <c r="V453" s="29"/>
      <c r="W453" s="35" t="n">
        <v>7211400</v>
      </c>
      <c r="X453" s="36"/>
      <c r="Y453" s="37"/>
      <c r="Z453" s="37"/>
      <c r="AA453" s="37"/>
      <c r="AB453" s="38" t="n">
        <f aca="false">+W453-AC453</f>
        <v>7211400</v>
      </c>
      <c r="AC453" s="34" t="n">
        <f aca="false">+Tabla[[#This Row],[P4]]+Tabla[[#This Row],[P3]]+Tabla[[#This Row],[P2]]+Tabla[[#This Row],[P1]]</f>
        <v>0</v>
      </c>
      <c r="AD453" s="34" t="n">
        <f aca="false">+W453-AC453</f>
        <v>7211400</v>
      </c>
      <c r="AE453" s="21" t="str">
        <f aca="false">IF(AB453&lt;1,"PAGADA","PENDIENTE")</f>
        <v>PENDIENTE</v>
      </c>
      <c r="AF453" s="21"/>
      <c r="AG453" s="29"/>
      <c r="AH453" s="40"/>
      <c r="AI453" s="40" t="n">
        <f aca="false">+IF(Tabla[[#This Row],[FECHA PAGO / ABONO]]&lt;1,0,(MONTH(Tabla[[#This Row],[FECHA PAGO / ABONO]])))</f>
        <v>0</v>
      </c>
      <c r="AJ453" s="40" t="n">
        <f aca="false">+IF(Tabla[[#This Row],[FECHA PAGO / ABONO]]&lt;1,0,(YEAR(Tabla[[#This Row],[FECHA PAGO / ABONO]])))</f>
        <v>0</v>
      </c>
      <c r="AK453" s="41"/>
    </row>
    <row r="454" customFormat="false" ht="14.25" hidden="false" customHeight="false" outlineLevel="0" collapsed="false">
      <c r="A454" s="28" t="s">
        <v>139</v>
      </c>
      <c r="B454" s="29" t="s">
        <v>140</v>
      </c>
      <c r="C454" s="29" t="s">
        <v>69</v>
      </c>
      <c r="D454" s="21" t="n">
        <v>2615</v>
      </c>
      <c r="E454" s="21" t="str">
        <f aca="false">+CONCATENATE(Tabla[[#This Row],[RUT]],Tabla[[#This Row],[PROVEEDOR]],Tabla[[#This Row],[FACTURA]])</f>
        <v>76126782-5VISUAL MEDIA LTDA.2615</v>
      </c>
      <c r="F454" s="57" t="n">
        <v>46106</v>
      </c>
      <c r="G454" s="31" t="n">
        <f aca="false">+F454+30</f>
        <v>46136</v>
      </c>
      <c r="H454" s="29" t="n">
        <f aca="true">+IF(AE454="PAGADA",0,TODAY()-G454)</f>
        <v>0</v>
      </c>
      <c r="I454" s="29" t="str">
        <f aca="false">+IF(H454&gt;180,"Atrasada",IF(H454&gt;150,"150 dias",IF(H454&gt;120,"120 dias",IF(H454&gt;90,"90 dias",IF(H454&gt;60,"60 dias",IF(H454&gt;30,"30 dias","Al Día"))))))</f>
        <v>Al Día</v>
      </c>
      <c r="J454" s="32" t="s">
        <v>80</v>
      </c>
      <c r="K454" s="29" t="s">
        <v>81</v>
      </c>
      <c r="L454" s="33" t="s">
        <v>277</v>
      </c>
      <c r="M454" s="29" t="n">
        <f aca="false">+YEAR(F454)</f>
        <v>2026</v>
      </c>
      <c r="N454" s="29" t="n">
        <v>2026</v>
      </c>
      <c r="O454" s="29" t="n">
        <v>2</v>
      </c>
      <c r="P454" s="29" t="str">
        <f aca="false">+CONCATENATE(Tabla[[#This Row],[MES CAMPAÑA]],"/",Tabla[[#This Row],[AÑO CAMPAÑA]])</f>
        <v>2/2026</v>
      </c>
      <c r="Q454" s="29" t="s">
        <v>92</v>
      </c>
      <c r="R454" s="29"/>
      <c r="S454" s="34" t="n">
        <v>0</v>
      </c>
      <c r="T454" s="34" t="n">
        <v>350000</v>
      </c>
      <c r="U454" s="34" t="n">
        <v>66500</v>
      </c>
      <c r="V454" s="29"/>
      <c r="W454" s="35" t="n">
        <v>416500</v>
      </c>
      <c r="X454" s="36" t="n">
        <f aca="false">+Tabla[[#This Row],[TOTAL]]</f>
        <v>416500</v>
      </c>
      <c r="Y454" s="37"/>
      <c r="Z454" s="37"/>
      <c r="AA454" s="37"/>
      <c r="AB454" s="38" t="n">
        <f aca="false">+W454-AC454</f>
        <v>0</v>
      </c>
      <c r="AC454" s="34" t="n">
        <f aca="false">+Tabla[[#This Row],[P4]]+Tabla[[#This Row],[P3]]+Tabla[[#This Row],[P2]]+Tabla[[#This Row],[P1]]</f>
        <v>416500</v>
      </c>
      <c r="AD454" s="34" t="n">
        <f aca="false">+W454-AC454</f>
        <v>0</v>
      </c>
      <c r="AE454" s="21" t="str">
        <f aca="false">IF(AB454&lt;1,"PAGADA","PENDIENTE")</f>
        <v>PAGADA</v>
      </c>
      <c r="AF454" s="21"/>
      <c r="AG454" s="29" t="s">
        <v>77</v>
      </c>
      <c r="AH454" s="39" t="n">
        <v>46160</v>
      </c>
      <c r="AI454" s="40" t="n">
        <f aca="false">+IF(Tabla[[#This Row],[FECHA PAGO / ABONO]]&lt;1,0,(MONTH(Tabla[[#This Row],[FECHA PAGO / ABONO]])))</f>
        <v>5</v>
      </c>
      <c r="AJ454" s="40" t="n">
        <f aca="false">+IF(Tabla[[#This Row],[FECHA PAGO / ABONO]]&lt;1,0,(YEAR(Tabla[[#This Row],[FECHA PAGO / ABONO]])))</f>
        <v>2026</v>
      </c>
      <c r="AK454" s="41"/>
    </row>
    <row r="455" customFormat="false" ht="14.25" hidden="false" customHeight="false" outlineLevel="0" collapsed="false">
      <c r="A455" s="28" t="s">
        <v>181</v>
      </c>
      <c r="B455" s="29" t="s">
        <v>182</v>
      </c>
      <c r="C455" s="29" t="s">
        <v>69</v>
      </c>
      <c r="D455" s="21" t="n">
        <v>32819</v>
      </c>
      <c r="E455" s="21" t="str">
        <f aca="false">+CONCATENATE(Tabla[[#This Row],[RUT]],Tabla[[#This Row],[PROVEEDOR]],Tabla[[#This Row],[FACTURA]])</f>
        <v>96810030-0RDF MEDIA SPA32819</v>
      </c>
      <c r="F455" s="57" t="n">
        <v>46106</v>
      </c>
      <c r="G455" s="31" t="n">
        <f aca="false">+F455+30</f>
        <v>46136</v>
      </c>
      <c r="H455" s="29" t="n">
        <f aca="true">+IF(AE455="PAGADA",0,TODAY()-G455)</f>
        <v>68</v>
      </c>
      <c r="I455" s="29" t="str">
        <f aca="false">+IF(H455&gt;180,"Atrasada",IF(H455&gt;150,"150 dias",IF(H455&gt;120,"120 dias",IF(H455&gt;90,"90 dias",IF(H455&gt;60,"60 dias",IF(H455&gt;30,"30 dias","Al Día"))))))</f>
        <v>60 dias</v>
      </c>
      <c r="J455" s="32" t="s">
        <v>80</v>
      </c>
      <c r="K455" s="29" t="s">
        <v>81</v>
      </c>
      <c r="L455" s="33" t="s">
        <v>277</v>
      </c>
      <c r="M455" s="29" t="n">
        <f aca="false">+YEAR(F455)</f>
        <v>2026</v>
      </c>
      <c r="N455" s="29" t="n">
        <v>2026</v>
      </c>
      <c r="O455" s="29" t="n">
        <v>2</v>
      </c>
      <c r="P455" s="29" t="str">
        <f aca="false">+CONCATENATE(Tabla[[#This Row],[MES CAMPAÑA]],"/",Tabla[[#This Row],[AÑO CAMPAÑA]])</f>
        <v>2/2026</v>
      </c>
      <c r="Q455" s="29" t="s">
        <v>244</v>
      </c>
      <c r="R455" s="29"/>
      <c r="S455" s="34" t="n">
        <v>0</v>
      </c>
      <c r="T455" s="34" t="n">
        <v>3100000</v>
      </c>
      <c r="U455" s="34" t="n">
        <v>589000</v>
      </c>
      <c r="V455" s="29"/>
      <c r="W455" s="35" t="n">
        <v>3689000</v>
      </c>
      <c r="X455" s="36"/>
      <c r="Y455" s="37"/>
      <c r="Z455" s="37"/>
      <c r="AA455" s="37"/>
      <c r="AB455" s="38" t="n">
        <f aca="false">+W455-AC455</f>
        <v>3689000</v>
      </c>
      <c r="AC455" s="34" t="n">
        <f aca="false">+Tabla[[#This Row],[P4]]+Tabla[[#This Row],[P3]]+Tabla[[#This Row],[P2]]+Tabla[[#This Row],[P1]]</f>
        <v>0</v>
      </c>
      <c r="AD455" s="34" t="n">
        <f aca="false">+W455-AC455</f>
        <v>3689000</v>
      </c>
      <c r="AE455" s="21" t="str">
        <f aca="false">IF(AB455&lt;1,"PAGADA","PENDIENTE")</f>
        <v>PENDIENTE</v>
      </c>
      <c r="AF455" s="21"/>
      <c r="AG455" s="29"/>
      <c r="AH455" s="40"/>
      <c r="AI455" s="40" t="n">
        <f aca="false">+IF(Tabla[[#This Row],[FECHA PAGO / ABONO]]&lt;1,0,(MONTH(Tabla[[#This Row],[FECHA PAGO / ABONO]])))</f>
        <v>0</v>
      </c>
      <c r="AJ455" s="40" t="n">
        <f aca="false">+IF(Tabla[[#This Row],[FECHA PAGO / ABONO]]&lt;1,0,(YEAR(Tabla[[#This Row],[FECHA PAGO / ABONO]])))</f>
        <v>0</v>
      </c>
      <c r="AK455" s="41"/>
    </row>
    <row r="456" customFormat="false" ht="14.25" hidden="false" customHeight="false" outlineLevel="0" collapsed="false">
      <c r="A456" s="28" t="s">
        <v>217</v>
      </c>
      <c r="B456" s="29" t="s">
        <v>218</v>
      </c>
      <c r="C456" s="29" t="s">
        <v>69</v>
      </c>
      <c r="D456" s="21" t="n">
        <v>18700</v>
      </c>
      <c r="E456" s="21" t="str">
        <f aca="false">+CONCATENATE(Tabla[[#This Row],[RUT]],Tabla[[#This Row],[PROVEEDOR]],Tabla[[#This Row],[FACTURA]])</f>
        <v>76058347-2COMERCIALIZADORA GC SA18700</v>
      </c>
      <c r="F456" s="57" t="n">
        <v>46106</v>
      </c>
      <c r="G456" s="31" t="n">
        <f aca="false">+F456+30</f>
        <v>46136</v>
      </c>
      <c r="H456" s="29" t="n">
        <f aca="true">+IF(AE456="PAGADA",0,TODAY()-G456)</f>
        <v>68</v>
      </c>
      <c r="I456" s="29" t="str">
        <f aca="false">+IF(H456&gt;180,"Atrasada",IF(H456&gt;150,"150 dias",IF(H456&gt;120,"120 dias",IF(H456&gt;90,"90 dias",IF(H456&gt;60,"60 dias",IF(H456&gt;30,"30 dias","Al Día"))))))</f>
        <v>60 dias</v>
      </c>
      <c r="J456" s="32" t="s">
        <v>80</v>
      </c>
      <c r="K456" s="29" t="s">
        <v>81</v>
      </c>
      <c r="L456" s="33" t="s">
        <v>277</v>
      </c>
      <c r="M456" s="29" t="n">
        <f aca="false">+YEAR(F456)</f>
        <v>2026</v>
      </c>
      <c r="N456" s="29" t="n">
        <v>2026</v>
      </c>
      <c r="O456" s="29" t="n">
        <v>2</v>
      </c>
      <c r="P456" s="29" t="str">
        <f aca="false">+CONCATENATE(Tabla[[#This Row],[MES CAMPAÑA]],"/",Tabla[[#This Row],[AÑO CAMPAÑA]])</f>
        <v>2/2026</v>
      </c>
      <c r="Q456" s="29" t="s">
        <v>130</v>
      </c>
      <c r="R456" s="29"/>
      <c r="S456" s="34" t="n">
        <v>0</v>
      </c>
      <c r="T456" s="34" t="n">
        <v>3000000</v>
      </c>
      <c r="U456" s="34" t="n">
        <v>570000</v>
      </c>
      <c r="V456" s="29"/>
      <c r="W456" s="35" t="n">
        <v>3570000</v>
      </c>
      <c r="X456" s="36"/>
      <c r="Y456" s="37"/>
      <c r="Z456" s="37"/>
      <c r="AA456" s="37"/>
      <c r="AB456" s="38" t="n">
        <f aca="false">+W456-AC456</f>
        <v>3570000</v>
      </c>
      <c r="AC456" s="34" t="n">
        <f aca="false">+Tabla[[#This Row],[P4]]+Tabla[[#This Row],[P3]]+Tabla[[#This Row],[P2]]+Tabla[[#This Row],[P1]]</f>
        <v>0</v>
      </c>
      <c r="AD456" s="34" t="n">
        <f aca="false">+W456-AC456</f>
        <v>3570000</v>
      </c>
      <c r="AE456" s="21" t="str">
        <f aca="false">IF(AB456&lt;1,"PAGADA","PENDIENTE")</f>
        <v>PENDIENTE</v>
      </c>
      <c r="AF456" s="21"/>
      <c r="AG456" s="29"/>
      <c r="AH456" s="40"/>
      <c r="AI456" s="40" t="n">
        <f aca="false">+IF(Tabla[[#This Row],[FECHA PAGO / ABONO]]&lt;1,0,(MONTH(Tabla[[#This Row],[FECHA PAGO / ABONO]])))</f>
        <v>0</v>
      </c>
      <c r="AJ456" s="40" t="n">
        <f aca="false">+IF(Tabla[[#This Row],[FECHA PAGO / ABONO]]&lt;1,0,(YEAR(Tabla[[#This Row],[FECHA PAGO / ABONO]])))</f>
        <v>0</v>
      </c>
      <c r="AK456" s="41"/>
    </row>
    <row r="457" customFormat="false" ht="14.25" hidden="false" customHeight="false" outlineLevel="0" collapsed="false">
      <c r="A457" s="28" t="s">
        <v>78</v>
      </c>
      <c r="B457" s="29" t="s">
        <v>79</v>
      </c>
      <c r="C457" s="29" t="s">
        <v>69</v>
      </c>
      <c r="D457" s="21" t="n">
        <v>109266</v>
      </c>
      <c r="E457" s="21" t="str">
        <f aca="false">+CONCATENATE(Tabla[[#This Row],[RUT]],Tabla[[#This Row],[PROVEEDOR]],Tabla[[#This Row],[FACTURA]])</f>
        <v>96516560-6BIO BIO COMUNICACIONES S.A.109266</v>
      </c>
      <c r="F457" s="57" t="n">
        <v>46107</v>
      </c>
      <c r="G457" s="31" t="n">
        <f aca="false">+F457+30</f>
        <v>46137</v>
      </c>
      <c r="H457" s="29" t="n">
        <f aca="true">+IF(AE457="PAGADA",0,TODAY()-G457)</f>
        <v>67</v>
      </c>
      <c r="I457" s="29" t="str">
        <f aca="false">+IF(H457&gt;180,"Atrasada",IF(H457&gt;150,"150 dias",IF(H457&gt;120,"120 dias",IF(H457&gt;90,"90 dias",IF(H457&gt;60,"60 dias",IF(H457&gt;30,"30 dias","Al Día"))))))</f>
        <v>60 dias</v>
      </c>
      <c r="J457" s="32" t="s">
        <v>80</v>
      </c>
      <c r="K457" s="29" t="s">
        <v>81</v>
      </c>
      <c r="L457" s="33" t="s">
        <v>277</v>
      </c>
      <c r="M457" s="29" t="n">
        <f aca="false">+YEAR(F457)</f>
        <v>2026</v>
      </c>
      <c r="N457" s="29" t="n">
        <v>2026</v>
      </c>
      <c r="O457" s="29" t="n">
        <v>2</v>
      </c>
      <c r="P457" s="29" t="str">
        <f aca="false">+CONCATENATE(Tabla[[#This Row],[MES CAMPAÑA]],"/",Tabla[[#This Row],[AÑO CAMPAÑA]])</f>
        <v>2/2026</v>
      </c>
      <c r="Q457" s="29" t="s">
        <v>105</v>
      </c>
      <c r="R457" s="29"/>
      <c r="S457" s="34" t="n">
        <v>0</v>
      </c>
      <c r="T457" s="34" t="n">
        <v>5700000</v>
      </c>
      <c r="U457" s="34" t="n">
        <v>1083000</v>
      </c>
      <c r="V457" s="29"/>
      <c r="W457" s="35" t="n">
        <v>6783000</v>
      </c>
      <c r="X457" s="36"/>
      <c r="Y457" s="37"/>
      <c r="Z457" s="37"/>
      <c r="AA457" s="37"/>
      <c r="AB457" s="38" t="n">
        <f aca="false">+W457-AC457</f>
        <v>6783000</v>
      </c>
      <c r="AC457" s="34" t="n">
        <f aca="false">+Tabla[[#This Row],[P4]]+Tabla[[#This Row],[P3]]+Tabla[[#This Row],[P2]]+Tabla[[#This Row],[P1]]</f>
        <v>0</v>
      </c>
      <c r="AD457" s="34" t="n">
        <f aca="false">+W457-AC457</f>
        <v>6783000</v>
      </c>
      <c r="AE457" s="21" t="str">
        <f aca="false">IF(AB457&lt;1,"PAGADA","PENDIENTE")</f>
        <v>PENDIENTE</v>
      </c>
      <c r="AF457" s="21"/>
      <c r="AG457" s="29"/>
      <c r="AH457" s="40"/>
      <c r="AI457" s="40" t="n">
        <f aca="false">+IF(Tabla[[#This Row],[FECHA PAGO / ABONO]]&lt;1,0,(MONTH(Tabla[[#This Row],[FECHA PAGO / ABONO]])))</f>
        <v>0</v>
      </c>
      <c r="AJ457" s="40" t="n">
        <f aca="false">+IF(Tabla[[#This Row],[FECHA PAGO / ABONO]]&lt;1,0,(YEAR(Tabla[[#This Row],[FECHA PAGO / ABONO]])))</f>
        <v>0</v>
      </c>
      <c r="AK457" s="41"/>
    </row>
    <row r="458" customFormat="false" ht="14.25" hidden="false" customHeight="false" outlineLevel="0" collapsed="false">
      <c r="A458" s="28" t="s">
        <v>78</v>
      </c>
      <c r="B458" s="29" t="s">
        <v>79</v>
      </c>
      <c r="C458" s="29" t="s">
        <v>69</v>
      </c>
      <c r="D458" s="21" t="n">
        <v>109272</v>
      </c>
      <c r="E458" s="21" t="str">
        <f aca="false">+CONCATENATE(Tabla[[#This Row],[RUT]],Tabla[[#This Row],[PROVEEDOR]],Tabla[[#This Row],[FACTURA]])</f>
        <v>96516560-6BIO BIO COMUNICACIONES S.A.109272</v>
      </c>
      <c r="F458" s="57" t="n">
        <v>46107</v>
      </c>
      <c r="G458" s="31" t="n">
        <f aca="false">+F458+30</f>
        <v>46137</v>
      </c>
      <c r="H458" s="29" t="n">
        <f aca="true">+IF(AE458="PAGADA",0,TODAY()-G458)</f>
        <v>67</v>
      </c>
      <c r="I458" s="29" t="str">
        <f aca="false">+IF(H458&gt;180,"Atrasada",IF(H458&gt;150,"150 dias",IF(H458&gt;120,"120 dias",IF(H458&gt;90,"90 dias",IF(H458&gt;60,"60 dias",IF(H458&gt;30,"30 dias","Al Día"))))))</f>
        <v>60 dias</v>
      </c>
      <c r="J458" s="32" t="s">
        <v>80</v>
      </c>
      <c r="K458" s="29" t="s">
        <v>81</v>
      </c>
      <c r="L458" s="33" t="s">
        <v>277</v>
      </c>
      <c r="M458" s="29" t="n">
        <f aca="false">+YEAR(F458)</f>
        <v>2026</v>
      </c>
      <c r="N458" s="29" t="n">
        <v>2026</v>
      </c>
      <c r="O458" s="29" t="n">
        <v>2</v>
      </c>
      <c r="P458" s="29" t="str">
        <f aca="false">+CONCATENATE(Tabla[[#This Row],[MES CAMPAÑA]],"/",Tabla[[#This Row],[AÑO CAMPAÑA]])</f>
        <v>2/2026</v>
      </c>
      <c r="Q458" s="29" t="s">
        <v>265</v>
      </c>
      <c r="R458" s="29"/>
      <c r="S458" s="34" t="n">
        <v>0</v>
      </c>
      <c r="T458" s="34" t="n">
        <v>264600</v>
      </c>
      <c r="U458" s="34" t="n">
        <v>50274</v>
      </c>
      <c r="V458" s="29"/>
      <c r="W458" s="35" t="n">
        <v>314874</v>
      </c>
      <c r="X458" s="36"/>
      <c r="Y458" s="37"/>
      <c r="Z458" s="37"/>
      <c r="AA458" s="37"/>
      <c r="AB458" s="38" t="n">
        <f aca="false">+W458-AC458</f>
        <v>314874</v>
      </c>
      <c r="AC458" s="34" t="n">
        <f aca="false">+Tabla[[#This Row],[P4]]+Tabla[[#This Row],[P3]]+Tabla[[#This Row],[P2]]+Tabla[[#This Row],[P1]]</f>
        <v>0</v>
      </c>
      <c r="AD458" s="34" t="n">
        <f aca="false">+W458-AC458</f>
        <v>314874</v>
      </c>
      <c r="AE458" s="21" t="str">
        <f aca="false">IF(AB458&lt;1,"PAGADA","PENDIENTE")</f>
        <v>PENDIENTE</v>
      </c>
      <c r="AF458" s="21"/>
      <c r="AG458" s="29"/>
      <c r="AH458" s="40"/>
      <c r="AI458" s="40" t="n">
        <f aca="false">+IF(Tabla[[#This Row],[FECHA PAGO / ABONO]]&lt;1,0,(MONTH(Tabla[[#This Row],[FECHA PAGO / ABONO]])))</f>
        <v>0</v>
      </c>
      <c r="AJ458" s="40" t="n">
        <f aca="false">+IF(Tabla[[#This Row],[FECHA PAGO / ABONO]]&lt;1,0,(YEAR(Tabla[[#This Row],[FECHA PAGO / ABONO]])))</f>
        <v>0</v>
      </c>
      <c r="AK458" s="41"/>
    </row>
    <row r="459" customFormat="false" ht="14.25" hidden="false" customHeight="false" outlineLevel="0" collapsed="false">
      <c r="A459" s="28" t="s">
        <v>78</v>
      </c>
      <c r="B459" s="29" t="s">
        <v>79</v>
      </c>
      <c r="C459" s="29" t="s">
        <v>69</v>
      </c>
      <c r="D459" s="21" t="n">
        <v>109273</v>
      </c>
      <c r="E459" s="21" t="str">
        <f aca="false">+CONCATENATE(Tabla[[#This Row],[RUT]],Tabla[[#This Row],[PROVEEDOR]],Tabla[[#This Row],[FACTURA]])</f>
        <v>96516560-6BIO BIO COMUNICACIONES S.A.109273</v>
      </c>
      <c r="F459" s="57" t="n">
        <v>46107</v>
      </c>
      <c r="G459" s="31" t="n">
        <f aca="false">+F459+30</f>
        <v>46137</v>
      </c>
      <c r="H459" s="29" t="n">
        <f aca="true">+IF(AE459="PAGADA",0,TODAY()-G459)</f>
        <v>67</v>
      </c>
      <c r="I459" s="29" t="str">
        <f aca="false">+IF(H459&gt;180,"Atrasada",IF(H459&gt;150,"150 dias",IF(H459&gt;120,"120 dias",IF(H459&gt;90,"90 dias",IF(H459&gt;60,"60 dias",IF(H459&gt;30,"30 dias","Al Día"))))))</f>
        <v>60 dias</v>
      </c>
      <c r="J459" s="32" t="s">
        <v>80</v>
      </c>
      <c r="K459" s="29" t="s">
        <v>81</v>
      </c>
      <c r="L459" s="33" t="s">
        <v>277</v>
      </c>
      <c r="M459" s="29" t="n">
        <f aca="false">+YEAR(F459)</f>
        <v>2026</v>
      </c>
      <c r="N459" s="29" t="n">
        <v>2026</v>
      </c>
      <c r="O459" s="29" t="n">
        <v>2</v>
      </c>
      <c r="P459" s="29" t="str">
        <f aca="false">+CONCATENATE(Tabla[[#This Row],[MES CAMPAÑA]],"/",Tabla[[#This Row],[AÑO CAMPAÑA]])</f>
        <v>2/2026</v>
      </c>
      <c r="Q459" s="29" t="s">
        <v>265</v>
      </c>
      <c r="R459" s="29"/>
      <c r="S459" s="34" t="n">
        <v>0</v>
      </c>
      <c r="T459" s="34" t="n">
        <v>543200</v>
      </c>
      <c r="U459" s="34" t="n">
        <v>103208</v>
      </c>
      <c r="V459" s="29"/>
      <c r="W459" s="35" t="n">
        <v>646408</v>
      </c>
      <c r="X459" s="36"/>
      <c r="Y459" s="37"/>
      <c r="Z459" s="37"/>
      <c r="AA459" s="37"/>
      <c r="AB459" s="38" t="n">
        <f aca="false">+W459-AC459</f>
        <v>646408</v>
      </c>
      <c r="AC459" s="34" t="n">
        <f aca="false">+Tabla[[#This Row],[P4]]+Tabla[[#This Row],[P3]]+Tabla[[#This Row],[P2]]+Tabla[[#This Row],[P1]]</f>
        <v>0</v>
      </c>
      <c r="AD459" s="34" t="n">
        <f aca="false">+W459-AC459</f>
        <v>646408</v>
      </c>
      <c r="AE459" s="21" t="str">
        <f aca="false">IF(AB459&lt;1,"PAGADA","PENDIENTE")</f>
        <v>PENDIENTE</v>
      </c>
      <c r="AF459" s="21"/>
      <c r="AG459" s="29"/>
      <c r="AH459" s="40"/>
      <c r="AI459" s="40" t="n">
        <f aca="false">+IF(Tabla[[#This Row],[FECHA PAGO / ABONO]]&lt;1,0,(MONTH(Tabla[[#This Row],[FECHA PAGO / ABONO]])))</f>
        <v>0</v>
      </c>
      <c r="AJ459" s="40" t="n">
        <f aca="false">+IF(Tabla[[#This Row],[FECHA PAGO / ABONO]]&lt;1,0,(YEAR(Tabla[[#This Row],[FECHA PAGO / ABONO]])))</f>
        <v>0</v>
      </c>
      <c r="AK459" s="41"/>
    </row>
    <row r="460" customFormat="false" ht="14.25" hidden="false" customHeight="false" outlineLevel="0" collapsed="false">
      <c r="A460" s="28" t="s">
        <v>78</v>
      </c>
      <c r="B460" s="29" t="s">
        <v>79</v>
      </c>
      <c r="C460" s="29" t="s">
        <v>69</v>
      </c>
      <c r="D460" s="21" t="n">
        <v>109274</v>
      </c>
      <c r="E460" s="21" t="str">
        <f aca="false">+CONCATENATE(Tabla[[#This Row],[RUT]],Tabla[[#This Row],[PROVEEDOR]],Tabla[[#This Row],[FACTURA]])</f>
        <v>96516560-6BIO BIO COMUNICACIONES S.A.109274</v>
      </c>
      <c r="F460" s="57" t="n">
        <v>46107</v>
      </c>
      <c r="G460" s="31" t="n">
        <f aca="false">+F460+30</f>
        <v>46137</v>
      </c>
      <c r="H460" s="29" t="n">
        <f aca="true">+IF(AE460="PAGADA",0,TODAY()-G460)</f>
        <v>67</v>
      </c>
      <c r="I460" s="29" t="str">
        <f aca="false">+IF(H460&gt;180,"Atrasada",IF(H460&gt;150,"150 dias",IF(H460&gt;120,"120 dias",IF(H460&gt;90,"90 dias",IF(H460&gt;60,"60 dias",IF(H460&gt;30,"30 dias","Al Día"))))))</f>
        <v>60 dias</v>
      </c>
      <c r="J460" s="32" t="s">
        <v>80</v>
      </c>
      <c r="K460" s="29" t="s">
        <v>81</v>
      </c>
      <c r="L460" s="33" t="s">
        <v>277</v>
      </c>
      <c r="M460" s="29" t="n">
        <f aca="false">+YEAR(F460)</f>
        <v>2026</v>
      </c>
      <c r="N460" s="29" t="n">
        <v>2026</v>
      </c>
      <c r="O460" s="29" t="n">
        <v>2</v>
      </c>
      <c r="P460" s="29" t="str">
        <f aca="false">+CONCATENATE(Tabla[[#This Row],[MES CAMPAÑA]],"/",Tabla[[#This Row],[AÑO CAMPAÑA]])</f>
        <v>2/2026</v>
      </c>
      <c r="Q460" s="29" t="s">
        <v>265</v>
      </c>
      <c r="R460" s="29"/>
      <c r="S460" s="34" t="n">
        <v>0</v>
      </c>
      <c r="T460" s="34" t="n">
        <v>208858</v>
      </c>
      <c r="U460" s="34" t="n">
        <v>39683</v>
      </c>
      <c r="V460" s="29"/>
      <c r="W460" s="35" t="n">
        <v>248541</v>
      </c>
      <c r="X460" s="36"/>
      <c r="Y460" s="37"/>
      <c r="Z460" s="37"/>
      <c r="AA460" s="37"/>
      <c r="AB460" s="38" t="n">
        <f aca="false">+W460-AC460</f>
        <v>248541</v>
      </c>
      <c r="AC460" s="34" t="n">
        <f aca="false">+Tabla[[#This Row],[P4]]+Tabla[[#This Row],[P3]]+Tabla[[#This Row],[P2]]+Tabla[[#This Row],[P1]]</f>
        <v>0</v>
      </c>
      <c r="AD460" s="34" t="n">
        <f aca="false">+W460-AC460</f>
        <v>248541</v>
      </c>
      <c r="AE460" s="21" t="str">
        <f aca="false">IF(AB460&lt;1,"PAGADA","PENDIENTE")</f>
        <v>PENDIENTE</v>
      </c>
      <c r="AF460" s="21"/>
      <c r="AG460" s="29"/>
      <c r="AH460" s="40"/>
      <c r="AI460" s="40" t="n">
        <f aca="false">+IF(Tabla[[#This Row],[FECHA PAGO / ABONO]]&lt;1,0,(MONTH(Tabla[[#This Row],[FECHA PAGO / ABONO]])))</f>
        <v>0</v>
      </c>
      <c r="AJ460" s="40" t="n">
        <f aca="false">+IF(Tabla[[#This Row],[FECHA PAGO / ABONO]]&lt;1,0,(YEAR(Tabla[[#This Row],[FECHA PAGO / ABONO]])))</f>
        <v>0</v>
      </c>
      <c r="AK460" s="41"/>
    </row>
    <row r="461" customFormat="false" ht="14.25" hidden="false" customHeight="false" outlineLevel="0" collapsed="false">
      <c r="A461" s="28" t="s">
        <v>78</v>
      </c>
      <c r="B461" s="29" t="s">
        <v>79</v>
      </c>
      <c r="C461" s="29" t="s">
        <v>69</v>
      </c>
      <c r="D461" s="21" t="n">
        <v>109275</v>
      </c>
      <c r="E461" s="21" t="str">
        <f aca="false">+CONCATENATE(Tabla[[#This Row],[RUT]],Tabla[[#This Row],[PROVEEDOR]],Tabla[[#This Row],[FACTURA]])</f>
        <v>96516560-6BIO BIO COMUNICACIONES S.A.109275</v>
      </c>
      <c r="F461" s="57" t="n">
        <v>46107</v>
      </c>
      <c r="G461" s="31" t="n">
        <f aca="false">+F461+30</f>
        <v>46137</v>
      </c>
      <c r="H461" s="29" t="n">
        <f aca="true">+IF(AE461="PAGADA",0,TODAY()-G461)</f>
        <v>67</v>
      </c>
      <c r="I461" s="29" t="str">
        <f aca="false">+IF(H461&gt;180,"Atrasada",IF(H461&gt;150,"150 dias",IF(H461&gt;120,"120 dias",IF(H461&gt;90,"90 dias",IF(H461&gt;60,"60 dias",IF(H461&gt;30,"30 dias","Al Día"))))))</f>
        <v>60 dias</v>
      </c>
      <c r="J461" s="32" t="s">
        <v>80</v>
      </c>
      <c r="K461" s="29" t="s">
        <v>81</v>
      </c>
      <c r="L461" s="33" t="s">
        <v>277</v>
      </c>
      <c r="M461" s="29" t="n">
        <f aca="false">+YEAR(F461)</f>
        <v>2026</v>
      </c>
      <c r="N461" s="29" t="n">
        <v>2026</v>
      </c>
      <c r="O461" s="29" t="n">
        <v>2</v>
      </c>
      <c r="P461" s="29" t="str">
        <f aca="false">+CONCATENATE(Tabla[[#This Row],[MES CAMPAÑA]],"/",Tabla[[#This Row],[AÑO CAMPAÑA]])</f>
        <v>2/2026</v>
      </c>
      <c r="Q461" s="29" t="s">
        <v>265</v>
      </c>
      <c r="R461" s="29"/>
      <c r="S461" s="34" t="n">
        <v>0</v>
      </c>
      <c r="T461" s="34" t="n">
        <v>388206</v>
      </c>
      <c r="U461" s="34" t="n">
        <v>73759</v>
      </c>
      <c r="V461" s="29"/>
      <c r="W461" s="35" t="n">
        <v>461965</v>
      </c>
      <c r="X461" s="36"/>
      <c r="Y461" s="37"/>
      <c r="Z461" s="37"/>
      <c r="AA461" s="37"/>
      <c r="AB461" s="38" t="n">
        <f aca="false">+W461-AC461</f>
        <v>461965</v>
      </c>
      <c r="AC461" s="34" t="n">
        <f aca="false">+Tabla[[#This Row],[P4]]+Tabla[[#This Row],[P3]]+Tabla[[#This Row],[P2]]+Tabla[[#This Row],[P1]]</f>
        <v>0</v>
      </c>
      <c r="AD461" s="34" t="n">
        <f aca="false">+W461-AC461</f>
        <v>461965</v>
      </c>
      <c r="AE461" s="21" t="str">
        <f aca="false">IF(AB461&lt;1,"PAGADA","PENDIENTE")</f>
        <v>PENDIENTE</v>
      </c>
      <c r="AF461" s="21"/>
      <c r="AG461" s="29"/>
      <c r="AH461" s="40"/>
      <c r="AI461" s="40" t="n">
        <f aca="false">+IF(Tabla[[#This Row],[FECHA PAGO / ABONO]]&lt;1,0,(MONTH(Tabla[[#This Row],[FECHA PAGO / ABONO]])))</f>
        <v>0</v>
      </c>
      <c r="AJ461" s="40" t="n">
        <f aca="false">+IF(Tabla[[#This Row],[FECHA PAGO / ABONO]]&lt;1,0,(YEAR(Tabla[[#This Row],[FECHA PAGO / ABONO]])))</f>
        <v>0</v>
      </c>
      <c r="AK461" s="41"/>
    </row>
    <row r="462" customFormat="false" ht="14.25" hidden="false" customHeight="false" outlineLevel="0" collapsed="false">
      <c r="A462" s="28" t="s">
        <v>78</v>
      </c>
      <c r="B462" s="29" t="s">
        <v>79</v>
      </c>
      <c r="C462" s="29" t="s">
        <v>69</v>
      </c>
      <c r="D462" s="21" t="n">
        <v>109276</v>
      </c>
      <c r="E462" s="21" t="str">
        <f aca="false">+CONCATENATE(Tabla[[#This Row],[RUT]],Tabla[[#This Row],[PROVEEDOR]],Tabla[[#This Row],[FACTURA]])</f>
        <v>96516560-6BIO BIO COMUNICACIONES S.A.109276</v>
      </c>
      <c r="F462" s="57" t="n">
        <v>46107</v>
      </c>
      <c r="G462" s="31" t="n">
        <f aca="false">+F462+30</f>
        <v>46137</v>
      </c>
      <c r="H462" s="29" t="n">
        <f aca="true">+IF(AE462="PAGADA",0,TODAY()-G462)</f>
        <v>67</v>
      </c>
      <c r="I462" s="29" t="str">
        <f aca="false">+IF(H462&gt;180,"Atrasada",IF(H462&gt;150,"150 dias",IF(H462&gt;120,"120 dias",IF(H462&gt;90,"90 dias",IF(H462&gt;60,"60 dias",IF(H462&gt;30,"30 dias","Al Día"))))))</f>
        <v>60 dias</v>
      </c>
      <c r="J462" s="32" t="s">
        <v>80</v>
      </c>
      <c r="K462" s="29" t="s">
        <v>81</v>
      </c>
      <c r="L462" s="33" t="s">
        <v>277</v>
      </c>
      <c r="M462" s="29" t="n">
        <f aca="false">+YEAR(F462)</f>
        <v>2026</v>
      </c>
      <c r="N462" s="29" t="n">
        <v>2026</v>
      </c>
      <c r="O462" s="29" t="n">
        <v>2</v>
      </c>
      <c r="P462" s="29" t="str">
        <f aca="false">+CONCATENATE(Tabla[[#This Row],[MES CAMPAÑA]],"/",Tabla[[#This Row],[AÑO CAMPAÑA]])</f>
        <v>2/2026</v>
      </c>
      <c r="Q462" s="29" t="s">
        <v>296</v>
      </c>
      <c r="R462" s="29"/>
      <c r="S462" s="34" t="n">
        <v>0</v>
      </c>
      <c r="T462" s="34" t="n">
        <v>1143450</v>
      </c>
      <c r="U462" s="34" t="n">
        <v>217256</v>
      </c>
      <c r="V462" s="29"/>
      <c r="W462" s="35" t="n">
        <v>1360706</v>
      </c>
      <c r="X462" s="36"/>
      <c r="Y462" s="37"/>
      <c r="Z462" s="37"/>
      <c r="AA462" s="37"/>
      <c r="AB462" s="38" t="n">
        <f aca="false">+W462-AC462</f>
        <v>1360706</v>
      </c>
      <c r="AC462" s="34" t="n">
        <f aca="false">+Tabla[[#This Row],[P4]]+Tabla[[#This Row],[P3]]+Tabla[[#This Row],[P2]]+Tabla[[#This Row],[P1]]</f>
        <v>0</v>
      </c>
      <c r="AD462" s="34" t="n">
        <f aca="false">+W462-AC462</f>
        <v>1360706</v>
      </c>
      <c r="AE462" s="21" t="str">
        <f aca="false">IF(AB462&lt;1,"PAGADA","PENDIENTE")</f>
        <v>PENDIENTE</v>
      </c>
      <c r="AF462" s="21"/>
      <c r="AG462" s="29"/>
      <c r="AH462" s="40"/>
      <c r="AI462" s="40" t="n">
        <f aca="false">+IF(Tabla[[#This Row],[FECHA PAGO / ABONO]]&lt;1,0,(MONTH(Tabla[[#This Row],[FECHA PAGO / ABONO]])))</f>
        <v>0</v>
      </c>
      <c r="AJ462" s="40" t="n">
        <f aca="false">+IF(Tabla[[#This Row],[FECHA PAGO / ABONO]]&lt;1,0,(YEAR(Tabla[[#This Row],[FECHA PAGO / ABONO]])))</f>
        <v>0</v>
      </c>
      <c r="AK462" s="41"/>
    </row>
    <row r="463" customFormat="false" ht="14.25" hidden="false" customHeight="false" outlineLevel="0" collapsed="false">
      <c r="A463" s="28" t="s">
        <v>169</v>
      </c>
      <c r="B463" s="29" t="s">
        <v>170</v>
      </c>
      <c r="C463" s="29" t="s">
        <v>69</v>
      </c>
      <c r="D463" s="21" t="n">
        <v>33110</v>
      </c>
      <c r="E463" s="21" t="str">
        <f aca="false">+CONCATENATE(Tabla[[#This Row],[RUT]],Tabla[[#This Row],[PROVEEDOR]],Tabla[[#This Row],[FACTURA]])</f>
        <v>78319760-KSOC. RADIO DIFUSORA F.M 102 LTDA.33110</v>
      </c>
      <c r="F463" s="57" t="n">
        <v>46107</v>
      </c>
      <c r="G463" s="31" t="n">
        <f aca="false">+F463+30</f>
        <v>46137</v>
      </c>
      <c r="H463" s="29" t="n">
        <f aca="true">+IF(AE463="PAGADA",0,TODAY()-G463)</f>
        <v>67</v>
      </c>
      <c r="I463" s="29" t="str">
        <f aca="false">+IF(H463&gt;180,"Atrasada",IF(H463&gt;150,"150 dias",IF(H463&gt;120,"120 dias",IF(H463&gt;90,"90 dias",IF(H463&gt;60,"60 dias",IF(H463&gt;30,"30 dias","Al Día"))))))</f>
        <v>60 dias</v>
      </c>
      <c r="J463" s="32" t="s">
        <v>80</v>
      </c>
      <c r="K463" s="29" t="s">
        <v>81</v>
      </c>
      <c r="L463" s="33" t="s">
        <v>277</v>
      </c>
      <c r="M463" s="29" t="n">
        <f aca="false">+YEAR(F463)</f>
        <v>2026</v>
      </c>
      <c r="N463" s="29" t="n">
        <v>2026</v>
      </c>
      <c r="O463" s="29" t="n">
        <v>2</v>
      </c>
      <c r="P463" s="29" t="str">
        <f aca="false">+CONCATENATE(Tabla[[#This Row],[MES CAMPAÑA]],"/",Tabla[[#This Row],[AÑO CAMPAÑA]])</f>
        <v>2/2026</v>
      </c>
      <c r="Q463" s="29" t="s">
        <v>264</v>
      </c>
      <c r="R463" s="29"/>
      <c r="S463" s="34" t="n">
        <v>0</v>
      </c>
      <c r="T463" s="34" t="n">
        <v>603520</v>
      </c>
      <c r="U463" s="34" t="n">
        <v>114669</v>
      </c>
      <c r="V463" s="29"/>
      <c r="W463" s="35" t="n">
        <v>718189</v>
      </c>
      <c r="X463" s="36"/>
      <c r="Y463" s="37"/>
      <c r="Z463" s="37"/>
      <c r="AA463" s="37"/>
      <c r="AB463" s="38" t="n">
        <f aca="false">+W463-AC463</f>
        <v>718189</v>
      </c>
      <c r="AC463" s="34" t="n">
        <f aca="false">+Tabla[[#This Row],[P4]]+Tabla[[#This Row],[P3]]+Tabla[[#This Row],[P2]]+Tabla[[#This Row],[P1]]</f>
        <v>0</v>
      </c>
      <c r="AD463" s="34" t="n">
        <f aca="false">+W463-AC463</f>
        <v>718189</v>
      </c>
      <c r="AE463" s="21" t="str">
        <f aca="false">IF(AB463&lt;1,"PAGADA","PENDIENTE")</f>
        <v>PENDIENTE</v>
      </c>
      <c r="AF463" s="21"/>
      <c r="AG463" s="29"/>
      <c r="AH463" s="40"/>
      <c r="AI463" s="40" t="n">
        <f aca="false">+IF(Tabla[[#This Row],[FECHA PAGO / ABONO]]&lt;1,0,(MONTH(Tabla[[#This Row],[FECHA PAGO / ABONO]])))</f>
        <v>0</v>
      </c>
      <c r="AJ463" s="40" t="n">
        <f aca="false">+IF(Tabla[[#This Row],[FECHA PAGO / ABONO]]&lt;1,0,(YEAR(Tabla[[#This Row],[FECHA PAGO / ABONO]])))</f>
        <v>0</v>
      </c>
      <c r="AK463" s="41"/>
    </row>
    <row r="464" customFormat="false" ht="14.25" hidden="false" customHeight="false" outlineLevel="0" collapsed="false">
      <c r="A464" s="28" t="s">
        <v>169</v>
      </c>
      <c r="B464" s="29" t="s">
        <v>170</v>
      </c>
      <c r="C464" s="29" t="s">
        <v>69</v>
      </c>
      <c r="D464" s="21" t="n">
        <v>33111</v>
      </c>
      <c r="E464" s="21" t="str">
        <f aca="false">+CONCATENATE(Tabla[[#This Row],[RUT]],Tabla[[#This Row],[PROVEEDOR]],Tabla[[#This Row],[FACTURA]])</f>
        <v>78319760-KSOC. RADIO DIFUSORA F.M 102 LTDA.33111</v>
      </c>
      <c r="F464" s="57" t="n">
        <v>46107</v>
      </c>
      <c r="G464" s="31" t="n">
        <f aca="false">+F464+30</f>
        <v>46137</v>
      </c>
      <c r="H464" s="29" t="n">
        <f aca="true">+IF(AE464="PAGADA",0,TODAY()-G464)</f>
        <v>67</v>
      </c>
      <c r="I464" s="29" t="str">
        <f aca="false">+IF(H464&gt;180,"Atrasada",IF(H464&gt;150,"150 dias",IF(H464&gt;120,"120 dias",IF(H464&gt;90,"90 dias",IF(H464&gt;60,"60 dias",IF(H464&gt;30,"30 dias","Al Día"))))))</f>
        <v>60 dias</v>
      </c>
      <c r="J464" s="32" t="s">
        <v>80</v>
      </c>
      <c r="K464" s="29" t="s">
        <v>81</v>
      </c>
      <c r="L464" s="33" t="s">
        <v>277</v>
      </c>
      <c r="M464" s="29" t="n">
        <f aca="false">+YEAR(F464)</f>
        <v>2026</v>
      </c>
      <c r="N464" s="29" t="n">
        <v>2026</v>
      </c>
      <c r="O464" s="29" t="n">
        <v>2</v>
      </c>
      <c r="P464" s="29" t="str">
        <f aca="false">+CONCATENATE(Tabla[[#This Row],[MES CAMPAÑA]],"/",Tabla[[#This Row],[AÑO CAMPAÑA]])</f>
        <v>2/2026</v>
      </c>
      <c r="Q464" s="29" t="s">
        <v>264</v>
      </c>
      <c r="R464" s="29"/>
      <c r="S464" s="34" t="n">
        <v>0</v>
      </c>
      <c r="T464" s="34" t="n">
        <v>568008</v>
      </c>
      <c r="U464" s="34" t="n">
        <v>107922</v>
      </c>
      <c r="V464" s="29"/>
      <c r="W464" s="35" t="n">
        <v>675930</v>
      </c>
      <c r="X464" s="36"/>
      <c r="Y464" s="37"/>
      <c r="Z464" s="37"/>
      <c r="AA464" s="37"/>
      <c r="AB464" s="38" t="n">
        <f aca="false">+W464-AC464</f>
        <v>675930</v>
      </c>
      <c r="AC464" s="34" t="n">
        <f aca="false">+Tabla[[#This Row],[P4]]+Tabla[[#This Row],[P3]]+Tabla[[#This Row],[P2]]+Tabla[[#This Row],[P1]]</f>
        <v>0</v>
      </c>
      <c r="AD464" s="34" t="n">
        <f aca="false">+W464-AC464</f>
        <v>675930</v>
      </c>
      <c r="AE464" s="21" t="str">
        <f aca="false">IF(AB464&lt;1,"PAGADA","PENDIENTE")</f>
        <v>PENDIENTE</v>
      </c>
      <c r="AF464" s="21"/>
      <c r="AG464" s="29"/>
      <c r="AH464" s="40"/>
      <c r="AI464" s="40" t="n">
        <f aca="false">+IF(Tabla[[#This Row],[FECHA PAGO / ABONO]]&lt;1,0,(MONTH(Tabla[[#This Row],[FECHA PAGO / ABONO]])))</f>
        <v>0</v>
      </c>
      <c r="AJ464" s="40" t="n">
        <f aca="false">+IF(Tabla[[#This Row],[FECHA PAGO / ABONO]]&lt;1,0,(YEAR(Tabla[[#This Row],[FECHA PAGO / ABONO]])))</f>
        <v>0</v>
      </c>
      <c r="AK464" s="41"/>
    </row>
    <row r="465" customFormat="false" ht="14.25" hidden="false" customHeight="false" outlineLevel="0" collapsed="false">
      <c r="A465" s="28" t="s">
        <v>275</v>
      </c>
      <c r="B465" s="29" t="s">
        <v>276</v>
      </c>
      <c r="C465" s="29" t="s">
        <v>69</v>
      </c>
      <c r="D465" s="21" t="n">
        <v>145344</v>
      </c>
      <c r="E465" s="21" t="str">
        <f aca="false">+CONCATENATE(Tabla[[#This Row],[RUT]],Tabla[[#This Row],[PROVEEDOR]],Tabla[[#This Row],[FACTURA]])</f>
        <v>76047103-8Gestion Regional de Medios S.A.145344</v>
      </c>
      <c r="F465" s="57" t="n">
        <v>46107</v>
      </c>
      <c r="G465" s="31" t="n">
        <f aca="false">+F465+30</f>
        <v>46137</v>
      </c>
      <c r="H465" s="29" t="n">
        <f aca="true">+IF(AE465="PAGADA",0,TODAY()-G465)</f>
        <v>0</v>
      </c>
      <c r="I465" s="29" t="str">
        <f aca="false">+IF(H465&gt;180,"Atrasada",IF(H465&gt;150,"150 dias",IF(H465&gt;120,"120 dias",IF(H465&gt;90,"90 dias",IF(H465&gt;60,"60 dias",IF(H465&gt;30,"30 dias","Al Día"))))))</f>
        <v>Al Día</v>
      </c>
      <c r="J465" s="32" t="s">
        <v>80</v>
      </c>
      <c r="K465" s="29" t="s">
        <v>81</v>
      </c>
      <c r="L465" s="33" t="s">
        <v>277</v>
      </c>
      <c r="M465" s="29" t="n">
        <f aca="false">+YEAR(F465)</f>
        <v>2026</v>
      </c>
      <c r="N465" s="29" t="n">
        <v>2026</v>
      </c>
      <c r="O465" s="29" t="n">
        <v>2</v>
      </c>
      <c r="P465" s="29" t="str">
        <f aca="false">+CONCATENATE(Tabla[[#This Row],[MES CAMPAÑA]],"/",Tabla[[#This Row],[AÑO CAMPAÑA]])</f>
        <v>2/2026</v>
      </c>
      <c r="Q465" s="29" t="s">
        <v>265</v>
      </c>
      <c r="R465" s="29"/>
      <c r="S465" s="34" t="n">
        <v>0</v>
      </c>
      <c r="T465" s="34" t="n">
        <v>450000</v>
      </c>
      <c r="U465" s="34" t="n">
        <v>85500</v>
      </c>
      <c r="V465" s="29"/>
      <c r="W465" s="35" t="n">
        <v>535500</v>
      </c>
      <c r="X465" s="36" t="n">
        <f aca="false">+Tabla[[#This Row],[TOTAL]]</f>
        <v>535500</v>
      </c>
      <c r="Y465" s="37"/>
      <c r="Z465" s="37"/>
      <c r="AA465" s="37"/>
      <c r="AB465" s="38" t="n">
        <f aca="false">+W465-AC465</f>
        <v>0</v>
      </c>
      <c r="AC465" s="34" t="n">
        <f aca="false">+Tabla[[#This Row],[P4]]+Tabla[[#This Row],[P3]]+Tabla[[#This Row],[P2]]+Tabla[[#This Row],[P1]]</f>
        <v>535500</v>
      </c>
      <c r="AD465" s="34" t="n">
        <f aca="false">+W465-AC465</f>
        <v>0</v>
      </c>
      <c r="AE465" s="21" t="str">
        <f aca="false">IF(AB465&lt;1,"PAGADA","PENDIENTE")</f>
        <v>PAGADA</v>
      </c>
      <c r="AF465" s="21" t="s">
        <v>278</v>
      </c>
      <c r="AG465" s="29" t="s">
        <v>77</v>
      </c>
      <c r="AH465" s="39" t="n">
        <v>46190</v>
      </c>
      <c r="AI465" s="40" t="n">
        <f aca="false">+IF(Tabla[[#This Row],[FECHA PAGO / ABONO]]&lt;1,0,(MONTH(Tabla[[#This Row],[FECHA PAGO / ABONO]])))</f>
        <v>6</v>
      </c>
      <c r="AJ465" s="40" t="n">
        <f aca="false">+IF(Tabla[[#This Row],[FECHA PAGO / ABONO]]&lt;1,0,(YEAR(Tabla[[#This Row],[FECHA PAGO / ABONO]])))</f>
        <v>2026</v>
      </c>
      <c r="AK465" s="41"/>
    </row>
    <row r="466" customFormat="false" ht="14.25" hidden="false" customHeight="false" outlineLevel="0" collapsed="false">
      <c r="A466" s="28" t="s">
        <v>275</v>
      </c>
      <c r="B466" s="29" t="s">
        <v>276</v>
      </c>
      <c r="C466" s="29" t="s">
        <v>69</v>
      </c>
      <c r="D466" s="21" t="n">
        <v>145345</v>
      </c>
      <c r="E466" s="21" t="str">
        <f aca="false">+CONCATENATE(Tabla[[#This Row],[RUT]],Tabla[[#This Row],[PROVEEDOR]],Tabla[[#This Row],[FACTURA]])</f>
        <v>76047103-8Gestion Regional de Medios S.A.145345</v>
      </c>
      <c r="F466" s="57" t="n">
        <v>46107</v>
      </c>
      <c r="G466" s="31" t="n">
        <f aca="false">+F466+30</f>
        <v>46137</v>
      </c>
      <c r="H466" s="29" t="n">
        <f aca="true">+IF(AE466="PAGADA",0,TODAY()-G466)</f>
        <v>0</v>
      </c>
      <c r="I466" s="29" t="str">
        <f aca="false">+IF(H466&gt;180,"Atrasada",IF(H466&gt;150,"150 dias",IF(H466&gt;120,"120 dias",IF(H466&gt;90,"90 dias",IF(H466&gt;60,"60 dias",IF(H466&gt;30,"30 dias","Al Día"))))))</f>
        <v>Al Día</v>
      </c>
      <c r="J466" s="32" t="s">
        <v>80</v>
      </c>
      <c r="K466" s="29" t="s">
        <v>81</v>
      </c>
      <c r="L466" s="33" t="s">
        <v>277</v>
      </c>
      <c r="M466" s="29" t="n">
        <f aca="false">+YEAR(F466)</f>
        <v>2026</v>
      </c>
      <c r="N466" s="29" t="n">
        <v>2026</v>
      </c>
      <c r="O466" s="29" t="n">
        <v>2</v>
      </c>
      <c r="P466" s="29" t="str">
        <f aca="false">+CONCATENATE(Tabla[[#This Row],[MES CAMPAÑA]],"/",Tabla[[#This Row],[AÑO CAMPAÑA]])</f>
        <v>2/2026</v>
      </c>
      <c r="Q466" s="29" t="s">
        <v>265</v>
      </c>
      <c r="R466" s="29"/>
      <c r="S466" s="34" t="n">
        <v>0</v>
      </c>
      <c r="T466" s="34" t="n">
        <v>450000</v>
      </c>
      <c r="U466" s="34" t="n">
        <v>85500</v>
      </c>
      <c r="V466" s="29"/>
      <c r="W466" s="35" t="n">
        <v>535500</v>
      </c>
      <c r="X466" s="36" t="n">
        <f aca="false">+Tabla[[#This Row],[TOTAL]]</f>
        <v>535500</v>
      </c>
      <c r="Y466" s="37"/>
      <c r="Z466" s="37"/>
      <c r="AA466" s="37"/>
      <c r="AB466" s="38" t="n">
        <f aca="false">+W466-AC466</f>
        <v>0</v>
      </c>
      <c r="AC466" s="34" t="n">
        <f aca="false">+Tabla[[#This Row],[P4]]+Tabla[[#This Row],[P3]]+Tabla[[#This Row],[P2]]+Tabla[[#This Row],[P1]]</f>
        <v>535500</v>
      </c>
      <c r="AD466" s="34" t="n">
        <f aca="false">+W466-AC466</f>
        <v>0</v>
      </c>
      <c r="AE466" s="21" t="str">
        <f aca="false">IF(AB466&lt;1,"PAGADA","PENDIENTE")</f>
        <v>PAGADA</v>
      </c>
      <c r="AF466" s="21" t="s">
        <v>278</v>
      </c>
      <c r="AG466" s="29" t="s">
        <v>77</v>
      </c>
      <c r="AH466" s="39" t="n">
        <v>46190</v>
      </c>
      <c r="AI466" s="40" t="n">
        <f aca="false">+IF(Tabla[[#This Row],[FECHA PAGO / ABONO]]&lt;1,0,(MONTH(Tabla[[#This Row],[FECHA PAGO / ABONO]])))</f>
        <v>6</v>
      </c>
      <c r="AJ466" s="40" t="n">
        <f aca="false">+IF(Tabla[[#This Row],[FECHA PAGO / ABONO]]&lt;1,0,(YEAR(Tabla[[#This Row],[FECHA PAGO / ABONO]])))</f>
        <v>2026</v>
      </c>
      <c r="AK466" s="41"/>
    </row>
    <row r="467" customFormat="false" ht="14.25" hidden="false" customHeight="false" outlineLevel="0" collapsed="false">
      <c r="A467" s="28" t="s">
        <v>275</v>
      </c>
      <c r="B467" s="29" t="s">
        <v>276</v>
      </c>
      <c r="C467" s="29" t="s">
        <v>69</v>
      </c>
      <c r="D467" s="21" t="n">
        <v>145346</v>
      </c>
      <c r="E467" s="21" t="str">
        <f aca="false">+CONCATENATE(Tabla[[#This Row],[RUT]],Tabla[[#This Row],[PROVEEDOR]],Tabla[[#This Row],[FACTURA]])</f>
        <v>76047103-8Gestion Regional de Medios S.A.145346</v>
      </c>
      <c r="F467" s="57" t="n">
        <v>46107</v>
      </c>
      <c r="G467" s="31" t="n">
        <f aca="false">+F467+30</f>
        <v>46137</v>
      </c>
      <c r="H467" s="29" t="n">
        <f aca="true">+IF(AE467="PAGADA",0,TODAY()-G467)</f>
        <v>0</v>
      </c>
      <c r="I467" s="29" t="str">
        <f aca="false">+IF(H467&gt;180,"Atrasada",IF(H467&gt;150,"150 dias",IF(H467&gt;120,"120 dias",IF(H467&gt;90,"90 dias",IF(H467&gt;60,"60 dias",IF(H467&gt;30,"30 dias","Al Día"))))))</f>
        <v>Al Día</v>
      </c>
      <c r="J467" s="32" t="s">
        <v>80</v>
      </c>
      <c r="K467" s="29" t="s">
        <v>81</v>
      </c>
      <c r="L467" s="33" t="s">
        <v>277</v>
      </c>
      <c r="M467" s="29" t="n">
        <f aca="false">+YEAR(F467)</f>
        <v>2026</v>
      </c>
      <c r="N467" s="29" t="n">
        <v>2026</v>
      </c>
      <c r="O467" s="29" t="n">
        <v>2</v>
      </c>
      <c r="P467" s="29" t="str">
        <f aca="false">+CONCATENATE(Tabla[[#This Row],[MES CAMPAÑA]],"/",Tabla[[#This Row],[AÑO CAMPAÑA]])</f>
        <v>2/2026</v>
      </c>
      <c r="Q467" s="29" t="s">
        <v>265</v>
      </c>
      <c r="R467" s="29"/>
      <c r="S467" s="34" t="n">
        <v>0</v>
      </c>
      <c r="T467" s="34" t="n">
        <v>250000</v>
      </c>
      <c r="U467" s="34" t="n">
        <v>47500</v>
      </c>
      <c r="V467" s="29"/>
      <c r="W467" s="35" t="n">
        <v>297500</v>
      </c>
      <c r="X467" s="36" t="n">
        <f aca="false">+Tabla[[#This Row],[TOTAL]]</f>
        <v>297500</v>
      </c>
      <c r="Y467" s="37"/>
      <c r="Z467" s="37"/>
      <c r="AA467" s="37"/>
      <c r="AB467" s="38" t="n">
        <f aca="false">+W467-AC467</f>
        <v>0</v>
      </c>
      <c r="AC467" s="34" t="n">
        <f aca="false">+Tabla[[#This Row],[P4]]+Tabla[[#This Row],[P3]]+Tabla[[#This Row],[P2]]+Tabla[[#This Row],[P1]]</f>
        <v>297500</v>
      </c>
      <c r="AD467" s="34" t="n">
        <f aca="false">+W467-AC467</f>
        <v>0</v>
      </c>
      <c r="AE467" s="21" t="str">
        <f aca="false">IF(AB467&lt;1,"PAGADA","PENDIENTE")</f>
        <v>PAGADA</v>
      </c>
      <c r="AF467" s="21" t="s">
        <v>278</v>
      </c>
      <c r="AG467" s="29" t="s">
        <v>77</v>
      </c>
      <c r="AH467" s="39" t="n">
        <v>46190</v>
      </c>
      <c r="AI467" s="40" t="n">
        <f aca="false">+IF(Tabla[[#This Row],[FECHA PAGO / ABONO]]&lt;1,0,(MONTH(Tabla[[#This Row],[FECHA PAGO / ABONO]])))</f>
        <v>6</v>
      </c>
      <c r="AJ467" s="40" t="n">
        <f aca="false">+IF(Tabla[[#This Row],[FECHA PAGO / ABONO]]&lt;1,0,(YEAR(Tabla[[#This Row],[FECHA PAGO / ABONO]])))</f>
        <v>2026</v>
      </c>
      <c r="AK467" s="41"/>
    </row>
    <row r="468" customFormat="false" ht="14.25" hidden="false" customHeight="false" outlineLevel="0" collapsed="false">
      <c r="A468" s="28" t="s">
        <v>275</v>
      </c>
      <c r="B468" s="29" t="s">
        <v>276</v>
      </c>
      <c r="C468" s="29" t="s">
        <v>69</v>
      </c>
      <c r="D468" s="21" t="n">
        <v>145347</v>
      </c>
      <c r="E468" s="21" t="str">
        <f aca="false">+CONCATENATE(Tabla[[#This Row],[RUT]],Tabla[[#This Row],[PROVEEDOR]],Tabla[[#This Row],[FACTURA]])</f>
        <v>76047103-8Gestion Regional de Medios S.A.145347</v>
      </c>
      <c r="F468" s="57" t="n">
        <v>46107</v>
      </c>
      <c r="G468" s="31" t="n">
        <f aca="false">+F468+30</f>
        <v>46137</v>
      </c>
      <c r="H468" s="29" t="n">
        <f aca="true">+IF(AE468="PAGADA",0,TODAY()-G468)</f>
        <v>0</v>
      </c>
      <c r="I468" s="29" t="str">
        <f aca="false">+IF(H468&gt;180,"Atrasada",IF(H468&gt;150,"150 dias",IF(H468&gt;120,"120 dias",IF(H468&gt;90,"90 dias",IF(H468&gt;60,"60 dias",IF(H468&gt;30,"30 dias","Al Día"))))))</f>
        <v>Al Día</v>
      </c>
      <c r="J468" s="32" t="s">
        <v>80</v>
      </c>
      <c r="K468" s="29" t="s">
        <v>81</v>
      </c>
      <c r="L468" s="33" t="s">
        <v>277</v>
      </c>
      <c r="M468" s="29" t="n">
        <f aca="false">+YEAR(F468)</f>
        <v>2026</v>
      </c>
      <c r="N468" s="29" t="n">
        <v>2026</v>
      </c>
      <c r="O468" s="29" t="n">
        <v>2</v>
      </c>
      <c r="P468" s="29" t="str">
        <f aca="false">+CONCATENATE(Tabla[[#This Row],[MES CAMPAÑA]],"/",Tabla[[#This Row],[AÑO CAMPAÑA]])</f>
        <v>2/2026</v>
      </c>
      <c r="Q468" s="29" t="s">
        <v>265</v>
      </c>
      <c r="R468" s="29"/>
      <c r="S468" s="34" t="n">
        <v>0</v>
      </c>
      <c r="T468" s="34" t="n">
        <v>400000</v>
      </c>
      <c r="U468" s="34" t="n">
        <v>76000</v>
      </c>
      <c r="V468" s="29"/>
      <c r="W468" s="35" t="n">
        <v>476000</v>
      </c>
      <c r="X468" s="36" t="n">
        <f aca="false">+Tabla[[#This Row],[TOTAL]]</f>
        <v>476000</v>
      </c>
      <c r="Y468" s="37"/>
      <c r="Z468" s="37"/>
      <c r="AA468" s="37"/>
      <c r="AB468" s="38" t="n">
        <f aca="false">+W468-AC468</f>
        <v>0</v>
      </c>
      <c r="AC468" s="34" t="n">
        <f aca="false">+Tabla[[#This Row],[P4]]+Tabla[[#This Row],[P3]]+Tabla[[#This Row],[P2]]+Tabla[[#This Row],[P1]]</f>
        <v>476000</v>
      </c>
      <c r="AD468" s="34" t="n">
        <f aca="false">+W468-AC468</f>
        <v>0</v>
      </c>
      <c r="AE468" s="21" t="str">
        <f aca="false">IF(AB468&lt;1,"PAGADA","PENDIENTE")</f>
        <v>PAGADA</v>
      </c>
      <c r="AF468" s="21" t="s">
        <v>278</v>
      </c>
      <c r="AG468" s="29" t="s">
        <v>77</v>
      </c>
      <c r="AH468" s="39" t="n">
        <v>46190</v>
      </c>
      <c r="AI468" s="40" t="n">
        <f aca="false">+IF(Tabla[[#This Row],[FECHA PAGO / ABONO]]&lt;1,0,(MONTH(Tabla[[#This Row],[FECHA PAGO / ABONO]])))</f>
        <v>6</v>
      </c>
      <c r="AJ468" s="40" t="n">
        <f aca="false">+IF(Tabla[[#This Row],[FECHA PAGO / ABONO]]&lt;1,0,(YEAR(Tabla[[#This Row],[FECHA PAGO / ABONO]])))</f>
        <v>2026</v>
      </c>
      <c r="AK468" s="41"/>
    </row>
    <row r="469" customFormat="false" ht="14.25" hidden="false" customHeight="false" outlineLevel="0" collapsed="false">
      <c r="A469" s="28" t="s">
        <v>275</v>
      </c>
      <c r="B469" s="29" t="s">
        <v>276</v>
      </c>
      <c r="C469" s="29" t="s">
        <v>69</v>
      </c>
      <c r="D469" s="21" t="n">
        <v>145348</v>
      </c>
      <c r="E469" s="21" t="str">
        <f aca="false">+CONCATENATE(Tabla[[#This Row],[RUT]],Tabla[[#This Row],[PROVEEDOR]],Tabla[[#This Row],[FACTURA]])</f>
        <v>76047103-8Gestion Regional de Medios S.A.145348</v>
      </c>
      <c r="F469" s="57" t="n">
        <v>46107</v>
      </c>
      <c r="G469" s="31" t="n">
        <f aca="false">+F469+30</f>
        <v>46137</v>
      </c>
      <c r="H469" s="29" t="n">
        <f aca="true">+IF(AE469="PAGADA",0,TODAY()-G469)</f>
        <v>0</v>
      </c>
      <c r="I469" s="29" t="str">
        <f aca="false">+IF(H469&gt;180,"Atrasada",IF(H469&gt;150,"150 dias",IF(H469&gt;120,"120 dias",IF(H469&gt;90,"90 dias",IF(H469&gt;60,"60 dias",IF(H469&gt;30,"30 dias","Al Día"))))))</f>
        <v>Al Día</v>
      </c>
      <c r="J469" s="32" t="s">
        <v>80</v>
      </c>
      <c r="K469" s="29" t="s">
        <v>81</v>
      </c>
      <c r="L469" s="33" t="s">
        <v>277</v>
      </c>
      <c r="M469" s="29" t="n">
        <f aca="false">+YEAR(F469)</f>
        <v>2026</v>
      </c>
      <c r="N469" s="29" t="n">
        <v>2026</v>
      </c>
      <c r="O469" s="29" t="n">
        <v>2</v>
      </c>
      <c r="P469" s="29" t="str">
        <f aca="false">+CONCATENATE(Tabla[[#This Row],[MES CAMPAÑA]],"/",Tabla[[#This Row],[AÑO CAMPAÑA]])</f>
        <v>2/2026</v>
      </c>
      <c r="Q469" s="29" t="s">
        <v>265</v>
      </c>
      <c r="R469" s="29"/>
      <c r="S469" s="34" t="n">
        <v>0</v>
      </c>
      <c r="T469" s="34" t="n">
        <v>400000</v>
      </c>
      <c r="U469" s="34" t="n">
        <v>76000</v>
      </c>
      <c r="V469" s="29"/>
      <c r="W469" s="35" t="n">
        <v>476000</v>
      </c>
      <c r="X469" s="36" t="n">
        <f aca="false">+Tabla[[#This Row],[TOTAL]]</f>
        <v>476000</v>
      </c>
      <c r="Y469" s="37"/>
      <c r="Z469" s="37"/>
      <c r="AA469" s="37"/>
      <c r="AB469" s="38" t="n">
        <f aca="false">+W469-AC469</f>
        <v>0</v>
      </c>
      <c r="AC469" s="34" t="n">
        <f aca="false">+Tabla[[#This Row],[P4]]+Tabla[[#This Row],[P3]]+Tabla[[#This Row],[P2]]+Tabla[[#This Row],[P1]]</f>
        <v>476000</v>
      </c>
      <c r="AD469" s="34" t="n">
        <f aca="false">+W469-AC469</f>
        <v>0</v>
      </c>
      <c r="AE469" s="21" t="str">
        <f aca="false">IF(AB469&lt;1,"PAGADA","PENDIENTE")</f>
        <v>PAGADA</v>
      </c>
      <c r="AF469" s="21" t="s">
        <v>278</v>
      </c>
      <c r="AG469" s="29" t="s">
        <v>77</v>
      </c>
      <c r="AH469" s="39" t="n">
        <v>46190</v>
      </c>
      <c r="AI469" s="40" t="n">
        <f aca="false">+IF(Tabla[[#This Row],[FECHA PAGO / ABONO]]&lt;1,0,(MONTH(Tabla[[#This Row],[FECHA PAGO / ABONO]])))</f>
        <v>6</v>
      </c>
      <c r="AJ469" s="40" t="n">
        <f aca="false">+IF(Tabla[[#This Row],[FECHA PAGO / ABONO]]&lt;1,0,(YEAR(Tabla[[#This Row],[FECHA PAGO / ABONO]])))</f>
        <v>2026</v>
      </c>
      <c r="AK469" s="41"/>
    </row>
    <row r="470" customFormat="false" ht="14.25" hidden="false" customHeight="false" outlineLevel="0" collapsed="false">
      <c r="A470" s="28" t="s">
        <v>275</v>
      </c>
      <c r="B470" s="29" t="s">
        <v>276</v>
      </c>
      <c r="C470" s="29" t="s">
        <v>69</v>
      </c>
      <c r="D470" s="21" t="n">
        <v>145349</v>
      </c>
      <c r="E470" s="21" t="str">
        <f aca="false">+CONCATENATE(Tabla[[#This Row],[RUT]],Tabla[[#This Row],[PROVEEDOR]],Tabla[[#This Row],[FACTURA]])</f>
        <v>76047103-8Gestion Regional de Medios S.A.145349</v>
      </c>
      <c r="F470" s="57" t="n">
        <v>46107</v>
      </c>
      <c r="G470" s="31" t="n">
        <f aca="false">+F470+30</f>
        <v>46137</v>
      </c>
      <c r="H470" s="29" t="n">
        <f aca="true">+IF(AE470="PAGADA",0,TODAY()-G470)</f>
        <v>0</v>
      </c>
      <c r="I470" s="29" t="str">
        <f aca="false">+IF(H470&gt;180,"Atrasada",IF(H470&gt;150,"150 dias",IF(H470&gt;120,"120 dias",IF(H470&gt;90,"90 dias",IF(H470&gt;60,"60 dias",IF(H470&gt;30,"30 dias","Al Día"))))))</f>
        <v>Al Día</v>
      </c>
      <c r="J470" s="32" t="s">
        <v>80</v>
      </c>
      <c r="K470" s="29" t="s">
        <v>81</v>
      </c>
      <c r="L470" s="33" t="s">
        <v>277</v>
      </c>
      <c r="M470" s="29" t="n">
        <f aca="false">+YEAR(F470)</f>
        <v>2026</v>
      </c>
      <c r="N470" s="29" t="n">
        <v>2026</v>
      </c>
      <c r="O470" s="29" t="n">
        <v>2</v>
      </c>
      <c r="P470" s="29" t="str">
        <f aca="false">+CONCATENATE(Tabla[[#This Row],[MES CAMPAÑA]],"/",Tabla[[#This Row],[AÑO CAMPAÑA]])</f>
        <v>2/2026</v>
      </c>
      <c r="Q470" s="29" t="s">
        <v>265</v>
      </c>
      <c r="R470" s="29"/>
      <c r="S470" s="34" t="n">
        <v>0</v>
      </c>
      <c r="T470" s="34" t="n">
        <v>400000</v>
      </c>
      <c r="U470" s="34" t="n">
        <v>76000</v>
      </c>
      <c r="V470" s="29"/>
      <c r="W470" s="35" t="n">
        <v>476000</v>
      </c>
      <c r="X470" s="36" t="n">
        <f aca="false">+Tabla[[#This Row],[TOTAL]]</f>
        <v>476000</v>
      </c>
      <c r="Y470" s="37"/>
      <c r="Z470" s="37"/>
      <c r="AA470" s="37"/>
      <c r="AB470" s="38" t="n">
        <f aca="false">+W470-AC470</f>
        <v>0</v>
      </c>
      <c r="AC470" s="34" t="n">
        <f aca="false">+Tabla[[#This Row],[P4]]+Tabla[[#This Row],[P3]]+Tabla[[#This Row],[P2]]+Tabla[[#This Row],[P1]]</f>
        <v>476000</v>
      </c>
      <c r="AD470" s="34" t="n">
        <f aca="false">+W470-AC470</f>
        <v>0</v>
      </c>
      <c r="AE470" s="21" t="str">
        <f aca="false">IF(AB470&lt;1,"PAGADA","PENDIENTE")</f>
        <v>PAGADA</v>
      </c>
      <c r="AF470" s="21" t="s">
        <v>278</v>
      </c>
      <c r="AG470" s="29" t="s">
        <v>77</v>
      </c>
      <c r="AH470" s="39" t="n">
        <v>46190</v>
      </c>
      <c r="AI470" s="40" t="n">
        <f aca="false">+IF(Tabla[[#This Row],[FECHA PAGO / ABONO]]&lt;1,0,(MONTH(Tabla[[#This Row],[FECHA PAGO / ABONO]])))</f>
        <v>6</v>
      </c>
      <c r="AJ470" s="40" t="n">
        <f aca="false">+IF(Tabla[[#This Row],[FECHA PAGO / ABONO]]&lt;1,0,(YEAR(Tabla[[#This Row],[FECHA PAGO / ABONO]])))</f>
        <v>2026</v>
      </c>
      <c r="AK470" s="41"/>
    </row>
    <row r="471" customFormat="false" ht="14.25" hidden="false" customHeight="false" outlineLevel="0" collapsed="false">
      <c r="A471" s="28" t="s">
        <v>275</v>
      </c>
      <c r="B471" s="29" t="s">
        <v>276</v>
      </c>
      <c r="C471" s="29" t="s">
        <v>69</v>
      </c>
      <c r="D471" s="21" t="n">
        <v>145350</v>
      </c>
      <c r="E471" s="21" t="str">
        <f aca="false">+CONCATENATE(Tabla[[#This Row],[RUT]],Tabla[[#This Row],[PROVEEDOR]],Tabla[[#This Row],[FACTURA]])</f>
        <v>76047103-8Gestion Regional de Medios S.A.145350</v>
      </c>
      <c r="F471" s="57" t="n">
        <v>46107</v>
      </c>
      <c r="G471" s="31" t="n">
        <f aca="false">+F471+30</f>
        <v>46137</v>
      </c>
      <c r="H471" s="29" t="n">
        <f aca="true">+IF(AE471="PAGADA",0,TODAY()-G471)</f>
        <v>0</v>
      </c>
      <c r="I471" s="29" t="str">
        <f aca="false">+IF(H471&gt;180,"Atrasada",IF(H471&gt;150,"150 dias",IF(H471&gt;120,"120 dias",IF(H471&gt;90,"90 dias",IF(H471&gt;60,"60 dias",IF(H471&gt;30,"30 dias","Al Día"))))))</f>
        <v>Al Día</v>
      </c>
      <c r="J471" s="32" t="s">
        <v>80</v>
      </c>
      <c r="K471" s="29" t="s">
        <v>81</v>
      </c>
      <c r="L471" s="33" t="s">
        <v>277</v>
      </c>
      <c r="M471" s="29" t="n">
        <f aca="false">+YEAR(F471)</f>
        <v>2026</v>
      </c>
      <c r="N471" s="29" t="n">
        <v>2026</v>
      </c>
      <c r="O471" s="29" t="n">
        <v>2</v>
      </c>
      <c r="P471" s="29" t="str">
        <f aca="false">+CONCATENATE(Tabla[[#This Row],[MES CAMPAÑA]],"/",Tabla[[#This Row],[AÑO CAMPAÑA]])</f>
        <v>2/2026</v>
      </c>
      <c r="Q471" s="29" t="s">
        <v>265</v>
      </c>
      <c r="R471" s="29"/>
      <c r="S471" s="34" t="n">
        <v>0</v>
      </c>
      <c r="T471" s="34" t="n">
        <v>400000</v>
      </c>
      <c r="U471" s="34" t="n">
        <v>76000</v>
      </c>
      <c r="V471" s="29"/>
      <c r="W471" s="35" t="n">
        <v>476000</v>
      </c>
      <c r="X471" s="36" t="n">
        <f aca="false">+Tabla[[#This Row],[TOTAL]]</f>
        <v>476000</v>
      </c>
      <c r="Y471" s="37"/>
      <c r="Z471" s="37"/>
      <c r="AA471" s="37"/>
      <c r="AB471" s="38" t="n">
        <f aca="false">+W471-AC471</f>
        <v>0</v>
      </c>
      <c r="AC471" s="34" t="n">
        <f aca="false">+Tabla[[#This Row],[P4]]+Tabla[[#This Row],[P3]]+Tabla[[#This Row],[P2]]+Tabla[[#This Row],[P1]]</f>
        <v>476000</v>
      </c>
      <c r="AD471" s="34" t="n">
        <f aca="false">+W471-AC471</f>
        <v>0</v>
      </c>
      <c r="AE471" s="21" t="str">
        <f aca="false">IF(AB471&lt;1,"PAGADA","PENDIENTE")</f>
        <v>PAGADA</v>
      </c>
      <c r="AF471" s="21" t="s">
        <v>278</v>
      </c>
      <c r="AG471" s="29" t="s">
        <v>77</v>
      </c>
      <c r="AH471" s="39" t="n">
        <v>46190</v>
      </c>
      <c r="AI471" s="40" t="n">
        <f aca="false">+IF(Tabla[[#This Row],[FECHA PAGO / ABONO]]&lt;1,0,(MONTH(Tabla[[#This Row],[FECHA PAGO / ABONO]])))</f>
        <v>6</v>
      </c>
      <c r="AJ471" s="40" t="n">
        <f aca="false">+IF(Tabla[[#This Row],[FECHA PAGO / ABONO]]&lt;1,0,(YEAR(Tabla[[#This Row],[FECHA PAGO / ABONO]])))</f>
        <v>2026</v>
      </c>
      <c r="AK471" s="41"/>
    </row>
    <row r="472" customFormat="false" ht="14.25" hidden="false" customHeight="false" outlineLevel="0" collapsed="false">
      <c r="A472" s="28" t="s">
        <v>275</v>
      </c>
      <c r="B472" s="29" t="s">
        <v>276</v>
      </c>
      <c r="C472" s="29" t="s">
        <v>69</v>
      </c>
      <c r="D472" s="21" t="n">
        <v>145351</v>
      </c>
      <c r="E472" s="21" t="str">
        <f aca="false">+CONCATENATE(Tabla[[#This Row],[RUT]],Tabla[[#This Row],[PROVEEDOR]],Tabla[[#This Row],[FACTURA]])</f>
        <v>76047103-8Gestion Regional de Medios S.A.145351</v>
      </c>
      <c r="F472" s="57" t="n">
        <v>46107</v>
      </c>
      <c r="G472" s="31" t="n">
        <f aca="false">+F472+30</f>
        <v>46137</v>
      </c>
      <c r="H472" s="29" t="n">
        <f aca="true">+IF(AE472="PAGADA",0,TODAY()-G472)</f>
        <v>0</v>
      </c>
      <c r="I472" s="29" t="str">
        <f aca="false">+IF(H472&gt;180,"Atrasada",IF(H472&gt;150,"150 dias",IF(H472&gt;120,"120 dias",IF(H472&gt;90,"90 dias",IF(H472&gt;60,"60 dias",IF(H472&gt;30,"30 dias","Al Día"))))))</f>
        <v>Al Día</v>
      </c>
      <c r="J472" s="32" t="s">
        <v>80</v>
      </c>
      <c r="K472" s="29" t="s">
        <v>81</v>
      </c>
      <c r="L472" s="33" t="s">
        <v>277</v>
      </c>
      <c r="M472" s="29" t="n">
        <f aca="false">+YEAR(F472)</f>
        <v>2026</v>
      </c>
      <c r="N472" s="29" t="n">
        <v>2026</v>
      </c>
      <c r="O472" s="29" t="n">
        <v>2</v>
      </c>
      <c r="P472" s="29" t="str">
        <f aca="false">+CONCATENATE(Tabla[[#This Row],[MES CAMPAÑA]],"/",Tabla[[#This Row],[AÑO CAMPAÑA]])</f>
        <v>2/2026</v>
      </c>
      <c r="Q472" s="29" t="s">
        <v>265</v>
      </c>
      <c r="R472" s="29"/>
      <c r="S472" s="34" t="n">
        <v>0</v>
      </c>
      <c r="T472" s="34" t="n">
        <v>450000</v>
      </c>
      <c r="U472" s="34" t="n">
        <v>85500</v>
      </c>
      <c r="V472" s="29"/>
      <c r="W472" s="35" t="n">
        <v>535500</v>
      </c>
      <c r="X472" s="36" t="n">
        <f aca="false">+Tabla[[#This Row],[TOTAL]]</f>
        <v>535500</v>
      </c>
      <c r="Y472" s="37"/>
      <c r="Z472" s="37"/>
      <c r="AA472" s="37"/>
      <c r="AB472" s="38" t="n">
        <f aca="false">+W472-AC472</f>
        <v>0</v>
      </c>
      <c r="AC472" s="34" t="n">
        <f aca="false">+Tabla[[#This Row],[P4]]+Tabla[[#This Row],[P3]]+Tabla[[#This Row],[P2]]+Tabla[[#This Row],[P1]]</f>
        <v>535500</v>
      </c>
      <c r="AD472" s="34" t="n">
        <f aca="false">+W472-AC472</f>
        <v>0</v>
      </c>
      <c r="AE472" s="21" t="str">
        <f aca="false">IF(AB472&lt;1,"PAGADA","PENDIENTE")</f>
        <v>PAGADA</v>
      </c>
      <c r="AF472" s="21" t="s">
        <v>278</v>
      </c>
      <c r="AG472" s="29" t="s">
        <v>77</v>
      </c>
      <c r="AH472" s="39" t="n">
        <v>46190</v>
      </c>
      <c r="AI472" s="40" t="n">
        <f aca="false">+IF(Tabla[[#This Row],[FECHA PAGO / ABONO]]&lt;1,0,(MONTH(Tabla[[#This Row],[FECHA PAGO / ABONO]])))</f>
        <v>6</v>
      </c>
      <c r="AJ472" s="40" t="n">
        <f aca="false">+IF(Tabla[[#This Row],[FECHA PAGO / ABONO]]&lt;1,0,(YEAR(Tabla[[#This Row],[FECHA PAGO / ABONO]])))</f>
        <v>2026</v>
      </c>
      <c r="AK472" s="41"/>
    </row>
    <row r="473" customFormat="false" ht="14.25" hidden="false" customHeight="false" outlineLevel="0" collapsed="false">
      <c r="A473" s="28" t="s">
        <v>275</v>
      </c>
      <c r="B473" s="29" t="s">
        <v>276</v>
      </c>
      <c r="C473" s="29" t="s">
        <v>69</v>
      </c>
      <c r="D473" s="21" t="n">
        <v>145352</v>
      </c>
      <c r="E473" s="21" t="str">
        <f aca="false">+CONCATENATE(Tabla[[#This Row],[RUT]],Tabla[[#This Row],[PROVEEDOR]],Tabla[[#This Row],[FACTURA]])</f>
        <v>76047103-8Gestion Regional de Medios S.A.145352</v>
      </c>
      <c r="F473" s="57" t="n">
        <v>46107</v>
      </c>
      <c r="G473" s="31" t="n">
        <f aca="false">+F473+30</f>
        <v>46137</v>
      </c>
      <c r="H473" s="29" t="n">
        <f aca="true">+IF(AE473="PAGADA",0,TODAY()-G473)</f>
        <v>0</v>
      </c>
      <c r="I473" s="29" t="str">
        <f aca="false">+IF(H473&gt;180,"Atrasada",IF(H473&gt;150,"150 dias",IF(H473&gt;120,"120 dias",IF(H473&gt;90,"90 dias",IF(H473&gt;60,"60 dias",IF(H473&gt;30,"30 dias","Al Día"))))))</f>
        <v>Al Día</v>
      </c>
      <c r="J473" s="32" t="s">
        <v>80</v>
      </c>
      <c r="K473" s="29" t="s">
        <v>81</v>
      </c>
      <c r="L473" s="33" t="s">
        <v>277</v>
      </c>
      <c r="M473" s="29" t="n">
        <f aca="false">+YEAR(F473)</f>
        <v>2026</v>
      </c>
      <c r="N473" s="29" t="n">
        <v>2026</v>
      </c>
      <c r="O473" s="29" t="n">
        <v>2</v>
      </c>
      <c r="P473" s="29" t="str">
        <f aca="false">+CONCATENATE(Tabla[[#This Row],[MES CAMPAÑA]],"/",Tabla[[#This Row],[AÑO CAMPAÑA]])</f>
        <v>2/2026</v>
      </c>
      <c r="Q473" s="29" t="s">
        <v>265</v>
      </c>
      <c r="R473" s="29"/>
      <c r="S473" s="34" t="n">
        <v>0</v>
      </c>
      <c r="T473" s="34" t="n">
        <v>500000</v>
      </c>
      <c r="U473" s="34" t="n">
        <v>95000</v>
      </c>
      <c r="V473" s="29"/>
      <c r="W473" s="35" t="n">
        <v>595000</v>
      </c>
      <c r="X473" s="36" t="n">
        <f aca="false">+Tabla[[#This Row],[TOTAL]]</f>
        <v>595000</v>
      </c>
      <c r="Y473" s="37"/>
      <c r="Z473" s="37"/>
      <c r="AA473" s="37"/>
      <c r="AB473" s="38" t="n">
        <f aca="false">+W473-AC473</f>
        <v>0</v>
      </c>
      <c r="AC473" s="34" t="n">
        <f aca="false">+Tabla[[#This Row],[P4]]+Tabla[[#This Row],[P3]]+Tabla[[#This Row],[P2]]+Tabla[[#This Row],[P1]]</f>
        <v>595000</v>
      </c>
      <c r="AD473" s="34" t="n">
        <f aca="false">+W473-AC473</f>
        <v>0</v>
      </c>
      <c r="AE473" s="21" t="str">
        <f aca="false">IF(AB473&lt;1,"PAGADA","PENDIENTE")</f>
        <v>PAGADA</v>
      </c>
      <c r="AF473" s="21" t="s">
        <v>278</v>
      </c>
      <c r="AG473" s="29" t="s">
        <v>77</v>
      </c>
      <c r="AH473" s="39" t="n">
        <v>46190</v>
      </c>
      <c r="AI473" s="40" t="n">
        <f aca="false">+IF(Tabla[[#This Row],[FECHA PAGO / ABONO]]&lt;1,0,(MONTH(Tabla[[#This Row],[FECHA PAGO / ABONO]])))</f>
        <v>6</v>
      </c>
      <c r="AJ473" s="40" t="n">
        <f aca="false">+IF(Tabla[[#This Row],[FECHA PAGO / ABONO]]&lt;1,0,(YEAR(Tabla[[#This Row],[FECHA PAGO / ABONO]])))</f>
        <v>2026</v>
      </c>
      <c r="AK473" s="41"/>
    </row>
    <row r="474" customFormat="false" ht="14.25" hidden="false" customHeight="false" outlineLevel="0" collapsed="false">
      <c r="A474" s="28" t="s">
        <v>275</v>
      </c>
      <c r="B474" s="29" t="s">
        <v>276</v>
      </c>
      <c r="C474" s="29" t="s">
        <v>69</v>
      </c>
      <c r="D474" s="21" t="n">
        <v>145353</v>
      </c>
      <c r="E474" s="21" t="str">
        <f aca="false">+CONCATENATE(Tabla[[#This Row],[RUT]],Tabla[[#This Row],[PROVEEDOR]],Tabla[[#This Row],[FACTURA]])</f>
        <v>76047103-8Gestion Regional de Medios S.A.145353</v>
      </c>
      <c r="F474" s="57" t="n">
        <v>46107</v>
      </c>
      <c r="G474" s="31" t="n">
        <f aca="false">+F474+30</f>
        <v>46137</v>
      </c>
      <c r="H474" s="29" t="n">
        <f aca="true">+IF(AE474="PAGADA",0,TODAY()-G474)</f>
        <v>0</v>
      </c>
      <c r="I474" s="29" t="str">
        <f aca="false">+IF(H474&gt;180,"Atrasada",IF(H474&gt;150,"150 dias",IF(H474&gt;120,"120 dias",IF(H474&gt;90,"90 dias",IF(H474&gt;60,"60 dias",IF(H474&gt;30,"30 dias","Al Día"))))))</f>
        <v>Al Día</v>
      </c>
      <c r="J474" s="32" t="s">
        <v>80</v>
      </c>
      <c r="K474" s="29" t="s">
        <v>81</v>
      </c>
      <c r="L474" s="33" t="s">
        <v>277</v>
      </c>
      <c r="M474" s="29" t="n">
        <f aca="false">+YEAR(F474)</f>
        <v>2026</v>
      </c>
      <c r="N474" s="29" t="n">
        <v>2026</v>
      </c>
      <c r="O474" s="29" t="n">
        <v>2</v>
      </c>
      <c r="P474" s="29" t="str">
        <f aca="false">+CONCATENATE(Tabla[[#This Row],[MES CAMPAÑA]],"/",Tabla[[#This Row],[AÑO CAMPAÑA]])</f>
        <v>2/2026</v>
      </c>
      <c r="Q474" s="29" t="s">
        <v>265</v>
      </c>
      <c r="R474" s="29"/>
      <c r="S474" s="34" t="n">
        <v>0</v>
      </c>
      <c r="T474" s="34" t="n">
        <v>400000</v>
      </c>
      <c r="U474" s="34" t="n">
        <v>76000</v>
      </c>
      <c r="V474" s="29"/>
      <c r="W474" s="35" t="n">
        <v>476000</v>
      </c>
      <c r="X474" s="36" t="n">
        <f aca="false">+Tabla[[#This Row],[TOTAL]]</f>
        <v>476000</v>
      </c>
      <c r="Y474" s="37"/>
      <c r="Z474" s="37"/>
      <c r="AA474" s="37"/>
      <c r="AB474" s="38" t="n">
        <f aca="false">+W474-AC474</f>
        <v>0</v>
      </c>
      <c r="AC474" s="34" t="n">
        <f aca="false">+Tabla[[#This Row],[P4]]+Tabla[[#This Row],[P3]]+Tabla[[#This Row],[P2]]+Tabla[[#This Row],[P1]]</f>
        <v>476000</v>
      </c>
      <c r="AD474" s="34" t="n">
        <f aca="false">+W474-AC474</f>
        <v>0</v>
      </c>
      <c r="AE474" s="21" t="str">
        <f aca="false">IF(AB474&lt;1,"PAGADA","PENDIENTE")</f>
        <v>PAGADA</v>
      </c>
      <c r="AF474" s="21" t="s">
        <v>278</v>
      </c>
      <c r="AG474" s="29" t="s">
        <v>77</v>
      </c>
      <c r="AH474" s="39" t="n">
        <v>46190</v>
      </c>
      <c r="AI474" s="40" t="n">
        <f aca="false">+IF(Tabla[[#This Row],[FECHA PAGO / ABONO]]&lt;1,0,(MONTH(Tabla[[#This Row],[FECHA PAGO / ABONO]])))</f>
        <v>6</v>
      </c>
      <c r="AJ474" s="40" t="n">
        <f aca="false">+IF(Tabla[[#This Row],[FECHA PAGO / ABONO]]&lt;1,0,(YEAR(Tabla[[#This Row],[FECHA PAGO / ABONO]])))</f>
        <v>2026</v>
      </c>
      <c r="AK474" s="41"/>
    </row>
    <row r="475" customFormat="false" ht="14.25" hidden="false" customHeight="false" outlineLevel="0" collapsed="false">
      <c r="A475" s="28" t="s">
        <v>275</v>
      </c>
      <c r="B475" s="29" t="s">
        <v>276</v>
      </c>
      <c r="C475" s="29" t="s">
        <v>69</v>
      </c>
      <c r="D475" s="21" t="n">
        <v>145354</v>
      </c>
      <c r="E475" s="21" t="str">
        <f aca="false">+CONCATENATE(Tabla[[#This Row],[RUT]],Tabla[[#This Row],[PROVEEDOR]],Tabla[[#This Row],[FACTURA]])</f>
        <v>76047103-8Gestion Regional de Medios S.A.145354</v>
      </c>
      <c r="F475" s="57" t="n">
        <v>46107</v>
      </c>
      <c r="G475" s="31" t="n">
        <f aca="false">+F475+30</f>
        <v>46137</v>
      </c>
      <c r="H475" s="29" t="n">
        <f aca="true">+IF(AE475="PAGADA",0,TODAY()-G475)</f>
        <v>0</v>
      </c>
      <c r="I475" s="29" t="str">
        <f aca="false">+IF(H475&gt;180,"Atrasada",IF(H475&gt;150,"150 dias",IF(H475&gt;120,"120 dias",IF(H475&gt;90,"90 dias",IF(H475&gt;60,"60 dias",IF(H475&gt;30,"30 dias","Al Día"))))))</f>
        <v>Al Día</v>
      </c>
      <c r="J475" s="32" t="s">
        <v>80</v>
      </c>
      <c r="K475" s="29" t="s">
        <v>81</v>
      </c>
      <c r="L475" s="33" t="s">
        <v>277</v>
      </c>
      <c r="M475" s="29" t="n">
        <f aca="false">+YEAR(F475)</f>
        <v>2026</v>
      </c>
      <c r="N475" s="29" t="n">
        <v>2026</v>
      </c>
      <c r="O475" s="29" t="n">
        <v>2</v>
      </c>
      <c r="P475" s="29" t="str">
        <f aca="false">+CONCATENATE(Tabla[[#This Row],[MES CAMPAÑA]],"/",Tabla[[#This Row],[AÑO CAMPAÑA]])</f>
        <v>2/2026</v>
      </c>
      <c r="Q475" s="29" t="s">
        <v>265</v>
      </c>
      <c r="R475" s="29"/>
      <c r="S475" s="34" t="n">
        <v>0</v>
      </c>
      <c r="T475" s="34" t="n">
        <v>500000</v>
      </c>
      <c r="U475" s="34" t="n">
        <v>95000</v>
      </c>
      <c r="V475" s="29"/>
      <c r="W475" s="35" t="n">
        <v>595000</v>
      </c>
      <c r="X475" s="36" t="n">
        <f aca="false">+Tabla[[#This Row],[TOTAL]]</f>
        <v>595000</v>
      </c>
      <c r="Y475" s="37"/>
      <c r="Z475" s="37"/>
      <c r="AA475" s="37"/>
      <c r="AB475" s="38" t="n">
        <f aca="false">+W475-AC475</f>
        <v>0</v>
      </c>
      <c r="AC475" s="34" t="n">
        <f aca="false">+Tabla[[#This Row],[P4]]+Tabla[[#This Row],[P3]]+Tabla[[#This Row],[P2]]+Tabla[[#This Row],[P1]]</f>
        <v>595000</v>
      </c>
      <c r="AD475" s="34" t="n">
        <f aca="false">+W475-AC475</f>
        <v>0</v>
      </c>
      <c r="AE475" s="21" t="str">
        <f aca="false">IF(AB475&lt;1,"PAGADA","PENDIENTE")</f>
        <v>PAGADA</v>
      </c>
      <c r="AF475" s="21" t="s">
        <v>278</v>
      </c>
      <c r="AG475" s="29" t="s">
        <v>77</v>
      </c>
      <c r="AH475" s="39" t="n">
        <v>46190</v>
      </c>
      <c r="AI475" s="40" t="n">
        <f aca="false">+IF(Tabla[[#This Row],[FECHA PAGO / ABONO]]&lt;1,0,(MONTH(Tabla[[#This Row],[FECHA PAGO / ABONO]])))</f>
        <v>6</v>
      </c>
      <c r="AJ475" s="40" t="n">
        <f aca="false">+IF(Tabla[[#This Row],[FECHA PAGO / ABONO]]&lt;1,0,(YEAR(Tabla[[#This Row],[FECHA PAGO / ABONO]])))</f>
        <v>2026</v>
      </c>
      <c r="AK475" s="41"/>
    </row>
    <row r="476" customFormat="false" ht="14.25" hidden="false" customHeight="false" outlineLevel="0" collapsed="false">
      <c r="A476" s="28" t="s">
        <v>275</v>
      </c>
      <c r="B476" s="29" t="s">
        <v>276</v>
      </c>
      <c r="C476" s="29" t="s">
        <v>69</v>
      </c>
      <c r="D476" s="21" t="n">
        <v>145355</v>
      </c>
      <c r="E476" s="21" t="str">
        <f aca="false">+CONCATENATE(Tabla[[#This Row],[RUT]],Tabla[[#This Row],[PROVEEDOR]],Tabla[[#This Row],[FACTURA]])</f>
        <v>76047103-8Gestion Regional de Medios S.A.145355</v>
      </c>
      <c r="F476" s="57" t="n">
        <v>46107</v>
      </c>
      <c r="G476" s="31" t="n">
        <f aca="false">+F476+30</f>
        <v>46137</v>
      </c>
      <c r="H476" s="29" t="n">
        <f aca="true">+IF(AE476="PAGADA",0,TODAY()-G476)</f>
        <v>0</v>
      </c>
      <c r="I476" s="29" t="str">
        <f aca="false">+IF(H476&gt;180,"Atrasada",IF(H476&gt;150,"150 dias",IF(H476&gt;120,"120 dias",IF(H476&gt;90,"90 dias",IF(H476&gt;60,"60 dias",IF(H476&gt;30,"30 dias","Al Día"))))))</f>
        <v>Al Día</v>
      </c>
      <c r="J476" s="32" t="s">
        <v>80</v>
      </c>
      <c r="K476" s="29" t="s">
        <v>81</v>
      </c>
      <c r="L476" s="33" t="s">
        <v>277</v>
      </c>
      <c r="M476" s="29" t="n">
        <f aca="false">+YEAR(F476)</f>
        <v>2026</v>
      </c>
      <c r="N476" s="29" t="n">
        <v>2026</v>
      </c>
      <c r="O476" s="29" t="n">
        <v>2</v>
      </c>
      <c r="P476" s="29" t="str">
        <f aca="false">+CONCATENATE(Tabla[[#This Row],[MES CAMPAÑA]],"/",Tabla[[#This Row],[AÑO CAMPAÑA]])</f>
        <v>2/2026</v>
      </c>
      <c r="Q476" s="29" t="s">
        <v>265</v>
      </c>
      <c r="R476" s="29"/>
      <c r="S476" s="34" t="n">
        <v>0</v>
      </c>
      <c r="T476" s="34" t="n">
        <v>350000</v>
      </c>
      <c r="U476" s="34" t="n">
        <v>66500</v>
      </c>
      <c r="V476" s="29"/>
      <c r="W476" s="35" t="n">
        <v>416500</v>
      </c>
      <c r="X476" s="36" t="n">
        <f aca="false">+Tabla[[#This Row],[TOTAL]]</f>
        <v>416500</v>
      </c>
      <c r="Y476" s="37"/>
      <c r="Z476" s="37"/>
      <c r="AA476" s="37"/>
      <c r="AB476" s="38" t="n">
        <f aca="false">+W476-AC476</f>
        <v>0</v>
      </c>
      <c r="AC476" s="34" t="n">
        <f aca="false">+Tabla[[#This Row],[P4]]+Tabla[[#This Row],[P3]]+Tabla[[#This Row],[P2]]+Tabla[[#This Row],[P1]]</f>
        <v>416500</v>
      </c>
      <c r="AD476" s="34" t="n">
        <f aca="false">+W476-AC476</f>
        <v>0</v>
      </c>
      <c r="AE476" s="21" t="str">
        <f aca="false">IF(AB476&lt;1,"PAGADA","PENDIENTE")</f>
        <v>PAGADA</v>
      </c>
      <c r="AF476" s="21" t="s">
        <v>278</v>
      </c>
      <c r="AG476" s="29" t="s">
        <v>77</v>
      </c>
      <c r="AH476" s="39" t="n">
        <v>46190</v>
      </c>
      <c r="AI476" s="40" t="n">
        <f aca="false">+IF(Tabla[[#This Row],[FECHA PAGO / ABONO]]&lt;1,0,(MONTH(Tabla[[#This Row],[FECHA PAGO / ABONO]])))</f>
        <v>6</v>
      </c>
      <c r="AJ476" s="40" t="n">
        <f aca="false">+IF(Tabla[[#This Row],[FECHA PAGO / ABONO]]&lt;1,0,(YEAR(Tabla[[#This Row],[FECHA PAGO / ABONO]])))</f>
        <v>2026</v>
      </c>
      <c r="AK476" s="41"/>
    </row>
    <row r="477" customFormat="false" ht="14.25" hidden="false" customHeight="false" outlineLevel="0" collapsed="false">
      <c r="A477" s="28" t="s">
        <v>210</v>
      </c>
      <c r="B477" s="29" t="s">
        <v>211</v>
      </c>
      <c r="C477" s="29" t="s">
        <v>69</v>
      </c>
      <c r="D477" s="21" t="n">
        <v>40491</v>
      </c>
      <c r="E477" s="21" t="str">
        <f aca="false">+CONCATENATE(Tabla[[#This Row],[RUT]],Tabla[[#This Row],[PROVEEDOR]],Tabla[[#This Row],[FACTURA]])</f>
        <v>78794060-9MEGAMEDIA RADIO S.A.40491</v>
      </c>
      <c r="F477" s="57" t="n">
        <v>46107</v>
      </c>
      <c r="G477" s="31" t="n">
        <f aca="false">+F477+30</f>
        <v>46137</v>
      </c>
      <c r="H477" s="29" t="n">
        <f aca="true">+IF(AE477="PAGADA",0,TODAY()-G477)</f>
        <v>67</v>
      </c>
      <c r="I477" s="29" t="str">
        <f aca="false">+IF(H477&gt;180,"Atrasada",IF(H477&gt;150,"150 dias",IF(H477&gt;120,"120 dias",IF(H477&gt;90,"90 dias",IF(H477&gt;60,"60 dias",IF(H477&gt;30,"30 dias","Al Día"))))))</f>
        <v>60 dias</v>
      </c>
      <c r="J477" s="32" t="s">
        <v>80</v>
      </c>
      <c r="K477" s="29" t="s">
        <v>81</v>
      </c>
      <c r="L477" s="33" t="s">
        <v>277</v>
      </c>
      <c r="M477" s="29" t="n">
        <f aca="false">+YEAR(F477)</f>
        <v>2026</v>
      </c>
      <c r="N477" s="29" t="n">
        <v>2026</v>
      </c>
      <c r="O477" s="29" t="n">
        <v>2</v>
      </c>
      <c r="P477" s="29" t="str">
        <f aca="false">+CONCATENATE(Tabla[[#This Row],[MES CAMPAÑA]],"/",Tabla[[#This Row],[AÑO CAMPAÑA]])</f>
        <v>2/2026</v>
      </c>
      <c r="Q477" s="29" t="s">
        <v>212</v>
      </c>
      <c r="R477" s="29"/>
      <c r="S477" s="34" t="n">
        <v>0</v>
      </c>
      <c r="T477" s="34" t="n">
        <v>2585000</v>
      </c>
      <c r="U477" s="34" t="n">
        <v>491150</v>
      </c>
      <c r="V477" s="29"/>
      <c r="W477" s="35" t="n">
        <v>3076150</v>
      </c>
      <c r="X477" s="36"/>
      <c r="Y477" s="37"/>
      <c r="Z477" s="37"/>
      <c r="AA477" s="37"/>
      <c r="AB477" s="38" t="n">
        <f aca="false">+W477-AC477</f>
        <v>3076150</v>
      </c>
      <c r="AC477" s="34" t="n">
        <f aca="false">+Tabla[[#This Row],[P4]]+Tabla[[#This Row],[P3]]+Tabla[[#This Row],[P2]]+Tabla[[#This Row],[P1]]</f>
        <v>0</v>
      </c>
      <c r="AD477" s="34" t="n">
        <f aca="false">+W477-AC477</f>
        <v>3076150</v>
      </c>
      <c r="AE477" s="21" t="str">
        <f aca="false">IF(AB477&lt;1,"PAGADA","PENDIENTE")</f>
        <v>PENDIENTE</v>
      </c>
      <c r="AF477" s="21"/>
      <c r="AG477" s="29"/>
      <c r="AH477" s="40"/>
      <c r="AI477" s="40" t="n">
        <f aca="false">+IF(Tabla[[#This Row],[FECHA PAGO / ABONO]]&lt;1,0,(MONTH(Tabla[[#This Row],[FECHA PAGO / ABONO]])))</f>
        <v>0</v>
      </c>
      <c r="AJ477" s="40" t="n">
        <f aca="false">+IF(Tabla[[#This Row],[FECHA PAGO / ABONO]]&lt;1,0,(YEAR(Tabla[[#This Row],[FECHA PAGO / ABONO]])))</f>
        <v>0</v>
      </c>
      <c r="AK477" s="41"/>
    </row>
    <row r="478" customFormat="false" ht="14.25" hidden="false" customHeight="false" outlineLevel="0" collapsed="false">
      <c r="A478" s="28" t="s">
        <v>297</v>
      </c>
      <c r="B478" s="29" t="s">
        <v>298</v>
      </c>
      <c r="C478" s="29" t="s">
        <v>69</v>
      </c>
      <c r="D478" s="21" t="n">
        <v>64799</v>
      </c>
      <c r="E478" s="21" t="str">
        <f aca="false">+CONCATENATE(Tabla[[#This Row],[RUT]],Tabla[[#This Row],[PROVEEDOR]],Tabla[[#This Row],[FACTURA]])</f>
        <v>80764900-0Antonio Puga S.A64799</v>
      </c>
      <c r="F478" s="57" t="n">
        <v>46107</v>
      </c>
      <c r="G478" s="31" t="n">
        <f aca="false">+F478+30</f>
        <v>46137</v>
      </c>
      <c r="H478" s="29" t="n">
        <f aca="true">+IF(AE478="PAGADA",0,TODAY()-G478)</f>
        <v>67</v>
      </c>
      <c r="I478" s="29" t="str">
        <f aca="false">+IF(H478&gt;180,"Atrasada",IF(H478&gt;150,"150 dias",IF(H478&gt;120,"120 dias",IF(H478&gt;90,"90 dias",IF(H478&gt;60,"60 dias",IF(H478&gt;30,"30 dias","Al Día"))))))</f>
        <v>60 dias</v>
      </c>
      <c r="J478" s="32" t="s">
        <v>80</v>
      </c>
      <c r="K478" s="29" t="s">
        <v>81</v>
      </c>
      <c r="L478" s="33" t="s">
        <v>277</v>
      </c>
      <c r="M478" s="29" t="n">
        <f aca="false">+YEAR(F478)</f>
        <v>2026</v>
      </c>
      <c r="N478" s="29" t="n">
        <v>2026</v>
      </c>
      <c r="O478" s="29" t="n">
        <v>2</v>
      </c>
      <c r="P478" s="29" t="str">
        <f aca="false">+CONCATENATE(Tabla[[#This Row],[MES CAMPAÑA]],"/",Tabla[[#This Row],[AÑO CAMPAÑA]])</f>
        <v>2/2026</v>
      </c>
      <c r="Q478" s="29" t="s">
        <v>265</v>
      </c>
      <c r="R478" s="29"/>
      <c r="S478" s="34" t="n">
        <v>0</v>
      </c>
      <c r="T478" s="34" t="n">
        <v>750000</v>
      </c>
      <c r="U478" s="34" t="n">
        <v>142500</v>
      </c>
      <c r="V478" s="29"/>
      <c r="W478" s="35" t="n">
        <v>892500</v>
      </c>
      <c r="X478" s="36"/>
      <c r="Y478" s="37"/>
      <c r="Z478" s="37"/>
      <c r="AA478" s="37"/>
      <c r="AB478" s="38" t="n">
        <f aca="false">+W478-AC478</f>
        <v>892500</v>
      </c>
      <c r="AC478" s="34" t="n">
        <f aca="false">+Tabla[[#This Row],[P4]]+Tabla[[#This Row],[P3]]+Tabla[[#This Row],[P2]]+Tabla[[#This Row],[P1]]</f>
        <v>0</v>
      </c>
      <c r="AD478" s="34" t="n">
        <f aca="false">+W478-AC478</f>
        <v>892500</v>
      </c>
      <c r="AE478" s="21" t="str">
        <f aca="false">IF(AB478&lt;1,"PAGADA","PENDIENTE")</f>
        <v>PENDIENTE</v>
      </c>
      <c r="AF478" s="21"/>
      <c r="AG478" s="29"/>
      <c r="AH478" s="40"/>
      <c r="AI478" s="40" t="n">
        <f aca="false">+IF(Tabla[[#This Row],[FECHA PAGO / ABONO]]&lt;1,0,(MONTH(Tabla[[#This Row],[FECHA PAGO / ABONO]])))</f>
        <v>0</v>
      </c>
      <c r="AJ478" s="40" t="n">
        <f aca="false">+IF(Tabla[[#This Row],[FECHA PAGO / ABONO]]&lt;1,0,(YEAR(Tabla[[#This Row],[FECHA PAGO / ABONO]])))</f>
        <v>0</v>
      </c>
      <c r="AK478" s="41"/>
    </row>
    <row r="479" customFormat="false" ht="14.25" hidden="false" customHeight="false" outlineLevel="0" collapsed="false">
      <c r="A479" s="28" t="s">
        <v>207</v>
      </c>
      <c r="B479" s="29" t="s">
        <v>208</v>
      </c>
      <c r="C479" s="29" t="s">
        <v>69</v>
      </c>
      <c r="D479" s="21" t="n">
        <v>600</v>
      </c>
      <c r="E479" s="21" t="str">
        <f aca="false">+CONCATENATE(Tabla[[#This Row],[RUT]],Tabla[[#This Row],[PROVEEDOR]],Tabla[[#This Row],[FACTURA]])</f>
        <v>76503821-9COOL PUBLICIDAD SPA600</v>
      </c>
      <c r="F479" s="57" t="n">
        <v>46107</v>
      </c>
      <c r="G479" s="31" t="n">
        <f aca="false">+F479+30</f>
        <v>46137</v>
      </c>
      <c r="H479" s="29" t="n">
        <f aca="true">+IF(AE479="PAGADA",0,TODAY()-G479)</f>
        <v>67</v>
      </c>
      <c r="I479" s="29" t="str">
        <f aca="false">+IF(H479&gt;180,"Atrasada",IF(H479&gt;150,"150 dias",IF(H479&gt;120,"120 dias",IF(H479&gt;90,"90 dias",IF(H479&gt;60,"60 dias",IF(H479&gt;30,"30 dias","Al Día"))))))</f>
        <v>60 dias</v>
      </c>
      <c r="J479" s="32" t="s">
        <v>80</v>
      </c>
      <c r="K479" s="29" t="s">
        <v>81</v>
      </c>
      <c r="L479" s="33" t="s">
        <v>277</v>
      </c>
      <c r="M479" s="29" t="n">
        <f aca="false">+YEAR(F479)</f>
        <v>2026</v>
      </c>
      <c r="N479" s="29" t="n">
        <v>2026</v>
      </c>
      <c r="O479" s="29" t="n">
        <v>2</v>
      </c>
      <c r="P479" s="29" t="str">
        <f aca="false">+CONCATENATE(Tabla[[#This Row],[MES CAMPAÑA]],"/",Tabla[[#This Row],[AÑO CAMPAÑA]])</f>
        <v>2/2026</v>
      </c>
      <c r="Q479" s="29" t="s">
        <v>92</v>
      </c>
      <c r="R479" s="29"/>
      <c r="S479" s="34" t="n">
        <v>0</v>
      </c>
      <c r="T479" s="34" t="n">
        <v>394820</v>
      </c>
      <c r="U479" s="34" t="n">
        <v>75016</v>
      </c>
      <c r="V479" s="29"/>
      <c r="W479" s="35" t="n">
        <v>469836</v>
      </c>
      <c r="X479" s="36"/>
      <c r="Y479" s="37"/>
      <c r="Z479" s="37"/>
      <c r="AA479" s="37"/>
      <c r="AB479" s="38" t="n">
        <f aca="false">+W479-AC479</f>
        <v>469836</v>
      </c>
      <c r="AC479" s="34" t="n">
        <f aca="false">+Tabla[[#This Row],[P4]]+Tabla[[#This Row],[P3]]+Tabla[[#This Row],[P2]]+Tabla[[#This Row],[P1]]</f>
        <v>0</v>
      </c>
      <c r="AD479" s="34" t="n">
        <f aca="false">+W479-AC479</f>
        <v>469836</v>
      </c>
      <c r="AE479" s="21" t="str">
        <f aca="false">IF(AB479&lt;1,"PAGADA","PENDIENTE")</f>
        <v>PENDIENTE</v>
      </c>
      <c r="AF479" s="21"/>
      <c r="AG479" s="29"/>
      <c r="AH479" s="40"/>
      <c r="AI479" s="40" t="n">
        <f aca="false">+IF(Tabla[[#This Row],[FECHA PAGO / ABONO]]&lt;1,0,(MONTH(Tabla[[#This Row],[FECHA PAGO / ABONO]])))</f>
        <v>0</v>
      </c>
      <c r="AJ479" s="40" t="n">
        <f aca="false">+IF(Tabla[[#This Row],[FECHA PAGO / ABONO]]&lt;1,0,(YEAR(Tabla[[#This Row],[FECHA PAGO / ABONO]])))</f>
        <v>0</v>
      </c>
      <c r="AK479" s="41"/>
    </row>
    <row r="480" customFormat="false" ht="14.25" hidden="false" customHeight="false" outlineLevel="0" collapsed="false">
      <c r="A480" s="28" t="s">
        <v>166</v>
      </c>
      <c r="B480" s="29" t="s">
        <v>167</v>
      </c>
      <c r="C480" s="29" t="s">
        <v>69</v>
      </c>
      <c r="D480" s="21" t="n">
        <v>1175</v>
      </c>
      <c r="E480" s="21" t="str">
        <f aca="false">+CONCATENATE(Tabla[[#This Row],[RUT]],Tabla[[#This Row],[PROVEEDOR]],Tabla[[#This Row],[FACTURA]])</f>
        <v>76564873-4SERVICIOS DE PRODUCCIÃ“N CRISTIAN MARCELO LABBÃ‰ VENEGAS E.I.R.L.1175</v>
      </c>
      <c r="F480" s="57" t="n">
        <v>46107</v>
      </c>
      <c r="G480" s="31" t="n">
        <f aca="false">+F480+30</f>
        <v>46137</v>
      </c>
      <c r="H480" s="29" t="n">
        <f aca="true">+IF(AE480="PAGADA",0,TODAY()-G480)</f>
        <v>0</v>
      </c>
      <c r="I480" s="29" t="str">
        <f aca="false">+IF(H480&gt;180,"Atrasada",IF(H480&gt;150,"150 dias",IF(H480&gt;120,"120 dias",IF(H480&gt;90,"90 dias",IF(H480&gt;60,"60 dias",IF(H480&gt;30,"30 dias","Al Día"))))))</f>
        <v>Al Día</v>
      </c>
      <c r="J480" s="32" t="s">
        <v>80</v>
      </c>
      <c r="K480" s="29" t="s">
        <v>81</v>
      </c>
      <c r="L480" s="33" t="s">
        <v>277</v>
      </c>
      <c r="M480" s="29" t="n">
        <f aca="false">+YEAR(F480)</f>
        <v>2026</v>
      </c>
      <c r="N480" s="29" t="n">
        <v>2026</v>
      </c>
      <c r="O480" s="29" t="n">
        <v>2</v>
      </c>
      <c r="P480" s="29" t="str">
        <f aca="false">+CONCATENATE(Tabla[[#This Row],[MES CAMPAÑA]],"/",Tabla[[#This Row],[AÑO CAMPAÑA]])</f>
        <v>2/2026</v>
      </c>
      <c r="Q480" s="29" t="s">
        <v>108</v>
      </c>
      <c r="R480" s="29"/>
      <c r="S480" s="34" t="n">
        <v>0</v>
      </c>
      <c r="T480" s="34" t="n">
        <v>552000</v>
      </c>
      <c r="U480" s="34" t="n">
        <v>104880</v>
      </c>
      <c r="V480" s="29"/>
      <c r="W480" s="35" t="n">
        <v>656880</v>
      </c>
      <c r="X480" s="36" t="n">
        <f aca="false">+Tabla[[#This Row],[TOTAL]]</f>
        <v>656880</v>
      </c>
      <c r="Y480" s="37"/>
      <c r="Z480" s="37"/>
      <c r="AA480" s="37"/>
      <c r="AB480" s="38" t="n">
        <f aca="false">+W480-AC480</f>
        <v>0</v>
      </c>
      <c r="AC480" s="34" t="n">
        <f aca="false">+Tabla[[#This Row],[P4]]+Tabla[[#This Row],[P3]]+Tabla[[#This Row],[P2]]+Tabla[[#This Row],[P1]]</f>
        <v>656880</v>
      </c>
      <c r="AD480" s="34" t="n">
        <f aca="false">+W480-AC480</f>
        <v>0</v>
      </c>
      <c r="AE480" s="21" t="str">
        <f aca="false">IF(AB480&lt;1,"PAGADA","PENDIENTE")</f>
        <v>PAGADA</v>
      </c>
      <c r="AF480" s="21"/>
      <c r="AG480" s="29" t="s">
        <v>77</v>
      </c>
      <c r="AH480" s="39" t="n">
        <v>46141</v>
      </c>
      <c r="AI480" s="40" t="n">
        <f aca="false">+IF(Tabla[[#This Row],[FECHA PAGO / ABONO]]&lt;1,0,(MONTH(Tabla[[#This Row],[FECHA PAGO / ABONO]])))</f>
        <v>4</v>
      </c>
      <c r="AJ480" s="40" t="n">
        <f aca="false">+IF(Tabla[[#This Row],[FECHA PAGO / ABONO]]&lt;1,0,(YEAR(Tabla[[#This Row],[FECHA PAGO / ABONO]])))</f>
        <v>2026</v>
      </c>
      <c r="AK480" s="41"/>
    </row>
    <row r="481" customFormat="false" ht="14.25" hidden="false" customHeight="false" outlineLevel="0" collapsed="false">
      <c r="A481" s="28" t="s">
        <v>199</v>
      </c>
      <c r="B481" s="29" t="s">
        <v>200</v>
      </c>
      <c r="C481" s="29" t="s">
        <v>69</v>
      </c>
      <c r="D481" s="21" t="n">
        <v>6563</v>
      </c>
      <c r="E481" s="21" t="str">
        <f aca="false">+CONCATENATE(Tabla[[#This Row],[RUT]],Tabla[[#This Row],[PROVEEDOR]],Tabla[[#This Row],[FACTURA]])</f>
        <v>96945160-3YES SOCIEDAD ANONIMA6563</v>
      </c>
      <c r="F481" s="57" t="n">
        <v>46107</v>
      </c>
      <c r="G481" s="31" t="n">
        <f aca="false">+F481+30</f>
        <v>46137</v>
      </c>
      <c r="H481" s="29" t="n">
        <f aca="true">+IF(AE481="PAGADA",0,TODAY()-G481)</f>
        <v>0</v>
      </c>
      <c r="I481" s="29" t="str">
        <f aca="false">+IF(H481&gt;180,"Atrasada",IF(H481&gt;150,"150 dias",IF(H481&gt;120,"120 dias",IF(H481&gt;90,"90 dias",IF(H481&gt;60,"60 dias",IF(H481&gt;30,"30 dias","Al Día"))))))</f>
        <v>Al Día</v>
      </c>
      <c r="J481" s="32" t="s">
        <v>80</v>
      </c>
      <c r="K481" s="29" t="s">
        <v>81</v>
      </c>
      <c r="L481" s="33" t="s">
        <v>277</v>
      </c>
      <c r="M481" s="29" t="n">
        <f aca="false">+YEAR(F481)</f>
        <v>2026</v>
      </c>
      <c r="N481" s="29" t="n">
        <v>2026</v>
      </c>
      <c r="O481" s="29" t="n">
        <v>2</v>
      </c>
      <c r="P481" s="29" t="str">
        <f aca="false">+CONCATENATE(Tabla[[#This Row],[MES CAMPAÑA]],"/",Tabla[[#This Row],[AÑO CAMPAÑA]])</f>
        <v>2/2026</v>
      </c>
      <c r="Q481" s="29" t="s">
        <v>92</v>
      </c>
      <c r="R481" s="29"/>
      <c r="S481" s="34" t="n">
        <v>0</v>
      </c>
      <c r="T481" s="34" t="n">
        <v>1163514</v>
      </c>
      <c r="U481" s="34" t="n">
        <v>221068</v>
      </c>
      <c r="V481" s="29"/>
      <c r="W481" s="35" t="n">
        <v>1384582</v>
      </c>
      <c r="X481" s="36" t="n">
        <f aca="false">+Tabla[[#This Row],[TOTAL]]</f>
        <v>1384582</v>
      </c>
      <c r="Y481" s="37"/>
      <c r="Z481" s="37"/>
      <c r="AA481" s="37"/>
      <c r="AB481" s="38" t="n">
        <f aca="false">+W481-AC481</f>
        <v>0</v>
      </c>
      <c r="AC481" s="34" t="n">
        <f aca="false">+Tabla[[#This Row],[P4]]+Tabla[[#This Row],[P3]]+Tabla[[#This Row],[P2]]+Tabla[[#This Row],[P1]]</f>
        <v>1384582</v>
      </c>
      <c r="AD481" s="34" t="n">
        <f aca="false">+W481-AC481</f>
        <v>0</v>
      </c>
      <c r="AE481" s="21" t="str">
        <f aca="false">IF(AB481&lt;1,"PAGADA","PENDIENTE")</f>
        <v>PAGADA</v>
      </c>
      <c r="AF481" s="21"/>
      <c r="AG481" s="29" t="s">
        <v>77</v>
      </c>
      <c r="AH481" s="39" t="n">
        <v>46195</v>
      </c>
      <c r="AI481" s="40" t="n">
        <f aca="false">+IF(Tabla[[#This Row],[FECHA PAGO / ABONO]]&lt;1,0,(MONTH(Tabla[[#This Row],[FECHA PAGO / ABONO]])))</f>
        <v>6</v>
      </c>
      <c r="AJ481" s="40" t="n">
        <f aca="false">+IF(Tabla[[#This Row],[FECHA PAGO / ABONO]]&lt;1,0,(YEAR(Tabla[[#This Row],[FECHA PAGO / ABONO]])))</f>
        <v>2026</v>
      </c>
      <c r="AK481" s="41"/>
    </row>
    <row r="482" customFormat="false" ht="14.25" hidden="false" customHeight="false" outlineLevel="0" collapsed="false">
      <c r="A482" s="28" t="s">
        <v>234</v>
      </c>
      <c r="B482" s="29" t="s">
        <v>235</v>
      </c>
      <c r="C482" s="29" t="s">
        <v>69</v>
      </c>
      <c r="D482" s="21" t="n">
        <v>35601</v>
      </c>
      <c r="E482" s="21" t="str">
        <f aca="false">+CONCATENATE(Tabla[[#This Row],[RUT]],Tabla[[#This Row],[PROVEEDOR]],Tabla[[#This Row],[FACTURA]])</f>
        <v>77022910-3MASSIVA  S.A.35601</v>
      </c>
      <c r="F482" s="57" t="n">
        <v>46107</v>
      </c>
      <c r="G482" s="31" t="n">
        <f aca="false">+F482+30</f>
        <v>46137</v>
      </c>
      <c r="H482" s="29" t="n">
        <f aca="true">+IF(AE482="PAGADA",0,TODAY()-G482)</f>
        <v>0</v>
      </c>
      <c r="I482" s="29" t="str">
        <f aca="false">+IF(H482&gt;180,"Atrasada",IF(H482&gt;150,"150 dias",IF(H482&gt;120,"120 dias",IF(H482&gt;90,"90 dias",IF(H482&gt;60,"60 dias",IF(H482&gt;30,"30 dias","Al Día"))))))</f>
        <v>Al Día</v>
      </c>
      <c r="J482" s="32" t="s">
        <v>80</v>
      </c>
      <c r="K482" s="29" t="s">
        <v>81</v>
      </c>
      <c r="L482" s="33" t="s">
        <v>277</v>
      </c>
      <c r="M482" s="29" t="n">
        <f aca="false">+YEAR(F482)</f>
        <v>2026</v>
      </c>
      <c r="N482" s="29" t="n">
        <v>2026</v>
      </c>
      <c r="O482" s="29" t="n">
        <v>2</v>
      </c>
      <c r="P482" s="29" t="str">
        <f aca="false">+CONCATENATE(Tabla[[#This Row],[MES CAMPAÑA]],"/",Tabla[[#This Row],[AÑO CAMPAÑA]])</f>
        <v>2/2026</v>
      </c>
      <c r="Q482" s="29" t="s">
        <v>123</v>
      </c>
      <c r="R482" s="29"/>
      <c r="S482" s="34" t="n">
        <v>0</v>
      </c>
      <c r="T482" s="34" t="n">
        <v>4622800</v>
      </c>
      <c r="U482" s="34" t="n">
        <v>878332</v>
      </c>
      <c r="V482" s="29"/>
      <c r="W482" s="35" t="n">
        <v>5501132</v>
      </c>
      <c r="X482" s="36" t="n">
        <f aca="false">+Tabla[[#This Row],[TOTAL]]</f>
        <v>5501132</v>
      </c>
      <c r="Y482" s="37"/>
      <c r="Z482" s="37"/>
      <c r="AA482" s="37"/>
      <c r="AB482" s="38" t="n">
        <f aca="false">+W482-AC482</f>
        <v>0</v>
      </c>
      <c r="AC482" s="34" t="n">
        <f aca="false">+Tabla[[#This Row],[P4]]+Tabla[[#This Row],[P3]]+Tabla[[#This Row],[P2]]+Tabla[[#This Row],[P1]]</f>
        <v>5501132</v>
      </c>
      <c r="AD482" s="34" t="n">
        <f aca="false">+W482-AC482</f>
        <v>0</v>
      </c>
      <c r="AE482" s="21" t="str">
        <f aca="false">IF(AB482&lt;1,"PAGADA","PENDIENTE")</f>
        <v>PAGADA</v>
      </c>
      <c r="AF482" s="21"/>
      <c r="AG482" s="29" t="s">
        <v>77</v>
      </c>
      <c r="AH482" s="39" t="n">
        <v>46196</v>
      </c>
      <c r="AI482" s="40" t="n">
        <f aca="false">+IF(Tabla[[#This Row],[FECHA PAGO / ABONO]]&lt;1,0,(MONTH(Tabla[[#This Row],[FECHA PAGO / ABONO]])))</f>
        <v>6</v>
      </c>
      <c r="AJ482" s="40" t="n">
        <f aca="false">+IF(Tabla[[#This Row],[FECHA PAGO / ABONO]]&lt;1,0,(YEAR(Tabla[[#This Row],[FECHA PAGO / ABONO]])))</f>
        <v>2026</v>
      </c>
      <c r="AK482" s="41"/>
    </row>
    <row r="483" customFormat="false" ht="14.25" hidden="false" customHeight="false" outlineLevel="0" collapsed="false">
      <c r="A483" s="28" t="s">
        <v>234</v>
      </c>
      <c r="B483" s="29" t="s">
        <v>235</v>
      </c>
      <c r="C483" s="29" t="s">
        <v>69</v>
      </c>
      <c r="D483" s="21" t="n">
        <v>35602</v>
      </c>
      <c r="E483" s="21" t="str">
        <f aca="false">+CONCATENATE(Tabla[[#This Row],[RUT]],Tabla[[#This Row],[PROVEEDOR]],Tabla[[#This Row],[FACTURA]])</f>
        <v>77022910-3MASSIVA  S.A.35602</v>
      </c>
      <c r="F483" s="57" t="n">
        <v>46107</v>
      </c>
      <c r="G483" s="31" t="n">
        <f aca="false">+F483+30</f>
        <v>46137</v>
      </c>
      <c r="H483" s="29" t="n">
        <f aca="true">+IF(AE483="PAGADA",0,TODAY()-G483)</f>
        <v>0</v>
      </c>
      <c r="I483" s="29" t="str">
        <f aca="false">+IF(H483&gt;180,"Atrasada",IF(H483&gt;150,"150 dias",IF(H483&gt;120,"120 dias",IF(H483&gt;90,"90 dias",IF(H483&gt;60,"60 dias",IF(H483&gt;30,"30 dias","Al Día"))))))</f>
        <v>Al Día</v>
      </c>
      <c r="J483" s="32" t="s">
        <v>80</v>
      </c>
      <c r="K483" s="29" t="s">
        <v>81</v>
      </c>
      <c r="L483" s="33" t="s">
        <v>277</v>
      </c>
      <c r="M483" s="29" t="n">
        <f aca="false">+YEAR(F483)</f>
        <v>2026</v>
      </c>
      <c r="N483" s="29" t="n">
        <v>2026</v>
      </c>
      <c r="O483" s="29" t="n">
        <v>2</v>
      </c>
      <c r="P483" s="29" t="str">
        <f aca="false">+CONCATENATE(Tabla[[#This Row],[MES CAMPAÑA]],"/",Tabla[[#This Row],[AÑO CAMPAÑA]])</f>
        <v>2/2026</v>
      </c>
      <c r="Q483" s="29" t="s">
        <v>108</v>
      </c>
      <c r="R483" s="29"/>
      <c r="S483" s="34" t="n">
        <v>0</v>
      </c>
      <c r="T483" s="34" t="n">
        <v>4200281</v>
      </c>
      <c r="U483" s="34" t="n">
        <v>798053</v>
      </c>
      <c r="V483" s="29"/>
      <c r="W483" s="35" t="n">
        <v>4998334</v>
      </c>
      <c r="X483" s="36" t="n">
        <f aca="false">+Tabla[[#This Row],[TOTAL]]</f>
        <v>4998334</v>
      </c>
      <c r="Y483" s="37"/>
      <c r="Z483" s="37"/>
      <c r="AA483" s="37"/>
      <c r="AB483" s="38" t="n">
        <f aca="false">+W483-AC483</f>
        <v>0</v>
      </c>
      <c r="AC483" s="34" t="n">
        <f aca="false">+Tabla[[#This Row],[P4]]+Tabla[[#This Row],[P3]]+Tabla[[#This Row],[P2]]+Tabla[[#This Row],[P1]]</f>
        <v>4998334</v>
      </c>
      <c r="AD483" s="34" t="n">
        <f aca="false">+W483-AC483</f>
        <v>0</v>
      </c>
      <c r="AE483" s="21" t="str">
        <f aca="false">IF(AB483&lt;1,"PAGADA","PENDIENTE")</f>
        <v>PAGADA</v>
      </c>
      <c r="AF483" s="21"/>
      <c r="AG483" s="29" t="s">
        <v>77</v>
      </c>
      <c r="AH483" s="39" t="n">
        <v>46188</v>
      </c>
      <c r="AI483" s="40" t="n">
        <f aca="false">+IF(Tabla[[#This Row],[FECHA PAGO / ABONO]]&lt;1,0,(MONTH(Tabla[[#This Row],[FECHA PAGO / ABONO]])))</f>
        <v>6</v>
      </c>
      <c r="AJ483" s="40" t="n">
        <f aca="false">+IF(Tabla[[#This Row],[FECHA PAGO / ABONO]]&lt;1,0,(YEAR(Tabla[[#This Row],[FECHA PAGO / ABONO]])))</f>
        <v>2026</v>
      </c>
      <c r="AK483" s="41"/>
    </row>
    <row r="484" customFormat="false" ht="14.25" hidden="false" customHeight="false" outlineLevel="0" collapsed="false">
      <c r="A484" s="28" t="s">
        <v>240</v>
      </c>
      <c r="B484" s="29" t="s">
        <v>241</v>
      </c>
      <c r="C484" s="29" t="s">
        <v>69</v>
      </c>
      <c r="D484" s="21" t="n">
        <v>55217714</v>
      </c>
      <c r="E484" s="21" t="str">
        <f aca="false">+CONCATENATE(Tabla[[#This Row],[RUT]],Tabla[[#This Row],[PROVEEDOR]],Tabla[[#This Row],[FACTURA]])</f>
        <v>97036000-KSantander - Chile55217714</v>
      </c>
      <c r="F484" s="57" t="n">
        <v>46108</v>
      </c>
      <c r="G484" s="31" t="n">
        <f aca="false">+F484+30</f>
        <v>46138</v>
      </c>
      <c r="H484" s="29" t="n">
        <f aca="true">+IF(AE484="PAGADA",0,TODAY()-G484)</f>
        <v>0</v>
      </c>
      <c r="I484" s="29" t="str">
        <f aca="false">+IF(H484&gt;180,"Atrasada",IF(H484&gt;150,"150 dias",IF(H484&gt;120,"120 dias",IF(H484&gt;90,"90 dias",IF(H484&gt;60,"60 dias",IF(H484&gt;30,"30 dias","Al Día"))))))</f>
        <v>Al Día</v>
      </c>
      <c r="J484" s="32" t="s">
        <v>31</v>
      </c>
      <c r="K484" s="29" t="s">
        <v>81</v>
      </c>
      <c r="L484" s="33" t="s">
        <v>277</v>
      </c>
      <c r="M484" s="29" t="n">
        <f aca="false">+YEAR(F484)</f>
        <v>2026</v>
      </c>
      <c r="N484" s="29" t="n">
        <v>2026</v>
      </c>
      <c r="O484" s="29" t="n">
        <v>3</v>
      </c>
      <c r="P484" s="29" t="str">
        <f aca="false">+CONCATENATE(Tabla[[#This Row],[MES CAMPAÑA]],"/",Tabla[[#This Row],[AÑO CAMPAÑA]])</f>
        <v>3/2026</v>
      </c>
      <c r="Q484" s="29" t="s">
        <v>73</v>
      </c>
      <c r="R484" s="29"/>
      <c r="S484" s="34" t="n">
        <v>0</v>
      </c>
      <c r="T484" s="34" t="n">
        <v>20233</v>
      </c>
      <c r="U484" s="34" t="n">
        <v>3845</v>
      </c>
      <c r="V484" s="29"/>
      <c r="W484" s="35" t="n">
        <v>24078</v>
      </c>
      <c r="X484" s="36" t="n">
        <f aca="false">+Tabla[[#This Row],[TOTAL]]</f>
        <v>24078</v>
      </c>
      <c r="Y484" s="37"/>
      <c r="Z484" s="37"/>
      <c r="AA484" s="37"/>
      <c r="AB484" s="38" t="n">
        <f aca="false">+W484-AC484</f>
        <v>0</v>
      </c>
      <c r="AC484" s="34" t="n">
        <f aca="false">+Tabla[[#This Row],[P4]]+Tabla[[#This Row],[P3]]+Tabla[[#This Row],[P2]]+Tabla[[#This Row],[P1]]</f>
        <v>24078</v>
      </c>
      <c r="AD484" s="34" t="n">
        <f aca="false">+W484-AC484</f>
        <v>0</v>
      </c>
      <c r="AE484" s="21" t="str">
        <f aca="false">IF(AB484&lt;1,"PAGADA","PENDIENTE")</f>
        <v>PAGADA</v>
      </c>
      <c r="AF484" s="21"/>
      <c r="AG484" s="29"/>
      <c r="AH484" s="40"/>
      <c r="AI484" s="40" t="n">
        <f aca="false">+IF(Tabla[[#This Row],[FECHA PAGO / ABONO]]&lt;1,0,(MONTH(Tabla[[#This Row],[FECHA PAGO / ABONO]])))</f>
        <v>0</v>
      </c>
      <c r="AJ484" s="40" t="n">
        <f aca="false">+IF(Tabla[[#This Row],[FECHA PAGO / ABONO]]&lt;1,0,(YEAR(Tabla[[#This Row],[FECHA PAGO / ABONO]])))</f>
        <v>0</v>
      </c>
      <c r="AK484" s="41"/>
    </row>
    <row r="485" customFormat="false" ht="14.25" hidden="false" customHeight="false" outlineLevel="0" collapsed="false">
      <c r="A485" s="28" t="s">
        <v>240</v>
      </c>
      <c r="B485" s="29" t="s">
        <v>241</v>
      </c>
      <c r="C485" s="29" t="s">
        <v>229</v>
      </c>
      <c r="D485" s="21" t="n">
        <v>14910086</v>
      </c>
      <c r="E485" s="21" t="str">
        <f aca="false">+CONCATENATE(Tabla[[#This Row],[RUT]],Tabla[[#This Row],[PROVEEDOR]],Tabla[[#This Row],[FACTURA]])</f>
        <v>97036000-KSantander - Chile14910086</v>
      </c>
      <c r="F485" s="57" t="n">
        <v>46108</v>
      </c>
      <c r="G485" s="31" t="n">
        <f aca="false">+F485+30</f>
        <v>46138</v>
      </c>
      <c r="H485" s="29" t="n">
        <f aca="true">+IF(AE485="PAGADA",0,TODAY()-G485)</f>
        <v>0</v>
      </c>
      <c r="I485" s="29" t="str">
        <f aca="false">+IF(H485&gt;180,"Atrasada",IF(H485&gt;150,"150 dias",IF(H485&gt;120,"120 dias",IF(H485&gt;90,"90 dias",IF(H485&gt;60,"60 dias",IF(H485&gt;30,"30 dias","Al Día"))))))</f>
        <v>Al Día</v>
      </c>
      <c r="J485" s="32" t="s">
        <v>31</v>
      </c>
      <c r="K485" s="29" t="s">
        <v>81</v>
      </c>
      <c r="L485" s="33" t="s">
        <v>277</v>
      </c>
      <c r="M485" s="29" t="n">
        <f aca="false">+YEAR(F485)</f>
        <v>2026</v>
      </c>
      <c r="N485" s="29" t="n">
        <v>2026</v>
      </c>
      <c r="O485" s="29" t="n">
        <v>3</v>
      </c>
      <c r="P485" s="29" t="str">
        <f aca="false">+CONCATENATE(Tabla[[#This Row],[MES CAMPAÑA]],"/",Tabla[[#This Row],[AÑO CAMPAÑA]])</f>
        <v>3/2026</v>
      </c>
      <c r="Q485" s="29" t="s">
        <v>73</v>
      </c>
      <c r="R485" s="29"/>
      <c r="S485" s="34" t="n">
        <v>11331</v>
      </c>
      <c r="T485" s="34" t="n">
        <v>0</v>
      </c>
      <c r="U485" s="34" t="n">
        <v>0</v>
      </c>
      <c r="V485" s="29"/>
      <c r="W485" s="35" t="n">
        <v>11331</v>
      </c>
      <c r="X485" s="36" t="n">
        <f aca="false">+Tabla[[#This Row],[TOTAL]]</f>
        <v>11331</v>
      </c>
      <c r="Y485" s="37"/>
      <c r="Z485" s="37"/>
      <c r="AA485" s="37"/>
      <c r="AB485" s="38" t="n">
        <f aca="false">+W485-AC485</f>
        <v>0</v>
      </c>
      <c r="AC485" s="34" t="n">
        <f aca="false">+Tabla[[#This Row],[P4]]+Tabla[[#This Row],[P3]]+Tabla[[#This Row],[P2]]+Tabla[[#This Row],[P1]]</f>
        <v>11331</v>
      </c>
      <c r="AD485" s="34" t="n">
        <f aca="false">+W485-AC485</f>
        <v>0</v>
      </c>
      <c r="AE485" s="21" t="str">
        <f aca="false">IF(AB485&lt;1,"PAGADA","PENDIENTE")</f>
        <v>PAGADA</v>
      </c>
      <c r="AF485" s="21"/>
      <c r="AG485" s="29"/>
      <c r="AH485" s="40"/>
      <c r="AI485" s="40" t="n">
        <f aca="false">+IF(Tabla[[#This Row],[FECHA PAGO / ABONO]]&lt;1,0,(MONTH(Tabla[[#This Row],[FECHA PAGO / ABONO]])))</f>
        <v>0</v>
      </c>
      <c r="AJ485" s="40" t="n">
        <f aca="false">+IF(Tabla[[#This Row],[FECHA PAGO / ABONO]]&lt;1,0,(YEAR(Tabla[[#This Row],[FECHA PAGO / ABONO]])))</f>
        <v>0</v>
      </c>
      <c r="AK485" s="41"/>
    </row>
    <row r="486" customFormat="false" ht="14.25" hidden="false" customHeight="false" outlineLevel="0" collapsed="false">
      <c r="A486" s="28" t="s">
        <v>227</v>
      </c>
      <c r="B486" s="29" t="s">
        <v>228</v>
      </c>
      <c r="C486" s="29" t="s">
        <v>229</v>
      </c>
      <c r="D486" s="21" t="n">
        <v>10645</v>
      </c>
      <c r="E486" s="21" t="str">
        <f aca="false">+CONCATENATE(Tabla[[#This Row],[RUT]],Tabla[[#This Row],[PROVEEDOR]],Tabla[[#This Row],[FACTURA]])</f>
        <v>77549724-6YHC CONSULTORES LIMITADA10645</v>
      </c>
      <c r="F486" s="57" t="n">
        <v>46109</v>
      </c>
      <c r="G486" s="31" t="n">
        <f aca="false">+F486+30</f>
        <v>46139</v>
      </c>
      <c r="H486" s="29" t="n">
        <f aca="true">+IF(AE486="PAGADA",0,TODAY()-G486)</f>
        <v>0</v>
      </c>
      <c r="I486" s="29" t="str">
        <f aca="false">+IF(H486&gt;180,"Atrasada",IF(H486&gt;150,"150 dias",IF(H486&gt;120,"120 dias",IF(H486&gt;90,"90 dias",IF(H486&gt;60,"60 dias",IF(H486&gt;30,"30 dias","Al Día"))))))</f>
        <v>Al Día</v>
      </c>
      <c r="J486" s="32" t="s">
        <v>31</v>
      </c>
      <c r="K486" s="29" t="s">
        <v>81</v>
      </c>
      <c r="L486" s="33" t="s">
        <v>277</v>
      </c>
      <c r="M486" s="29" t="n">
        <f aca="false">+YEAR(F486)</f>
        <v>2026</v>
      </c>
      <c r="N486" s="29" t="n">
        <v>2026</v>
      </c>
      <c r="O486" s="29" t="n">
        <v>3</v>
      </c>
      <c r="P486" s="29" t="str">
        <f aca="false">+CONCATENATE(Tabla[[#This Row],[MES CAMPAÑA]],"/",Tabla[[#This Row],[AÑO CAMPAÑA]])</f>
        <v>3/2026</v>
      </c>
      <c r="Q486" s="29" t="s">
        <v>73</v>
      </c>
      <c r="R486" s="29"/>
      <c r="S486" s="34" t="n">
        <v>1334842</v>
      </c>
      <c r="T486" s="34" t="n">
        <v>0</v>
      </c>
      <c r="U486" s="34" t="n">
        <v>0</v>
      </c>
      <c r="V486" s="29"/>
      <c r="W486" s="35" t="n">
        <v>1334842</v>
      </c>
      <c r="X486" s="36" t="n">
        <f aca="false">+Tabla[[#This Row],[TOTAL]]</f>
        <v>1334842</v>
      </c>
      <c r="Y486" s="37"/>
      <c r="Z486" s="37"/>
      <c r="AA486" s="37"/>
      <c r="AB486" s="38" t="n">
        <f aca="false">+W486-AC486</f>
        <v>0</v>
      </c>
      <c r="AC486" s="34" t="n">
        <f aca="false">+Tabla[[#This Row],[P4]]+Tabla[[#This Row],[P3]]+Tabla[[#This Row],[P2]]+Tabla[[#This Row],[P1]]</f>
        <v>1334842</v>
      </c>
      <c r="AD486" s="34" t="n">
        <f aca="false">+W486-AC486</f>
        <v>0</v>
      </c>
      <c r="AE486" s="21" t="str">
        <f aca="false">IF(AB486&lt;1,"PAGADA","PENDIENTE")</f>
        <v>PAGADA</v>
      </c>
      <c r="AF486" s="21"/>
      <c r="AG486" s="29" t="s">
        <v>77</v>
      </c>
      <c r="AH486" s="39" t="n">
        <v>46161</v>
      </c>
      <c r="AI486" s="40" t="n">
        <f aca="false">+IF(Tabla[[#This Row],[FECHA PAGO / ABONO]]&lt;1,0,(MONTH(Tabla[[#This Row],[FECHA PAGO / ABONO]])))</f>
        <v>5</v>
      </c>
      <c r="AJ486" s="40" t="n">
        <f aca="false">+IF(Tabla[[#This Row],[FECHA PAGO / ABONO]]&lt;1,0,(YEAR(Tabla[[#This Row],[FECHA PAGO / ABONO]])))</f>
        <v>2026</v>
      </c>
      <c r="AK486" s="41"/>
    </row>
    <row r="487" customFormat="false" ht="14.25" hidden="false" customHeight="false" outlineLevel="0" collapsed="false">
      <c r="A487" s="28" t="s">
        <v>236</v>
      </c>
      <c r="B487" s="29" t="s">
        <v>237</v>
      </c>
      <c r="C487" s="29" t="s">
        <v>69</v>
      </c>
      <c r="D487" s="21" t="n">
        <v>110827</v>
      </c>
      <c r="E487" s="21" t="str">
        <f aca="false">+CONCATENATE(Tabla[[#This Row],[RUT]],Tabla[[#This Row],[PROVEEDOR]],Tabla[[#This Row],[FACTURA]])</f>
        <v>96669520-KRed De Television Chilevision SA110827</v>
      </c>
      <c r="F487" s="57" t="n">
        <v>46111</v>
      </c>
      <c r="G487" s="31" t="n">
        <f aca="false">+F487+30</f>
        <v>46141</v>
      </c>
      <c r="H487" s="29" t="n">
        <f aca="true">+IF(AE487="PAGADA",0,TODAY()-G487)</f>
        <v>63</v>
      </c>
      <c r="I487" s="29" t="str">
        <f aca="false">+IF(H487&gt;180,"Atrasada",IF(H487&gt;150,"150 dias",IF(H487&gt;120,"120 dias",IF(H487&gt;90,"90 dias",IF(H487&gt;60,"60 dias",IF(H487&gt;30,"30 dias","Al Día"))))))</f>
        <v>60 dias</v>
      </c>
      <c r="J487" s="32" t="s">
        <v>80</v>
      </c>
      <c r="K487" s="29" t="s">
        <v>81</v>
      </c>
      <c r="L487" s="33" t="s">
        <v>277</v>
      </c>
      <c r="M487" s="29" t="n">
        <f aca="false">+YEAR(F487)</f>
        <v>2026</v>
      </c>
      <c r="N487" s="29" t="n">
        <v>2026</v>
      </c>
      <c r="O487" s="29" t="n">
        <v>2</v>
      </c>
      <c r="P487" s="29" t="str">
        <f aca="false">+CONCATENATE(Tabla[[#This Row],[MES CAMPAÑA]],"/",Tabla[[#This Row],[AÑO CAMPAÑA]])</f>
        <v>2/2026</v>
      </c>
      <c r="Q487" s="29" t="s">
        <v>123</v>
      </c>
      <c r="R487" s="29"/>
      <c r="S487" s="34" t="n">
        <v>0</v>
      </c>
      <c r="T487" s="34" t="n">
        <v>5616000</v>
      </c>
      <c r="U487" s="34" t="n">
        <v>1067040</v>
      </c>
      <c r="V487" s="29"/>
      <c r="W487" s="35" t="n">
        <v>6683040</v>
      </c>
      <c r="X487" s="36"/>
      <c r="Y487" s="37"/>
      <c r="Z487" s="37"/>
      <c r="AA487" s="37"/>
      <c r="AB487" s="38" t="n">
        <f aca="false">+W487-AC487</f>
        <v>6683040</v>
      </c>
      <c r="AC487" s="34" t="n">
        <f aca="false">+Tabla[[#This Row],[P4]]+Tabla[[#This Row],[P3]]+Tabla[[#This Row],[P2]]+Tabla[[#This Row],[P1]]</f>
        <v>0</v>
      </c>
      <c r="AD487" s="34" t="n">
        <f aca="false">+W487-AC487</f>
        <v>6683040</v>
      </c>
      <c r="AE487" s="21" t="str">
        <f aca="false">IF(AB487&lt;1,"PAGADA","PENDIENTE")</f>
        <v>PENDIENTE</v>
      </c>
      <c r="AF487" s="21"/>
      <c r="AG487" s="29"/>
      <c r="AH487" s="40"/>
      <c r="AI487" s="40" t="n">
        <f aca="false">+IF(Tabla[[#This Row],[FECHA PAGO / ABONO]]&lt;1,0,(MONTH(Tabla[[#This Row],[FECHA PAGO / ABONO]])))</f>
        <v>0</v>
      </c>
      <c r="AJ487" s="40" t="n">
        <f aca="false">+IF(Tabla[[#This Row],[FECHA PAGO / ABONO]]&lt;1,0,(YEAR(Tabla[[#This Row],[FECHA PAGO / ABONO]])))</f>
        <v>0</v>
      </c>
      <c r="AK487" s="41"/>
    </row>
    <row r="488" customFormat="false" ht="14.25" hidden="false" customHeight="false" outlineLevel="0" collapsed="false">
      <c r="A488" s="28" t="s">
        <v>236</v>
      </c>
      <c r="B488" s="29" t="s">
        <v>237</v>
      </c>
      <c r="C488" s="29" t="s">
        <v>69</v>
      </c>
      <c r="D488" s="21" t="n">
        <v>110828</v>
      </c>
      <c r="E488" s="21" t="str">
        <f aca="false">+CONCATENATE(Tabla[[#This Row],[RUT]],Tabla[[#This Row],[PROVEEDOR]],Tabla[[#This Row],[FACTURA]])</f>
        <v>96669520-KRed De Television Chilevision SA110828</v>
      </c>
      <c r="F488" s="57" t="n">
        <v>46111</v>
      </c>
      <c r="G488" s="31" t="n">
        <f aca="false">+F488+30</f>
        <v>46141</v>
      </c>
      <c r="H488" s="29" t="n">
        <f aca="true">+IF(AE488="PAGADA",0,TODAY()-G488)</f>
        <v>63</v>
      </c>
      <c r="I488" s="29" t="str">
        <f aca="false">+IF(H488&gt;180,"Atrasada",IF(H488&gt;150,"150 dias",IF(H488&gt;120,"120 dias",IF(H488&gt;90,"90 dias",IF(H488&gt;60,"60 dias",IF(H488&gt;30,"30 dias","Al Día"))))))</f>
        <v>60 dias</v>
      </c>
      <c r="J488" s="32" t="s">
        <v>80</v>
      </c>
      <c r="K488" s="29" t="s">
        <v>81</v>
      </c>
      <c r="L488" s="33" t="s">
        <v>277</v>
      </c>
      <c r="M488" s="29" t="n">
        <f aca="false">+YEAR(F488)</f>
        <v>2026</v>
      </c>
      <c r="N488" s="29" t="n">
        <v>2026</v>
      </c>
      <c r="O488" s="29" t="n">
        <v>2</v>
      </c>
      <c r="P488" s="29" t="str">
        <f aca="false">+CONCATENATE(Tabla[[#This Row],[MES CAMPAÑA]],"/",Tabla[[#This Row],[AÑO CAMPAÑA]])</f>
        <v>2/2026</v>
      </c>
      <c r="Q488" s="29" t="s">
        <v>123</v>
      </c>
      <c r="R488" s="29"/>
      <c r="S488" s="34" t="n">
        <v>0</v>
      </c>
      <c r="T488" s="34" t="n">
        <v>842400</v>
      </c>
      <c r="U488" s="34" t="n">
        <v>160056</v>
      </c>
      <c r="V488" s="29"/>
      <c r="W488" s="35" t="n">
        <v>1002456</v>
      </c>
      <c r="X488" s="36"/>
      <c r="Y488" s="37"/>
      <c r="Z488" s="37"/>
      <c r="AA488" s="37"/>
      <c r="AB488" s="38" t="n">
        <f aca="false">+W488-AC488</f>
        <v>1002456</v>
      </c>
      <c r="AC488" s="34" t="n">
        <f aca="false">+Tabla[[#This Row],[P4]]+Tabla[[#This Row],[P3]]+Tabla[[#This Row],[P2]]+Tabla[[#This Row],[P1]]</f>
        <v>0</v>
      </c>
      <c r="AD488" s="34" t="n">
        <f aca="false">+W488-AC488</f>
        <v>1002456</v>
      </c>
      <c r="AE488" s="21" t="str">
        <f aca="false">IF(AB488&lt;1,"PAGADA","PENDIENTE")</f>
        <v>PENDIENTE</v>
      </c>
      <c r="AF488" s="21"/>
      <c r="AG488" s="29"/>
      <c r="AH488" s="40"/>
      <c r="AI488" s="40" t="n">
        <f aca="false">+IF(Tabla[[#This Row],[FECHA PAGO / ABONO]]&lt;1,0,(MONTH(Tabla[[#This Row],[FECHA PAGO / ABONO]])))</f>
        <v>0</v>
      </c>
      <c r="AJ488" s="40" t="n">
        <f aca="false">+IF(Tabla[[#This Row],[FECHA PAGO / ABONO]]&lt;1,0,(YEAR(Tabla[[#This Row],[FECHA PAGO / ABONO]])))</f>
        <v>0</v>
      </c>
      <c r="AK488" s="41"/>
    </row>
    <row r="489" customFormat="false" ht="14.25" hidden="false" customHeight="false" outlineLevel="0" collapsed="false">
      <c r="A489" s="28" t="s">
        <v>249</v>
      </c>
      <c r="B489" s="29" t="s">
        <v>250</v>
      </c>
      <c r="C489" s="29" t="s">
        <v>69</v>
      </c>
      <c r="D489" s="21" t="n">
        <v>361945</v>
      </c>
      <c r="E489" s="21" t="str">
        <f aca="false">+CONCATENATE(Tabla[[#This Row],[RUT]],Tabla[[#This Row],[PROVEEDOR]],Tabla[[#This Row],[FACTURA]])</f>
        <v>84295700-1Empresa Periodistica El Norte S.A.361945</v>
      </c>
      <c r="F489" s="57" t="n">
        <v>46111</v>
      </c>
      <c r="G489" s="31" t="n">
        <f aca="false">+F489+30</f>
        <v>46141</v>
      </c>
      <c r="H489" s="29" t="n">
        <f aca="true">+IF(AE489="PAGADA",0,TODAY()-G489)</f>
        <v>0</v>
      </c>
      <c r="I489" s="29" t="str">
        <f aca="false">+IF(H489&gt;180,"Atrasada",IF(H489&gt;150,"150 dias",IF(H489&gt;120,"120 dias",IF(H489&gt;90,"90 dias",IF(H489&gt;60,"60 dias",IF(H489&gt;30,"30 dias","Al Día"))))))</f>
        <v>Al Día</v>
      </c>
      <c r="J489" s="32" t="s">
        <v>80</v>
      </c>
      <c r="K489" s="29" t="s">
        <v>81</v>
      </c>
      <c r="L489" s="33" t="s">
        <v>277</v>
      </c>
      <c r="M489" s="29" t="n">
        <f aca="false">+YEAR(F489)</f>
        <v>2026</v>
      </c>
      <c r="N489" s="29" t="n">
        <v>2026</v>
      </c>
      <c r="O489" s="29" t="n">
        <v>2</v>
      </c>
      <c r="P489" s="29" t="str">
        <f aca="false">+CONCATENATE(Tabla[[#This Row],[MES CAMPAÑA]],"/",Tabla[[#This Row],[AÑO CAMPAÑA]])</f>
        <v>2/2026</v>
      </c>
      <c r="Q489" s="29" t="s">
        <v>108</v>
      </c>
      <c r="R489" s="29"/>
      <c r="S489" s="34" t="n">
        <v>0</v>
      </c>
      <c r="T489" s="34" t="n">
        <v>698000</v>
      </c>
      <c r="U489" s="34" t="n">
        <v>132620</v>
      </c>
      <c r="V489" s="29"/>
      <c r="W489" s="35" t="n">
        <v>830620</v>
      </c>
      <c r="X489" s="36" t="n">
        <f aca="false">+Tabla[[#This Row],[TOTAL]]</f>
        <v>830620</v>
      </c>
      <c r="Y489" s="37"/>
      <c r="Z489" s="37"/>
      <c r="AA489" s="37"/>
      <c r="AB489" s="38" t="n">
        <f aca="false">+W489-AC489</f>
        <v>0</v>
      </c>
      <c r="AC489" s="34" t="n">
        <f aca="false">+Tabla[[#This Row],[P4]]+Tabla[[#This Row],[P3]]+Tabla[[#This Row],[P2]]+Tabla[[#This Row],[P1]]</f>
        <v>830620</v>
      </c>
      <c r="AD489" s="34" t="n">
        <f aca="false">+W489-AC489</f>
        <v>0</v>
      </c>
      <c r="AE489" s="21" t="str">
        <f aca="false">IF(AB489&lt;1,"PAGADA","PENDIENTE")</f>
        <v>PAGADA</v>
      </c>
      <c r="AF489" s="21" t="s">
        <v>278</v>
      </c>
      <c r="AG489" s="29" t="s">
        <v>77</v>
      </c>
      <c r="AH489" s="39" t="n">
        <v>46178</v>
      </c>
      <c r="AI489" s="40" t="n">
        <f aca="false">+IF(Tabla[[#This Row],[FECHA PAGO / ABONO]]&lt;1,0,(MONTH(Tabla[[#This Row],[FECHA PAGO / ABONO]])))</f>
        <v>6</v>
      </c>
      <c r="AJ489" s="40" t="n">
        <f aca="false">+IF(Tabla[[#This Row],[FECHA PAGO / ABONO]]&lt;1,0,(YEAR(Tabla[[#This Row],[FECHA PAGO / ABONO]])))</f>
        <v>2026</v>
      </c>
      <c r="AK489" s="41"/>
    </row>
    <row r="490" customFormat="false" ht="14.25" hidden="false" customHeight="false" outlineLevel="0" collapsed="false">
      <c r="A490" s="28" t="s">
        <v>299</v>
      </c>
      <c r="B490" s="29" t="s">
        <v>300</v>
      </c>
      <c r="C490" s="29" t="s">
        <v>69</v>
      </c>
      <c r="D490" s="21" t="n">
        <v>1100</v>
      </c>
      <c r="E490" s="21" t="str">
        <f aca="false">+CONCATENATE(Tabla[[#This Row],[RUT]],Tabla[[#This Row],[PROVEEDOR]],Tabla[[#This Row],[FACTURA]])</f>
        <v>77165601-3QUMRAN SPA1100</v>
      </c>
      <c r="F490" s="57" t="n">
        <v>46112</v>
      </c>
      <c r="G490" s="31" t="n">
        <f aca="false">+F490+30</f>
        <v>46142</v>
      </c>
      <c r="H490" s="29" t="n">
        <f aca="true">+IF(AE490="PAGADA",0,TODAY()-G490)</f>
        <v>62</v>
      </c>
      <c r="I490" s="29" t="str">
        <f aca="false">+IF(H490&gt;180,"Atrasada",IF(H490&gt;150,"150 dias",IF(H490&gt;120,"120 dias",IF(H490&gt;90,"90 dias",IF(H490&gt;60,"60 dias",IF(H490&gt;30,"30 dias","Al Día"))))))</f>
        <v>60 dias</v>
      </c>
      <c r="J490" s="32" t="s">
        <v>80</v>
      </c>
      <c r="K490" s="29" t="s">
        <v>81</v>
      </c>
      <c r="L490" s="33" t="s">
        <v>277</v>
      </c>
      <c r="M490" s="29" t="n">
        <f aca="false">+YEAR(F490)</f>
        <v>2026</v>
      </c>
      <c r="N490" s="29" t="n">
        <v>2025</v>
      </c>
      <c r="O490" s="29" t="n">
        <v>2</v>
      </c>
      <c r="P490" s="29" t="str">
        <f aca="false">+CONCATENATE(Tabla[[#This Row],[MES CAMPAÑA]],"/",Tabla[[#This Row],[AÑO CAMPAÑA]])</f>
        <v>2/2025</v>
      </c>
      <c r="Q490" s="29" t="s">
        <v>301</v>
      </c>
      <c r="R490" s="29"/>
      <c r="S490" s="34" t="n">
        <v>0</v>
      </c>
      <c r="T490" s="34" t="n">
        <v>1800000</v>
      </c>
      <c r="U490" s="34" t="n">
        <v>342000</v>
      </c>
      <c r="V490" s="29"/>
      <c r="W490" s="35" t="n">
        <v>2142000</v>
      </c>
      <c r="X490" s="36"/>
      <c r="Y490" s="37"/>
      <c r="Z490" s="37"/>
      <c r="AA490" s="37"/>
      <c r="AB490" s="38" t="n">
        <f aca="false">+W490-AC490</f>
        <v>2142000</v>
      </c>
      <c r="AC490" s="34" t="n">
        <f aca="false">+Tabla[[#This Row],[P4]]+Tabla[[#This Row],[P3]]+Tabla[[#This Row],[P2]]+Tabla[[#This Row],[P1]]</f>
        <v>0</v>
      </c>
      <c r="AD490" s="34" t="n">
        <f aca="false">+W490-AC490</f>
        <v>2142000</v>
      </c>
      <c r="AE490" s="21" t="str">
        <f aca="false">IF(AB490&lt;1,"PAGADA","PENDIENTE")</f>
        <v>PENDIENTE</v>
      </c>
      <c r="AF490" s="21"/>
      <c r="AG490" s="29"/>
      <c r="AH490" s="40"/>
      <c r="AI490" s="40" t="n">
        <f aca="false">+IF(Tabla[[#This Row],[FECHA PAGO / ABONO]]&lt;1,0,(MONTH(Tabla[[#This Row],[FECHA PAGO / ABONO]])))</f>
        <v>0</v>
      </c>
      <c r="AJ490" s="40" t="n">
        <f aca="false">+IF(Tabla[[#This Row],[FECHA PAGO / ABONO]]&lt;1,0,(YEAR(Tabla[[#This Row],[FECHA PAGO / ABONO]])))</f>
        <v>0</v>
      </c>
      <c r="AK490" s="41"/>
    </row>
    <row r="491" customFormat="false" ht="14.25" hidden="false" customHeight="false" outlineLevel="0" collapsed="false">
      <c r="A491" s="28" t="s">
        <v>299</v>
      </c>
      <c r="B491" s="29" t="s">
        <v>300</v>
      </c>
      <c r="C491" s="29" t="s">
        <v>69</v>
      </c>
      <c r="D491" s="21" t="n">
        <v>1099</v>
      </c>
      <c r="E491" s="21" t="str">
        <f aca="false">+CONCATENATE(Tabla[[#This Row],[RUT]],Tabla[[#This Row],[PROVEEDOR]],Tabla[[#This Row],[FACTURA]])</f>
        <v>77165601-3QUMRAN SPA1099</v>
      </c>
      <c r="F491" s="57" t="n">
        <v>46112</v>
      </c>
      <c r="G491" s="31" t="n">
        <f aca="false">+F491+30</f>
        <v>46142</v>
      </c>
      <c r="H491" s="29" t="n">
        <f aca="true">+IF(AE491="PAGADA",0,TODAY()-G491)</f>
        <v>62</v>
      </c>
      <c r="I491" s="29" t="str">
        <f aca="false">+IF(H491&gt;180,"Atrasada",IF(H491&gt;150,"150 dias",IF(H491&gt;120,"120 dias",IF(H491&gt;90,"90 dias",IF(H491&gt;60,"60 dias",IF(H491&gt;30,"30 dias","Al Día"))))))</f>
        <v>60 dias</v>
      </c>
      <c r="J491" s="32" t="s">
        <v>80</v>
      </c>
      <c r="K491" s="29" t="s">
        <v>81</v>
      </c>
      <c r="L491" s="33" t="s">
        <v>277</v>
      </c>
      <c r="M491" s="29" t="n">
        <f aca="false">+YEAR(F491)</f>
        <v>2026</v>
      </c>
      <c r="N491" s="29" t="n">
        <v>2025</v>
      </c>
      <c r="O491" s="29" t="n">
        <v>1</v>
      </c>
      <c r="P491" s="29" t="str">
        <f aca="false">+CONCATENATE(Tabla[[#This Row],[MES CAMPAÑA]],"/",Tabla[[#This Row],[AÑO CAMPAÑA]])</f>
        <v>1/2025</v>
      </c>
      <c r="Q491" s="29" t="s">
        <v>302</v>
      </c>
      <c r="R491" s="29"/>
      <c r="S491" s="34" t="n">
        <v>0</v>
      </c>
      <c r="T491" s="34" t="n">
        <v>3685000</v>
      </c>
      <c r="U491" s="34" t="n">
        <v>700150</v>
      </c>
      <c r="V491" s="29"/>
      <c r="W491" s="35" t="n">
        <v>4385150</v>
      </c>
      <c r="X491" s="36"/>
      <c r="Y491" s="37"/>
      <c r="Z491" s="37"/>
      <c r="AA491" s="37"/>
      <c r="AB491" s="38" t="n">
        <f aca="false">+W491-AC491</f>
        <v>4385150</v>
      </c>
      <c r="AC491" s="34" t="n">
        <f aca="false">+Tabla[[#This Row],[P4]]+Tabla[[#This Row],[P3]]+Tabla[[#This Row],[P2]]+Tabla[[#This Row],[P1]]</f>
        <v>0</v>
      </c>
      <c r="AD491" s="34" t="n">
        <f aca="false">+W491-AC491</f>
        <v>4385150</v>
      </c>
      <c r="AE491" s="21" t="str">
        <f aca="false">IF(AB491&lt;1,"PAGADA","PENDIENTE")</f>
        <v>PENDIENTE</v>
      </c>
      <c r="AF491" s="21"/>
      <c r="AG491" s="29"/>
      <c r="AH491" s="40"/>
      <c r="AI491" s="40" t="n">
        <f aca="false">+IF(Tabla[[#This Row],[FECHA PAGO / ABONO]]&lt;1,0,(MONTH(Tabla[[#This Row],[FECHA PAGO / ABONO]])))</f>
        <v>0</v>
      </c>
      <c r="AJ491" s="40" t="n">
        <f aca="false">+IF(Tabla[[#This Row],[FECHA PAGO / ABONO]]&lt;1,0,(YEAR(Tabla[[#This Row],[FECHA PAGO / ABONO]])))</f>
        <v>0</v>
      </c>
      <c r="AK491" s="41"/>
    </row>
    <row r="492" customFormat="false" ht="14.25" hidden="false" customHeight="false" outlineLevel="0" collapsed="false">
      <c r="A492" s="28" t="s">
        <v>299</v>
      </c>
      <c r="B492" s="29" t="s">
        <v>300</v>
      </c>
      <c r="C492" s="29" t="s">
        <v>69</v>
      </c>
      <c r="D492" s="21" t="n">
        <v>1098</v>
      </c>
      <c r="E492" s="21" t="str">
        <f aca="false">+CONCATENATE(Tabla[[#This Row],[RUT]],Tabla[[#This Row],[PROVEEDOR]],Tabla[[#This Row],[FACTURA]])</f>
        <v>77165601-3QUMRAN SPA1098</v>
      </c>
      <c r="F492" s="57" t="n">
        <v>46112</v>
      </c>
      <c r="G492" s="31" t="n">
        <f aca="false">+F492+30</f>
        <v>46142</v>
      </c>
      <c r="H492" s="29" t="n">
        <f aca="true">+IF(AE492="PAGADA",0,TODAY()-G492)</f>
        <v>62</v>
      </c>
      <c r="I492" s="29" t="str">
        <f aca="false">+IF(H492&gt;180,"Atrasada",IF(H492&gt;150,"150 dias",IF(H492&gt;120,"120 dias",IF(H492&gt;90,"90 dias",IF(H492&gt;60,"60 dias",IF(H492&gt;30,"30 dias","Al Día"))))))</f>
        <v>60 dias</v>
      </c>
      <c r="J492" s="32" t="s">
        <v>80</v>
      </c>
      <c r="K492" s="29" t="s">
        <v>81</v>
      </c>
      <c r="L492" s="33" t="s">
        <v>277</v>
      </c>
      <c r="M492" s="29" t="n">
        <f aca="false">+YEAR(F492)</f>
        <v>2026</v>
      </c>
      <c r="N492" s="29" t="n">
        <v>2025</v>
      </c>
      <c r="O492" s="29" t="n">
        <v>1</v>
      </c>
      <c r="P492" s="29" t="str">
        <f aca="false">+CONCATENATE(Tabla[[#This Row],[MES CAMPAÑA]],"/",Tabla[[#This Row],[AÑO CAMPAÑA]])</f>
        <v>1/2025</v>
      </c>
      <c r="Q492" s="29" t="s">
        <v>302</v>
      </c>
      <c r="R492" s="29"/>
      <c r="S492" s="34" t="n">
        <v>0</v>
      </c>
      <c r="T492" s="34" t="n">
        <v>5680000</v>
      </c>
      <c r="U492" s="34" t="n">
        <v>1079200</v>
      </c>
      <c r="V492" s="29"/>
      <c r="W492" s="35" t="n">
        <v>6759200</v>
      </c>
      <c r="X492" s="36"/>
      <c r="Y492" s="37"/>
      <c r="Z492" s="37"/>
      <c r="AA492" s="37"/>
      <c r="AB492" s="38" t="n">
        <f aca="false">+W492-AC492</f>
        <v>6759200</v>
      </c>
      <c r="AC492" s="34" t="n">
        <f aca="false">+Tabla[[#This Row],[P4]]+Tabla[[#This Row],[P3]]+Tabla[[#This Row],[P2]]+Tabla[[#This Row],[P1]]</f>
        <v>0</v>
      </c>
      <c r="AD492" s="34" t="n">
        <f aca="false">+W492-AC492</f>
        <v>6759200</v>
      </c>
      <c r="AE492" s="21" t="str">
        <f aca="false">IF(AB492&lt;1,"PAGADA","PENDIENTE")</f>
        <v>PENDIENTE</v>
      </c>
      <c r="AF492" s="21"/>
      <c r="AG492" s="29"/>
      <c r="AH492" s="40"/>
      <c r="AI492" s="40" t="n">
        <f aca="false">+IF(Tabla[[#This Row],[FECHA PAGO / ABONO]]&lt;1,0,(MONTH(Tabla[[#This Row],[FECHA PAGO / ABONO]])))</f>
        <v>0</v>
      </c>
      <c r="AJ492" s="40" t="n">
        <f aca="false">+IF(Tabla[[#This Row],[FECHA PAGO / ABONO]]&lt;1,0,(YEAR(Tabla[[#This Row],[FECHA PAGO / ABONO]])))</f>
        <v>0</v>
      </c>
      <c r="AK492" s="41"/>
    </row>
    <row r="493" customFormat="false" ht="14.25" hidden="false" customHeight="false" outlineLevel="0" collapsed="false">
      <c r="A493" s="28" t="s">
        <v>299</v>
      </c>
      <c r="B493" s="29" t="s">
        <v>300</v>
      </c>
      <c r="C493" s="29" t="s">
        <v>69</v>
      </c>
      <c r="D493" s="21" t="n">
        <v>1097</v>
      </c>
      <c r="E493" s="21" t="str">
        <f aca="false">+CONCATENATE(Tabla[[#This Row],[RUT]],Tabla[[#This Row],[PROVEEDOR]],Tabla[[#This Row],[FACTURA]])</f>
        <v>77165601-3QUMRAN SPA1097</v>
      </c>
      <c r="F493" s="57" t="n">
        <v>46112</v>
      </c>
      <c r="G493" s="31" t="n">
        <f aca="false">+F493+30</f>
        <v>46142</v>
      </c>
      <c r="H493" s="29" t="n">
        <f aca="true">+IF(AE493="PAGADA",0,TODAY()-G493)</f>
        <v>62</v>
      </c>
      <c r="I493" s="29" t="str">
        <f aca="false">+IF(H493&gt;180,"Atrasada",IF(H493&gt;150,"150 dias",IF(H493&gt;120,"120 dias",IF(H493&gt;90,"90 dias",IF(H493&gt;60,"60 dias",IF(H493&gt;30,"30 dias","Al Día"))))))</f>
        <v>60 dias</v>
      </c>
      <c r="J493" s="32" t="s">
        <v>80</v>
      </c>
      <c r="K493" s="29" t="s">
        <v>81</v>
      </c>
      <c r="L493" s="33" t="s">
        <v>277</v>
      </c>
      <c r="M493" s="29" t="n">
        <f aca="false">+YEAR(F493)</f>
        <v>2026</v>
      </c>
      <c r="N493" s="29" t="n">
        <v>2025</v>
      </c>
      <c r="O493" s="29" t="n">
        <v>1</v>
      </c>
      <c r="P493" s="29" t="str">
        <f aca="false">+CONCATENATE(Tabla[[#This Row],[MES CAMPAÑA]],"/",Tabla[[#This Row],[AÑO CAMPAÑA]])</f>
        <v>1/2025</v>
      </c>
      <c r="Q493" s="29" t="s">
        <v>302</v>
      </c>
      <c r="R493" s="29"/>
      <c r="S493" s="34" t="n">
        <v>0</v>
      </c>
      <c r="T493" s="34" t="n">
        <v>13930987</v>
      </c>
      <c r="U493" s="34" t="n">
        <v>2646888</v>
      </c>
      <c r="V493" s="29"/>
      <c r="W493" s="35" t="n">
        <v>16577875</v>
      </c>
      <c r="X493" s="36"/>
      <c r="Y493" s="37"/>
      <c r="Z493" s="37"/>
      <c r="AA493" s="37"/>
      <c r="AB493" s="38" t="n">
        <f aca="false">+W493-AC493</f>
        <v>16577875</v>
      </c>
      <c r="AC493" s="34" t="n">
        <f aca="false">+Tabla[[#This Row],[P4]]+Tabla[[#This Row],[P3]]+Tabla[[#This Row],[P2]]+Tabla[[#This Row],[P1]]</f>
        <v>0</v>
      </c>
      <c r="AD493" s="34" t="n">
        <f aca="false">+W493-AC493</f>
        <v>16577875</v>
      </c>
      <c r="AE493" s="21" t="str">
        <f aca="false">IF(AB493&lt;1,"PAGADA","PENDIENTE")</f>
        <v>PENDIENTE</v>
      </c>
      <c r="AF493" s="21"/>
      <c r="AG493" s="29"/>
      <c r="AH493" s="40"/>
      <c r="AI493" s="40" t="n">
        <f aca="false">+IF(Tabla[[#This Row],[FECHA PAGO / ABONO]]&lt;1,0,(MONTH(Tabla[[#This Row],[FECHA PAGO / ABONO]])))</f>
        <v>0</v>
      </c>
      <c r="AJ493" s="40" t="n">
        <f aca="false">+IF(Tabla[[#This Row],[FECHA PAGO / ABONO]]&lt;1,0,(YEAR(Tabla[[#This Row],[FECHA PAGO / ABONO]])))</f>
        <v>0</v>
      </c>
      <c r="AK493" s="41"/>
    </row>
    <row r="494" customFormat="false" ht="14.25" hidden="false" customHeight="false" outlineLevel="0" collapsed="false">
      <c r="A494" s="28" t="s">
        <v>303</v>
      </c>
      <c r="B494" s="29" t="s">
        <v>304</v>
      </c>
      <c r="C494" s="29" t="s">
        <v>69</v>
      </c>
      <c r="D494" s="21" t="n">
        <v>186</v>
      </c>
      <c r="E494" s="21" t="str">
        <f aca="false">+CONCATENATE(Tabla[[#This Row],[RUT]],Tabla[[#This Row],[PROVEEDOR]],Tabla[[#This Row],[FACTURA]])</f>
        <v>76587927-2GENESIS SPA186</v>
      </c>
      <c r="F494" s="57" t="n">
        <v>46112</v>
      </c>
      <c r="G494" s="31" t="n">
        <f aca="false">+F494+30</f>
        <v>46142</v>
      </c>
      <c r="H494" s="29" t="n">
        <f aca="true">+IF(AE494="PAGADA",0,TODAY()-G494)</f>
        <v>62</v>
      </c>
      <c r="I494" s="29" t="str">
        <f aca="false">+IF(H494&gt;180,"Atrasada",IF(H494&gt;150,"150 dias",IF(H494&gt;120,"120 dias",IF(H494&gt;90,"90 dias",IF(H494&gt;60,"60 dias",IF(H494&gt;30,"30 dias","Al Día"))))))</f>
        <v>60 dias</v>
      </c>
      <c r="J494" s="32" t="s">
        <v>31</v>
      </c>
      <c r="K494" s="29" t="s">
        <v>81</v>
      </c>
      <c r="L494" s="33" t="s">
        <v>277</v>
      </c>
      <c r="M494" s="29" t="n">
        <f aca="false">+YEAR(F494)</f>
        <v>2026</v>
      </c>
      <c r="N494" s="29" t="n">
        <v>2026</v>
      </c>
      <c r="O494" s="29" t="n">
        <v>3</v>
      </c>
      <c r="P494" s="29" t="str">
        <f aca="false">+CONCATENATE(Tabla[[#This Row],[MES CAMPAÑA]],"/",Tabla[[#This Row],[AÑO CAMPAÑA]])</f>
        <v>3/2026</v>
      </c>
      <c r="Q494" s="29" t="s">
        <v>73</v>
      </c>
      <c r="R494" s="29"/>
      <c r="S494" s="34" t="n">
        <v>0</v>
      </c>
      <c r="T494" s="34" t="n">
        <v>42000000</v>
      </c>
      <c r="U494" s="34" t="n">
        <v>7980000</v>
      </c>
      <c r="V494" s="29"/>
      <c r="W494" s="35" t="n">
        <v>49980000</v>
      </c>
      <c r="X494" s="36"/>
      <c r="Y494" s="37"/>
      <c r="Z494" s="37"/>
      <c r="AA494" s="37"/>
      <c r="AB494" s="38" t="n">
        <f aca="false">+W494-AC494</f>
        <v>49980000</v>
      </c>
      <c r="AC494" s="34" t="n">
        <f aca="false">+Tabla[[#This Row],[P4]]+Tabla[[#This Row],[P3]]+Tabla[[#This Row],[P2]]+Tabla[[#This Row],[P1]]</f>
        <v>0</v>
      </c>
      <c r="AD494" s="34" t="n">
        <f aca="false">+W494-AC494</f>
        <v>49980000</v>
      </c>
      <c r="AE494" s="21" t="str">
        <f aca="false">IF(AB494&lt;1,"PAGADA","PENDIENTE")</f>
        <v>PENDIENTE</v>
      </c>
      <c r="AF494" s="21"/>
      <c r="AG494" s="29"/>
      <c r="AH494" s="40"/>
      <c r="AI494" s="40" t="n">
        <f aca="false">+IF(Tabla[[#This Row],[FECHA PAGO / ABONO]]&lt;1,0,(MONTH(Tabla[[#This Row],[FECHA PAGO / ABONO]])))</f>
        <v>0</v>
      </c>
      <c r="AJ494" s="40" t="n">
        <f aca="false">+IF(Tabla[[#This Row],[FECHA PAGO / ABONO]]&lt;1,0,(YEAR(Tabla[[#This Row],[FECHA PAGO / ABONO]])))</f>
        <v>0</v>
      </c>
      <c r="AK494" s="41"/>
    </row>
    <row r="495" customFormat="false" ht="14.25" hidden="false" customHeight="false" outlineLevel="0" collapsed="false">
      <c r="A495" s="28" t="s">
        <v>299</v>
      </c>
      <c r="B495" s="29" t="s">
        <v>300</v>
      </c>
      <c r="C495" s="29" t="s">
        <v>69</v>
      </c>
      <c r="D495" s="21" t="n">
        <v>1095</v>
      </c>
      <c r="E495" s="21" t="str">
        <f aca="false">+CONCATENATE(Tabla[[#This Row],[RUT]],Tabla[[#This Row],[PROVEEDOR]],Tabla[[#This Row],[FACTURA]])</f>
        <v>77165601-3QUMRAN SPA1095</v>
      </c>
      <c r="F495" s="57" t="n">
        <v>46112</v>
      </c>
      <c r="G495" s="31" t="n">
        <f aca="false">+F495+30</f>
        <v>46142</v>
      </c>
      <c r="H495" s="29" t="n">
        <f aca="true">+IF(AE495="PAGADA",0,TODAY()-G495)</f>
        <v>0</v>
      </c>
      <c r="I495" s="29" t="str">
        <f aca="false">+IF(H495&gt;180,"Atrasada",IF(H495&gt;150,"150 dias",IF(H495&gt;120,"120 dias",IF(H495&gt;90,"90 dias",IF(H495&gt;60,"60 dias",IF(H495&gt;30,"30 dias","Al Día"))))))</f>
        <v>Al Día</v>
      </c>
      <c r="J495" s="32" t="s">
        <v>80</v>
      </c>
      <c r="K495" s="29" t="s">
        <v>124</v>
      </c>
      <c r="L495" s="33" t="s">
        <v>277</v>
      </c>
      <c r="M495" s="29" t="n">
        <f aca="false">+YEAR(F495)</f>
        <v>2026</v>
      </c>
      <c r="N495" s="29" t="n">
        <v>2025</v>
      </c>
      <c r="O495" s="29" t="n">
        <v>1</v>
      </c>
      <c r="P495" s="29" t="str">
        <f aca="false">+CONCATENATE(Tabla[[#This Row],[MES CAMPAÑA]],"/",Tabla[[#This Row],[AÑO CAMPAÑA]])</f>
        <v>1/2025</v>
      </c>
      <c r="Q495" s="29" t="s">
        <v>302</v>
      </c>
      <c r="R495" s="29"/>
      <c r="S495" s="34" t="n">
        <v>0</v>
      </c>
      <c r="T495" s="34" t="n">
        <v>15730987</v>
      </c>
      <c r="U495" s="34" t="n">
        <v>2988888</v>
      </c>
      <c r="V495" s="29"/>
      <c r="W495" s="35" t="n">
        <v>18719875</v>
      </c>
      <c r="X495" s="36" t="n">
        <f aca="false">+Tabla[[#This Row],[TOTAL]]</f>
        <v>18719875</v>
      </c>
      <c r="Y495" s="37"/>
      <c r="Z495" s="37"/>
      <c r="AA495" s="37"/>
      <c r="AB495" s="38" t="n">
        <f aca="false">+W495-AC495</f>
        <v>0</v>
      </c>
      <c r="AC495" s="34" t="n">
        <f aca="false">+Tabla[[#This Row],[P4]]+Tabla[[#This Row],[P3]]+Tabla[[#This Row],[P2]]+Tabla[[#This Row],[P1]]</f>
        <v>18719875</v>
      </c>
      <c r="AD495" s="34" t="n">
        <f aca="false">+W495-AC495</f>
        <v>0</v>
      </c>
      <c r="AE495" s="21" t="str">
        <f aca="false">IF(AB495&lt;1,"PAGADA","PENDIENTE")</f>
        <v>PAGADA</v>
      </c>
      <c r="AF495" s="21"/>
      <c r="AG495" s="29" t="s">
        <v>124</v>
      </c>
      <c r="AH495" s="40"/>
      <c r="AI495" s="40" t="n">
        <f aca="false">+IF(Tabla[[#This Row],[FECHA PAGO / ABONO]]&lt;1,0,(MONTH(Tabla[[#This Row],[FECHA PAGO / ABONO]])))</f>
        <v>0</v>
      </c>
      <c r="AJ495" s="40" t="n">
        <f aca="false">+IF(Tabla[[#This Row],[FECHA PAGO / ABONO]]&lt;1,0,(YEAR(Tabla[[#This Row],[FECHA PAGO / ABONO]])))</f>
        <v>0</v>
      </c>
      <c r="AK495" s="41" t="s">
        <v>305</v>
      </c>
    </row>
    <row r="496" customFormat="false" ht="14.25" hidden="false" customHeight="false" outlineLevel="0" collapsed="false">
      <c r="A496" s="28" t="s">
        <v>299</v>
      </c>
      <c r="B496" s="29" t="s">
        <v>300</v>
      </c>
      <c r="C496" s="29" t="s">
        <v>69</v>
      </c>
      <c r="D496" s="21" t="n">
        <v>1096</v>
      </c>
      <c r="E496" s="21" t="str">
        <f aca="false">+CONCATENATE(Tabla[[#This Row],[RUT]],Tabla[[#This Row],[PROVEEDOR]],Tabla[[#This Row],[FACTURA]])</f>
        <v>77165601-3QUMRAN SPA1096</v>
      </c>
      <c r="F496" s="57" t="n">
        <v>46112</v>
      </c>
      <c r="G496" s="31" t="n">
        <f aca="false">+F496+30</f>
        <v>46142</v>
      </c>
      <c r="H496" s="29" t="n">
        <f aca="true">+IF(AE496="PAGADA",0,TODAY()-G496)</f>
        <v>0</v>
      </c>
      <c r="I496" s="29" t="str">
        <f aca="false">+IF(H496&gt;180,"Atrasada",IF(H496&gt;150,"150 dias",IF(H496&gt;120,"120 dias",IF(H496&gt;90,"90 dias",IF(H496&gt;60,"60 dias",IF(H496&gt;30,"30 dias","Al Día"))))))</f>
        <v>Al Día</v>
      </c>
      <c r="J496" s="32" t="s">
        <v>80</v>
      </c>
      <c r="K496" s="29" t="s">
        <v>124</v>
      </c>
      <c r="L496" s="33" t="s">
        <v>277</v>
      </c>
      <c r="M496" s="29" t="n">
        <f aca="false">+YEAR(F496)</f>
        <v>2026</v>
      </c>
      <c r="N496" s="29" t="n">
        <v>2025</v>
      </c>
      <c r="O496" s="29" t="n">
        <v>1</v>
      </c>
      <c r="P496" s="29" t="str">
        <f aca="false">+CONCATENATE(Tabla[[#This Row],[MES CAMPAÑA]],"/",Tabla[[#This Row],[AÑO CAMPAÑA]])</f>
        <v>1/2025</v>
      </c>
      <c r="Q496" s="29" t="s">
        <v>302</v>
      </c>
      <c r="R496" s="29"/>
      <c r="S496" s="34" t="n">
        <v>0</v>
      </c>
      <c r="T496" s="34" t="n">
        <v>13930987</v>
      </c>
      <c r="U496" s="34" t="n">
        <v>2646888</v>
      </c>
      <c r="V496" s="29"/>
      <c r="W496" s="35" t="n">
        <v>16577875</v>
      </c>
      <c r="X496" s="36" t="n">
        <f aca="false">+Tabla[[#This Row],[TOTAL]]</f>
        <v>16577875</v>
      </c>
      <c r="Y496" s="37"/>
      <c r="Z496" s="37"/>
      <c r="AA496" s="37"/>
      <c r="AB496" s="38" t="n">
        <f aca="false">+W496-AC496</f>
        <v>0</v>
      </c>
      <c r="AC496" s="34" t="n">
        <f aca="false">+Tabla[[#This Row],[P4]]+Tabla[[#This Row],[P3]]+Tabla[[#This Row],[P2]]+Tabla[[#This Row],[P1]]</f>
        <v>16577875</v>
      </c>
      <c r="AD496" s="34" t="n">
        <f aca="false">+W496-AC496</f>
        <v>0</v>
      </c>
      <c r="AE496" s="21" t="str">
        <f aca="false">IF(AB496&lt;1,"PAGADA","PENDIENTE")</f>
        <v>PAGADA</v>
      </c>
      <c r="AF496" s="21"/>
      <c r="AG496" s="29" t="s">
        <v>124</v>
      </c>
      <c r="AH496" s="40"/>
      <c r="AI496" s="40" t="n">
        <f aca="false">+IF(Tabla[[#This Row],[FECHA PAGO / ABONO]]&lt;1,0,(MONTH(Tabla[[#This Row],[FECHA PAGO / ABONO]])))</f>
        <v>0</v>
      </c>
      <c r="AJ496" s="40" t="n">
        <f aca="false">+IF(Tabla[[#This Row],[FECHA PAGO / ABONO]]&lt;1,0,(YEAR(Tabla[[#This Row],[FECHA PAGO / ABONO]])))</f>
        <v>0</v>
      </c>
      <c r="AK496" s="41" t="s">
        <v>306</v>
      </c>
    </row>
    <row r="497" customFormat="false" ht="14.25" hidden="false" customHeight="false" outlineLevel="0" collapsed="false">
      <c r="A497" s="28" t="s">
        <v>299</v>
      </c>
      <c r="B497" s="29" t="s">
        <v>300</v>
      </c>
      <c r="C497" s="29" t="s">
        <v>125</v>
      </c>
      <c r="D497" s="21" t="n">
        <v>98</v>
      </c>
      <c r="E497" s="21" t="str">
        <f aca="false">+CONCATENATE(Tabla[[#This Row],[RUT]],Tabla[[#This Row],[PROVEEDOR]],Tabla[[#This Row],[FACTURA]])</f>
        <v>77165601-3QUMRAN SPA98</v>
      </c>
      <c r="F497" s="57" t="n">
        <v>46112</v>
      </c>
      <c r="G497" s="31" t="n">
        <f aca="false">+F497+30</f>
        <v>46142</v>
      </c>
      <c r="H497" s="29" t="n">
        <f aca="true">+IF(AE497="PAGADA",0,TODAY()-G497)</f>
        <v>0</v>
      </c>
      <c r="I497" s="29" t="str">
        <f aca="false">+IF(H497&gt;180,"Atrasada",IF(H497&gt;150,"150 dias",IF(H497&gt;120,"120 dias",IF(H497&gt;90,"90 dias",IF(H497&gt;60,"60 dias",IF(H497&gt;30,"30 dias","Al Día"))))))</f>
        <v>Al Día</v>
      </c>
      <c r="J497" s="32" t="s">
        <v>80</v>
      </c>
      <c r="K497" s="29" t="s">
        <v>126</v>
      </c>
      <c r="L497" s="33" t="s">
        <v>277</v>
      </c>
      <c r="M497" s="29" t="n">
        <f aca="false">+YEAR(F497)</f>
        <v>2026</v>
      </c>
      <c r="N497" s="29" t="n">
        <v>2025</v>
      </c>
      <c r="O497" s="29" t="n">
        <v>1</v>
      </c>
      <c r="P497" s="29" t="str">
        <f aca="false">+CONCATENATE(Tabla[[#This Row],[MES CAMPAÑA]],"/",Tabla[[#This Row],[AÑO CAMPAÑA]])</f>
        <v>1/2025</v>
      </c>
      <c r="Q497" s="29" t="s">
        <v>302</v>
      </c>
      <c r="R497" s="29"/>
      <c r="S497" s="34" t="n">
        <v>0</v>
      </c>
      <c r="T497" s="34" t="n">
        <v>15730987</v>
      </c>
      <c r="U497" s="34" t="n">
        <v>2988888</v>
      </c>
      <c r="V497" s="29"/>
      <c r="W497" s="35" t="n">
        <v>18719875</v>
      </c>
      <c r="X497" s="36" t="n">
        <f aca="false">+Tabla[[#This Row],[TOTAL]]</f>
        <v>18719875</v>
      </c>
      <c r="Y497" s="37"/>
      <c r="Z497" s="37"/>
      <c r="AA497" s="37"/>
      <c r="AB497" s="38" t="n">
        <f aca="false">+W497-AC497</f>
        <v>0</v>
      </c>
      <c r="AC497" s="34" t="n">
        <f aca="false">+Tabla[[#This Row],[P4]]+Tabla[[#This Row],[P3]]+Tabla[[#This Row],[P2]]+Tabla[[#This Row],[P1]]</f>
        <v>18719875</v>
      </c>
      <c r="AD497" s="34" t="n">
        <f aca="false">+W497-AC497</f>
        <v>0</v>
      </c>
      <c r="AE497" s="21" t="str">
        <f aca="false">IF(AB497&lt;1,"PAGADA","PENDIENTE")</f>
        <v>PAGADA</v>
      </c>
      <c r="AF497" s="21"/>
      <c r="AG497" s="29" t="s">
        <v>126</v>
      </c>
      <c r="AH497" s="40"/>
      <c r="AI497" s="40" t="n">
        <f aca="false">+IF(Tabla[[#This Row],[FECHA PAGO / ABONO]]&lt;1,0,(MONTH(Tabla[[#This Row],[FECHA PAGO / ABONO]])))</f>
        <v>0</v>
      </c>
      <c r="AJ497" s="40" t="n">
        <f aca="false">+IF(Tabla[[#This Row],[FECHA PAGO / ABONO]]&lt;1,0,(YEAR(Tabla[[#This Row],[FECHA PAGO / ABONO]])))</f>
        <v>0</v>
      </c>
      <c r="AK497" s="41" t="s">
        <v>307</v>
      </c>
    </row>
    <row r="498" customFormat="false" ht="14.25" hidden="false" customHeight="false" outlineLevel="0" collapsed="false">
      <c r="A498" s="28" t="s">
        <v>299</v>
      </c>
      <c r="B498" s="29" t="s">
        <v>300</v>
      </c>
      <c r="C498" s="29" t="s">
        <v>125</v>
      </c>
      <c r="D498" s="21" t="n">
        <v>99</v>
      </c>
      <c r="E498" s="21" t="str">
        <f aca="false">+CONCATENATE(Tabla[[#This Row],[RUT]],Tabla[[#This Row],[PROVEEDOR]],Tabla[[#This Row],[FACTURA]])</f>
        <v>77165601-3QUMRAN SPA99</v>
      </c>
      <c r="F498" s="57" t="n">
        <v>46112</v>
      </c>
      <c r="G498" s="31" t="n">
        <f aca="false">+F498+30</f>
        <v>46142</v>
      </c>
      <c r="H498" s="29" t="n">
        <f aca="true">+IF(AE498="PAGADA",0,TODAY()-G498)</f>
        <v>0</v>
      </c>
      <c r="I498" s="29" t="str">
        <f aca="false">+IF(H498&gt;180,"Atrasada",IF(H498&gt;150,"150 dias",IF(H498&gt;120,"120 dias",IF(H498&gt;90,"90 dias",IF(H498&gt;60,"60 dias",IF(H498&gt;30,"30 dias","Al Día"))))))</f>
        <v>Al Día</v>
      </c>
      <c r="J498" s="32" t="s">
        <v>80</v>
      </c>
      <c r="K498" s="29" t="s">
        <v>126</v>
      </c>
      <c r="L498" s="33" t="s">
        <v>277</v>
      </c>
      <c r="M498" s="29" t="n">
        <f aca="false">+YEAR(F498)</f>
        <v>2026</v>
      </c>
      <c r="N498" s="29" t="n">
        <v>2025</v>
      </c>
      <c r="O498" s="29" t="n">
        <v>1</v>
      </c>
      <c r="P498" s="29" t="str">
        <f aca="false">+CONCATENATE(Tabla[[#This Row],[MES CAMPAÑA]],"/",Tabla[[#This Row],[AÑO CAMPAÑA]])</f>
        <v>1/2025</v>
      </c>
      <c r="Q498" s="29" t="s">
        <v>302</v>
      </c>
      <c r="R498" s="29"/>
      <c r="S498" s="34" t="n">
        <v>0</v>
      </c>
      <c r="T498" s="34" t="n">
        <v>13930987</v>
      </c>
      <c r="U498" s="34" t="n">
        <v>2646888</v>
      </c>
      <c r="V498" s="29"/>
      <c r="W498" s="35" t="n">
        <v>16577875</v>
      </c>
      <c r="X498" s="36" t="n">
        <f aca="false">+Tabla[[#This Row],[TOTAL]]</f>
        <v>16577875</v>
      </c>
      <c r="Y498" s="37"/>
      <c r="Z498" s="37"/>
      <c r="AA498" s="37"/>
      <c r="AB498" s="38" t="n">
        <f aca="false">+W498-AC498</f>
        <v>0</v>
      </c>
      <c r="AC498" s="34" t="n">
        <f aca="false">+Tabla[[#This Row],[P4]]+Tabla[[#This Row],[P3]]+Tabla[[#This Row],[P2]]+Tabla[[#This Row],[P1]]</f>
        <v>16577875</v>
      </c>
      <c r="AD498" s="34" t="n">
        <f aca="false">+W498-AC498</f>
        <v>0</v>
      </c>
      <c r="AE498" s="21" t="str">
        <f aca="false">IF(AB498&lt;1,"PAGADA","PENDIENTE")</f>
        <v>PAGADA</v>
      </c>
      <c r="AF498" s="21"/>
      <c r="AG498" s="29" t="s">
        <v>126</v>
      </c>
      <c r="AH498" s="40"/>
      <c r="AI498" s="40" t="n">
        <f aca="false">+IF(Tabla[[#This Row],[FECHA PAGO / ABONO]]&lt;1,0,(MONTH(Tabla[[#This Row],[FECHA PAGO / ABONO]])))</f>
        <v>0</v>
      </c>
      <c r="AJ498" s="40" t="n">
        <f aca="false">+IF(Tabla[[#This Row],[FECHA PAGO / ABONO]]&lt;1,0,(YEAR(Tabla[[#This Row],[FECHA PAGO / ABONO]])))</f>
        <v>0</v>
      </c>
      <c r="AK498" s="41" t="s">
        <v>308</v>
      </c>
    </row>
    <row r="499" customFormat="false" ht="14.25" hidden="false" customHeight="false" outlineLevel="0" collapsed="false">
      <c r="A499" s="28" t="s">
        <v>227</v>
      </c>
      <c r="B499" s="29" t="s">
        <v>228</v>
      </c>
      <c r="C499" s="29" t="s">
        <v>229</v>
      </c>
      <c r="D499" s="21" t="n">
        <v>11272</v>
      </c>
      <c r="E499" s="21" t="str">
        <f aca="false">+CONCATENATE(Tabla[[#This Row],[RUT]],Tabla[[#This Row],[PROVEEDOR]],Tabla[[#This Row],[FACTURA]])</f>
        <v>77549724-6YHC CONSULTORES LIMITADA11272</v>
      </c>
      <c r="F499" s="57" t="n">
        <v>46112</v>
      </c>
      <c r="G499" s="31" t="n">
        <f aca="false">+F499+30</f>
        <v>46142</v>
      </c>
      <c r="H499" s="29" t="n">
        <f aca="true">+IF(AE499="PAGADA",0,TODAY()-G499)</f>
        <v>0</v>
      </c>
      <c r="I499" s="29" t="str">
        <f aca="false">+IF(H499&gt;180,"Atrasada",IF(H499&gt;150,"150 dias",IF(H499&gt;120,"120 dias",IF(H499&gt;90,"90 dias",IF(H499&gt;60,"60 dias",IF(H499&gt;30,"30 dias","Al Día"))))))</f>
        <v>Al Día</v>
      </c>
      <c r="J499" s="32" t="s">
        <v>31</v>
      </c>
      <c r="K499" s="29" t="s">
        <v>81</v>
      </c>
      <c r="L499" s="33" t="s">
        <v>309</v>
      </c>
      <c r="M499" s="29" t="n">
        <f aca="false">+YEAR(F499)</f>
        <v>2026</v>
      </c>
      <c r="N499" s="29" t="n">
        <v>2026</v>
      </c>
      <c r="O499" s="29" t="n">
        <v>3</v>
      </c>
      <c r="P499" s="29" t="str">
        <f aca="false">+CONCATENATE(Tabla[[#This Row],[MES CAMPAÑA]],"/",Tabla[[#This Row],[AÑO CAMPAÑA]])</f>
        <v>3/2026</v>
      </c>
      <c r="Q499" s="29" t="s">
        <v>73</v>
      </c>
      <c r="R499" s="29"/>
      <c r="S499" s="34" t="n">
        <v>2390508</v>
      </c>
      <c r="T499" s="34" t="n">
        <v>0</v>
      </c>
      <c r="U499" s="34" t="n">
        <v>0</v>
      </c>
      <c r="V499" s="29"/>
      <c r="W499" s="35" t="n">
        <v>2390508</v>
      </c>
      <c r="X499" s="36" t="n">
        <f aca="false">+Tabla[[#This Row],[TOTAL]]</f>
        <v>2390508</v>
      </c>
      <c r="Y499" s="37"/>
      <c r="Z499" s="37"/>
      <c r="AA499" s="37"/>
      <c r="AB499" s="38" t="n">
        <f aca="false">+W499-AC499</f>
        <v>0</v>
      </c>
      <c r="AC499" s="34" t="n">
        <f aca="false">+Tabla[[#This Row],[P4]]+Tabla[[#This Row],[P3]]+Tabla[[#This Row],[P2]]+Tabla[[#This Row],[P1]]</f>
        <v>2390508</v>
      </c>
      <c r="AD499" s="34" t="n">
        <f aca="false">+W499-AC499</f>
        <v>0</v>
      </c>
      <c r="AE499" s="21" t="str">
        <f aca="false">IF(AB499&lt;1,"PAGADA","PENDIENTE")</f>
        <v>PAGADA</v>
      </c>
      <c r="AF499" s="21"/>
      <c r="AG499" s="29" t="s">
        <v>77</v>
      </c>
      <c r="AH499" s="39" t="n">
        <v>46178</v>
      </c>
      <c r="AI499" s="40" t="n">
        <f aca="false">+IF(Tabla[[#This Row],[FECHA PAGO / ABONO]]&lt;1,0,(MONTH(Tabla[[#This Row],[FECHA PAGO / ABONO]])))</f>
        <v>6</v>
      </c>
      <c r="AJ499" s="40" t="n">
        <f aca="false">+IF(Tabla[[#This Row],[FECHA PAGO / ABONO]]&lt;1,0,(YEAR(Tabla[[#This Row],[FECHA PAGO / ABONO]])))</f>
        <v>2026</v>
      </c>
      <c r="AK499" s="41"/>
    </row>
    <row r="500" customFormat="false" ht="14.25" hidden="false" customHeight="false" outlineLevel="0" collapsed="false">
      <c r="A500" s="28" t="s">
        <v>67</v>
      </c>
      <c r="B500" s="29" t="s">
        <v>68</v>
      </c>
      <c r="C500" s="29" t="s">
        <v>69</v>
      </c>
      <c r="D500" s="29" t="n">
        <v>56084</v>
      </c>
      <c r="E500" s="29" t="str">
        <f aca="false">+CONCATENATE(Tabla[[#This Row],[RUT]],Tabla[[#This Row],[PROVEEDOR]],Tabla[[#This Row],[FACTURA]])</f>
        <v>76453707-6DUEMINT SPA56084</v>
      </c>
      <c r="F500" s="57" t="n">
        <v>46113</v>
      </c>
      <c r="G500" s="31" t="n">
        <f aca="false">+F500+30</f>
        <v>46143</v>
      </c>
      <c r="H500" s="29" t="n">
        <f aca="true">+IF(AE500="PAGADA",0,TODAY()-G500)</f>
        <v>0</v>
      </c>
      <c r="I500" s="29" t="str">
        <f aca="false">+IF(H500&gt;180,"Atrasada",IF(H500&gt;150,"150 dias",IF(H500&gt;120,"120 dias",IF(H500&gt;90,"90 dias",IF(H500&gt;60,"60 dias",IF(H500&gt;30,"30 dias","Al Día"))))))</f>
        <v>Al Día</v>
      </c>
      <c r="J500" s="32" t="s">
        <v>31</v>
      </c>
      <c r="K500" s="29" t="s">
        <v>81</v>
      </c>
      <c r="L500" s="33" t="s">
        <v>309</v>
      </c>
      <c r="M500" s="29" t="n">
        <f aca="false">+YEAR(F500)</f>
        <v>2026</v>
      </c>
      <c r="N500" s="29" t="n">
        <v>2026</v>
      </c>
      <c r="O500" s="29" t="n">
        <v>3</v>
      </c>
      <c r="P500" s="29" t="str">
        <f aca="false">+CONCATENATE(Tabla[[#This Row],[MES CAMPAÑA]],"/",Tabla[[#This Row],[AÑO CAMPAÑA]])</f>
        <v>3/2026</v>
      </c>
      <c r="Q500" s="29" t="s">
        <v>73</v>
      </c>
      <c r="R500" s="29"/>
      <c r="S500" s="34" t="n">
        <v>0</v>
      </c>
      <c r="T500" s="34" t="n">
        <v>119525</v>
      </c>
      <c r="U500" s="34" t="n">
        <v>22710</v>
      </c>
      <c r="V500" s="29"/>
      <c r="W500" s="35" t="n">
        <v>142235</v>
      </c>
      <c r="X500" s="36" t="n">
        <f aca="false">+Tabla[[#This Row],[TOTAL]]</f>
        <v>142235</v>
      </c>
      <c r="Y500" s="37"/>
      <c r="Z500" s="37"/>
      <c r="AA500" s="37"/>
      <c r="AB500" s="38" t="n">
        <f aca="false">+W500-AC500</f>
        <v>0</v>
      </c>
      <c r="AC500" s="34" t="n">
        <f aca="false">+Tabla[[#This Row],[P4]]+Tabla[[#This Row],[P3]]+Tabla[[#This Row],[P2]]+Tabla[[#This Row],[P1]]</f>
        <v>142235</v>
      </c>
      <c r="AD500" s="34" t="n">
        <f aca="false">+W500-AC500</f>
        <v>0</v>
      </c>
      <c r="AE500" s="21" t="str">
        <f aca="false">IF(AB500&lt;1,"PAGADA","PENDIENTE")</f>
        <v>PAGADA</v>
      </c>
      <c r="AF500" s="21"/>
      <c r="AG500" s="29"/>
      <c r="AH500" s="40"/>
      <c r="AI500" s="40" t="n">
        <f aca="false">+IF(Tabla[[#This Row],[FECHA PAGO / ABONO]]&lt;1,0,(MONTH(Tabla[[#This Row],[FECHA PAGO / ABONO]])))</f>
        <v>0</v>
      </c>
      <c r="AJ500" s="40" t="n">
        <f aca="false">+IF(Tabla[[#This Row],[FECHA PAGO / ABONO]]&lt;1,0,(YEAR(Tabla[[#This Row],[FECHA PAGO / ABONO]])))</f>
        <v>0</v>
      </c>
      <c r="AK500" s="41"/>
    </row>
    <row r="501" customFormat="false" ht="14.25" hidden="false" customHeight="false" outlineLevel="0" collapsed="false">
      <c r="A501" s="28" t="s">
        <v>75</v>
      </c>
      <c r="B501" s="29" t="s">
        <v>76</v>
      </c>
      <c r="C501" s="29" t="s">
        <v>69</v>
      </c>
      <c r="D501" s="29" t="n">
        <v>449</v>
      </c>
      <c r="E501" s="29" t="str">
        <f aca="false">+CONCATENATE(Tabla[[#This Row],[RUT]],Tabla[[#This Row],[PROVEEDOR]],Tabla[[#This Row],[FACTURA]])</f>
        <v>76744663-2INVERSIONES ON-MEDIA CHILE SPA449</v>
      </c>
      <c r="F501" s="57" t="n">
        <v>46113</v>
      </c>
      <c r="G501" s="31" t="n">
        <f aca="false">+F501+30</f>
        <v>46143</v>
      </c>
      <c r="H501" s="29" t="n">
        <f aca="true">+IF(AE501="PAGADA",0,TODAY()-G501)</f>
        <v>0</v>
      </c>
      <c r="I501" s="29" t="str">
        <f aca="false">+IF(H501&gt;180,"Atrasada",IF(H501&gt;150,"150 dias",IF(H501&gt;120,"120 dias",IF(H501&gt;90,"90 dias",IF(H501&gt;60,"60 dias",IF(H501&gt;30,"30 dias","Al Día"))))))</f>
        <v>Al Día</v>
      </c>
      <c r="J501" s="32" t="s">
        <v>31</v>
      </c>
      <c r="K501" s="29" t="s">
        <v>81</v>
      </c>
      <c r="L501" s="33" t="s">
        <v>309</v>
      </c>
      <c r="M501" s="29" t="n">
        <f aca="false">+YEAR(F501)</f>
        <v>2026</v>
      </c>
      <c r="N501" s="29" t="n">
        <v>2026</v>
      </c>
      <c r="O501" s="29" t="n">
        <v>3</v>
      </c>
      <c r="P501" s="29" t="str">
        <f aca="false">+CONCATENATE(Tabla[[#This Row],[MES CAMPAÑA]],"/",Tabla[[#This Row],[AÑO CAMPAÑA]])</f>
        <v>3/2026</v>
      </c>
      <c r="Q501" s="29" t="s">
        <v>73</v>
      </c>
      <c r="R501" s="29"/>
      <c r="S501" s="34" t="n">
        <v>0</v>
      </c>
      <c r="T501" s="34" t="n">
        <v>369364</v>
      </c>
      <c r="U501" s="34" t="n">
        <v>70179</v>
      </c>
      <c r="V501" s="29"/>
      <c r="W501" s="35" t="n">
        <v>439543</v>
      </c>
      <c r="X501" s="36" t="n">
        <f aca="false">+Tabla[[#This Row],[TOTAL]]</f>
        <v>439543</v>
      </c>
      <c r="Y501" s="37"/>
      <c r="Z501" s="37"/>
      <c r="AA501" s="37"/>
      <c r="AB501" s="38" t="n">
        <f aca="false">+W501-AC501</f>
        <v>0</v>
      </c>
      <c r="AC501" s="34" t="n">
        <f aca="false">+Tabla[[#This Row],[P4]]+Tabla[[#This Row],[P3]]+Tabla[[#This Row],[P2]]+Tabla[[#This Row],[P1]]</f>
        <v>439543</v>
      </c>
      <c r="AD501" s="34" t="n">
        <f aca="false">+W501-AC501</f>
        <v>0</v>
      </c>
      <c r="AE501" s="21" t="str">
        <f aca="false">IF(AB501&lt;1,"PAGADA","PENDIENTE")</f>
        <v>PAGADA</v>
      </c>
      <c r="AF501" s="21"/>
      <c r="AG501" s="29" t="s">
        <v>77</v>
      </c>
      <c r="AH501" s="39" t="n">
        <v>46150</v>
      </c>
      <c r="AI501" s="40" t="n">
        <f aca="false">+IF(Tabla[[#This Row],[FECHA PAGO / ABONO]]&lt;1,0,(MONTH(Tabla[[#This Row],[FECHA PAGO / ABONO]])))</f>
        <v>5</v>
      </c>
      <c r="AJ501" s="40" t="n">
        <f aca="false">+IF(Tabla[[#This Row],[FECHA PAGO / ABONO]]&lt;1,0,(YEAR(Tabla[[#This Row],[FECHA PAGO / ABONO]])))</f>
        <v>2026</v>
      </c>
      <c r="AK501" s="41"/>
    </row>
    <row r="502" customFormat="false" ht="14.25" hidden="false" customHeight="false" outlineLevel="0" collapsed="false">
      <c r="A502" s="42" t="s">
        <v>88</v>
      </c>
      <c r="B502" s="43" t="s">
        <v>89</v>
      </c>
      <c r="C502" s="43" t="s">
        <v>69</v>
      </c>
      <c r="D502" s="43" t="n">
        <v>15086</v>
      </c>
      <c r="E502" s="43" t="str">
        <f aca="false">+CONCATENATE(Tabla[[#This Row],[RUT]],Tabla[[#This Row],[PROVEEDOR]],Tabla[[#This Row],[FACTURA]])</f>
        <v>96721110-9VerificaciÃ³n e Inversiones Publicitarias SpA15086</v>
      </c>
      <c r="F502" s="19" t="n">
        <v>46118</v>
      </c>
      <c r="G502" s="45" t="n">
        <f aca="false">+F502+30</f>
        <v>46148</v>
      </c>
      <c r="H502" s="43" t="n">
        <f aca="true">+IF(AE502="PAGADA",0,TODAY()-G502)</f>
        <v>56</v>
      </c>
      <c r="I502" s="43" t="str">
        <f aca="false">+IF(H502&gt;180,"Atrasada",IF(H502&gt;150,"150 dias",IF(H502&gt;120,"120 dias",IF(H502&gt;90,"90 dias",IF(H502&gt;60,"60 dias",IF(H502&gt;30,"30 dias","Al Día"))))))</f>
        <v>30 dias</v>
      </c>
      <c r="J502" s="46" t="s">
        <v>31</v>
      </c>
      <c r="K502" s="43" t="s">
        <v>81</v>
      </c>
      <c r="L502" s="47" t="s">
        <v>309</v>
      </c>
      <c r="M502" s="43" t="n">
        <f aca="false">+YEAR(F502)</f>
        <v>2026</v>
      </c>
      <c r="N502" s="43" t="n">
        <v>2026</v>
      </c>
      <c r="O502" s="43" t="n">
        <v>3</v>
      </c>
      <c r="P502" s="43" t="str">
        <f aca="false">+CONCATENATE(Tabla[[#This Row],[MES CAMPAÑA]],"/",Tabla[[#This Row],[AÑO CAMPAÑA]])</f>
        <v>3/2026</v>
      </c>
      <c r="Q502" s="43" t="s">
        <v>73</v>
      </c>
      <c r="R502" s="43"/>
      <c r="S502" s="48" t="n">
        <v>0</v>
      </c>
      <c r="T502" s="48" t="n">
        <v>3187338</v>
      </c>
      <c r="U502" s="48" t="n">
        <v>605594</v>
      </c>
      <c r="V502" s="43"/>
      <c r="W502" s="24" t="n">
        <v>3792932</v>
      </c>
      <c r="X502" s="25"/>
      <c r="Y502" s="51"/>
      <c r="Z502" s="51"/>
      <c r="AA502" s="51"/>
      <c r="AB502" s="23" t="n">
        <f aca="false">+W502-AC502</f>
        <v>3792932</v>
      </c>
      <c r="AC502" s="48" t="n">
        <f aca="false">+Tabla[[#This Row],[P4]]+Tabla[[#This Row],[P3]]+Tabla[[#This Row],[P2]]+Tabla[[#This Row],[P1]]</f>
        <v>0</v>
      </c>
      <c r="AD502" s="48" t="n">
        <f aca="false">+W502-AC502</f>
        <v>3792932</v>
      </c>
      <c r="AE502" s="18" t="str">
        <f aca="false">IF(AB502&lt;1,"PAGADA","PENDIENTE")</f>
        <v>PENDIENTE</v>
      </c>
      <c r="AF502" s="18"/>
      <c r="AG502" s="43"/>
      <c r="AH502" s="53"/>
      <c r="AI502" s="53" t="n">
        <f aca="false">+IF(Tabla[[#This Row],[FECHA PAGO / ABONO]]&lt;1,0,(MONTH(Tabla[[#This Row],[FECHA PAGO / ABONO]])))</f>
        <v>0</v>
      </c>
      <c r="AJ502" s="53" t="n">
        <f aca="false">+IF(Tabla[[#This Row],[FECHA PAGO / ABONO]]&lt;1,0,(YEAR(Tabla[[#This Row],[FECHA PAGO / ABONO]])))</f>
        <v>0</v>
      </c>
      <c r="AK502" s="54"/>
    </row>
    <row r="503" customFormat="false" ht="14.25" hidden="false" customHeight="false" outlineLevel="0" collapsed="false">
      <c r="A503" s="58" t="s">
        <v>101</v>
      </c>
      <c r="B503" s="21" t="s">
        <v>102</v>
      </c>
      <c r="C503" s="21" t="s">
        <v>69</v>
      </c>
      <c r="D503" s="21" t="n">
        <v>29745645</v>
      </c>
      <c r="E503" s="43" t="str">
        <f aca="false">+CONCATENATE(Tabla[[#This Row],[RUT]],Tabla[[#This Row],[PROVEEDOR]],Tabla[[#This Row],[FACTURA]])</f>
        <v>97006000-6BANCO DE CREDITO E INVERSIONES29745645</v>
      </c>
      <c r="F503" s="30" t="n">
        <v>46118</v>
      </c>
      <c r="G503" s="31" t="n">
        <f aca="false">+F503+30</f>
        <v>46148</v>
      </c>
      <c r="H503" s="29" t="n">
        <f aca="true">+IF(AE503="PAGADA",0,TODAY()-G503)</f>
        <v>0</v>
      </c>
      <c r="I503" s="29" t="str">
        <f aca="false">+IF(H503&gt;180,"Atrasada",IF(H503&gt;150,"150 dias",IF(H503&gt;120,"120 dias",IF(H503&gt;90,"90 dias",IF(H503&gt;60,"60 dias",IF(H503&gt;30,"30 dias","Al Día"))))))</f>
        <v>Al Día</v>
      </c>
      <c r="J503" s="59" t="s">
        <v>31</v>
      </c>
      <c r="K503" s="60" t="s">
        <v>81</v>
      </c>
      <c r="L503" s="61" t="s">
        <v>309</v>
      </c>
      <c r="M503" s="29" t="n">
        <f aca="false">+YEAR(F503)</f>
        <v>2026</v>
      </c>
      <c r="N503" s="62" t="n">
        <v>2026</v>
      </c>
      <c r="O503" s="63" t="n">
        <v>3</v>
      </c>
      <c r="P503" s="29" t="str">
        <f aca="false">+CONCATENATE(Tabla[[#This Row],[MES CAMPAÑA]],"/",Tabla[[#This Row],[AÑO CAMPAÑA]])</f>
        <v>3/2026</v>
      </c>
      <c r="Q503" s="60" t="s">
        <v>73</v>
      </c>
      <c r="R503" s="29"/>
      <c r="S503" s="64" t="n">
        <v>0</v>
      </c>
      <c r="T503" s="64" t="n">
        <v>14741</v>
      </c>
      <c r="U503" s="64" t="n">
        <v>2801</v>
      </c>
      <c r="V503" s="29"/>
      <c r="W503" s="24" t="n">
        <v>17542</v>
      </c>
      <c r="X503" s="36" t="n">
        <f aca="false">+Tabla[[#This Row],[TOTAL]]</f>
        <v>17542</v>
      </c>
      <c r="Y503" s="37"/>
      <c r="Z503" s="37"/>
      <c r="AA503" s="37"/>
      <c r="AB503" s="38" t="n">
        <f aca="false">+W503-AC503</f>
        <v>0</v>
      </c>
      <c r="AC503" s="34" t="n">
        <f aca="false">+Tabla[[#This Row],[P4]]+Tabla[[#This Row],[P3]]+Tabla[[#This Row],[P2]]+Tabla[[#This Row],[P1]]</f>
        <v>17542</v>
      </c>
      <c r="AD503" s="34" t="n">
        <f aca="false">+W503-AC503</f>
        <v>0</v>
      </c>
      <c r="AE503" s="21" t="str">
        <f aca="false">IF(AB503&lt;1,"PAGADA","PENDIENTE")</f>
        <v>PAGADA</v>
      </c>
      <c r="AF503" s="21"/>
      <c r="AG503" s="29"/>
      <c r="AH503" s="40"/>
      <c r="AI503" s="40" t="n">
        <f aca="false">+IF(Tabla[[#This Row],[FECHA PAGO / ABONO]]&lt;1,0,(MONTH(Tabla[[#This Row],[FECHA PAGO / ABONO]])))</f>
        <v>0</v>
      </c>
      <c r="AJ503" s="40" t="n">
        <f aca="false">+IF(Tabla[[#This Row],[FECHA PAGO / ABONO]]&lt;1,0,(YEAR(Tabla[[#This Row],[FECHA PAGO / ABONO]])))</f>
        <v>0</v>
      </c>
      <c r="AK503" s="41"/>
    </row>
    <row r="504" customFormat="false" ht="14.25" hidden="false" customHeight="false" outlineLevel="0" collapsed="false">
      <c r="A504" s="58" t="s">
        <v>103</v>
      </c>
      <c r="B504" s="21" t="s">
        <v>104</v>
      </c>
      <c r="C504" s="21" t="s">
        <v>69</v>
      </c>
      <c r="D504" s="21" t="n">
        <v>1668418</v>
      </c>
      <c r="E504" s="43" t="str">
        <f aca="false">+CONCATENATE(Tabla[[#This Row],[RUT]],Tabla[[#This Row],[PROVEEDOR]],Tabla[[#This Row],[FACTURA]])</f>
        <v>76590840-KZURICH SANTANDER SEGUROS GENERALES CHILE S1668418</v>
      </c>
      <c r="F504" s="30" t="n">
        <v>46119</v>
      </c>
      <c r="G504" s="31" t="n">
        <f aca="false">+F504+30</f>
        <v>46149</v>
      </c>
      <c r="H504" s="29" t="n">
        <f aca="true">+IF(AE504="PAGADA",0,TODAY()-G504)</f>
        <v>0</v>
      </c>
      <c r="I504" s="29" t="str">
        <f aca="false">+IF(H504&gt;180,"Atrasada",IF(H504&gt;150,"150 dias",IF(H504&gt;120,"120 dias",IF(H504&gt;90,"90 dias",IF(H504&gt;60,"60 dias",IF(H504&gt;30,"30 dias","Al Día"))))))</f>
        <v>Al Día</v>
      </c>
      <c r="J504" s="59" t="s">
        <v>31</v>
      </c>
      <c r="K504" s="60" t="s">
        <v>81</v>
      </c>
      <c r="L504" s="61" t="s">
        <v>309</v>
      </c>
      <c r="M504" s="29" t="n">
        <f aca="false">+YEAR(F504)</f>
        <v>2026</v>
      </c>
      <c r="N504" s="62" t="n">
        <v>2026</v>
      </c>
      <c r="O504" s="63" t="n">
        <v>3</v>
      </c>
      <c r="P504" s="29" t="str">
        <f aca="false">+CONCATENATE(Tabla[[#This Row],[MES CAMPAÑA]],"/",Tabla[[#This Row],[AÑO CAMPAÑA]])</f>
        <v>3/2026</v>
      </c>
      <c r="Q504" s="60" t="s">
        <v>73</v>
      </c>
      <c r="R504" s="29"/>
      <c r="S504" s="64" t="n">
        <v>0</v>
      </c>
      <c r="T504" s="64" t="n">
        <v>7484</v>
      </c>
      <c r="U504" s="64" t="n">
        <v>1421</v>
      </c>
      <c r="V504" s="29"/>
      <c r="W504" s="24" t="n">
        <v>8905</v>
      </c>
      <c r="X504" s="36" t="n">
        <f aca="false">+Tabla[[#This Row],[TOTAL]]</f>
        <v>8905</v>
      </c>
      <c r="Y504" s="37"/>
      <c r="Z504" s="37"/>
      <c r="AA504" s="37"/>
      <c r="AB504" s="38" t="n">
        <f aca="false">+W504-AC504</f>
        <v>0</v>
      </c>
      <c r="AC504" s="34" t="n">
        <f aca="false">+Tabla[[#This Row],[P4]]+Tabla[[#This Row],[P3]]+Tabla[[#This Row],[P2]]+Tabla[[#This Row],[P1]]</f>
        <v>8905</v>
      </c>
      <c r="AD504" s="34" t="n">
        <f aca="false">+W504-AC504</f>
        <v>0</v>
      </c>
      <c r="AE504" s="21" t="str">
        <f aca="false">IF(AB504&lt;1,"PAGADA","PENDIENTE")</f>
        <v>PAGADA</v>
      </c>
      <c r="AF504" s="21"/>
      <c r="AG504" s="29"/>
      <c r="AH504" s="40"/>
      <c r="AI504" s="40" t="n">
        <f aca="false">+IF(Tabla[[#This Row],[FECHA PAGO / ABONO]]&lt;1,0,(MONTH(Tabla[[#This Row],[FECHA PAGO / ABONO]])))</f>
        <v>0</v>
      </c>
      <c r="AJ504" s="40" t="n">
        <f aca="false">+IF(Tabla[[#This Row],[FECHA PAGO / ABONO]]&lt;1,0,(YEAR(Tabla[[#This Row],[FECHA PAGO / ABONO]])))</f>
        <v>0</v>
      </c>
      <c r="AK504" s="41"/>
    </row>
    <row r="505" customFormat="false" ht="14.25" hidden="false" customHeight="false" outlineLevel="0" collapsed="false">
      <c r="A505" s="58" t="s">
        <v>93</v>
      </c>
      <c r="B505" s="21" t="s">
        <v>94</v>
      </c>
      <c r="C505" s="21" t="s">
        <v>69</v>
      </c>
      <c r="D505" s="21" t="n">
        <v>534</v>
      </c>
      <c r="E505" s="43" t="str">
        <f aca="false">+CONCATENATE(Tabla[[#This Row],[RUT]],Tabla[[#This Row],[PROVEEDOR]],Tabla[[#This Row],[FACTURA]])</f>
        <v>77278997-1CHILE 4 SPA534</v>
      </c>
      <c r="F505" s="30" t="n">
        <v>46120</v>
      </c>
      <c r="G505" s="31" t="n">
        <f aca="false">+F505+30</f>
        <v>46150</v>
      </c>
      <c r="H505" s="29" t="n">
        <f aca="true">+IF(AE505="PAGADA",0,TODAY()-G505)</f>
        <v>54</v>
      </c>
      <c r="I505" s="29" t="str">
        <f aca="false">+IF(H505&gt;180,"Atrasada",IF(H505&gt;150,"150 dias",IF(H505&gt;120,"120 dias",IF(H505&gt;90,"90 dias",IF(H505&gt;60,"60 dias",IF(H505&gt;30,"30 dias","Al Día"))))))</f>
        <v>30 dias</v>
      </c>
      <c r="J505" s="59" t="s">
        <v>31</v>
      </c>
      <c r="K505" s="60" t="s">
        <v>81</v>
      </c>
      <c r="L505" s="61" t="s">
        <v>309</v>
      </c>
      <c r="M505" s="29" t="n">
        <f aca="false">+YEAR(F505)</f>
        <v>2026</v>
      </c>
      <c r="N505" s="62" t="n">
        <v>2026</v>
      </c>
      <c r="O505" s="63" t="n">
        <v>3</v>
      </c>
      <c r="P505" s="29" t="str">
        <f aca="false">+CONCATENATE(Tabla[[#This Row],[MES CAMPAÑA]],"/",Tabla[[#This Row],[AÑO CAMPAÑA]])</f>
        <v>3/2026</v>
      </c>
      <c r="Q505" s="60" t="s">
        <v>73</v>
      </c>
      <c r="R505" s="29"/>
      <c r="S505" s="64" t="n">
        <v>0</v>
      </c>
      <c r="T505" s="64" t="n">
        <v>3001410</v>
      </c>
      <c r="U505" s="64" t="n">
        <v>570268</v>
      </c>
      <c r="V505" s="29"/>
      <c r="W505" s="24" t="n">
        <v>3571678</v>
      </c>
      <c r="X505" s="36"/>
      <c r="Y505" s="37"/>
      <c r="Z505" s="37"/>
      <c r="AA505" s="37"/>
      <c r="AB505" s="38" t="n">
        <f aca="false">+W505-AC505</f>
        <v>3571678</v>
      </c>
      <c r="AC505" s="34" t="n">
        <f aca="false">+Tabla[[#This Row],[P4]]+Tabla[[#This Row],[P3]]+Tabla[[#This Row],[P2]]+Tabla[[#This Row],[P1]]</f>
        <v>0</v>
      </c>
      <c r="AD505" s="34" t="n">
        <f aca="false">+W505-AC505</f>
        <v>3571678</v>
      </c>
      <c r="AE505" s="21" t="str">
        <f aca="false">IF(AB505&lt;1,"PAGADA","PENDIENTE")</f>
        <v>PENDIENTE</v>
      </c>
      <c r="AF505" s="21"/>
      <c r="AG505" s="29"/>
      <c r="AH505" s="40"/>
      <c r="AI505" s="40" t="n">
        <f aca="false">+IF(Tabla[[#This Row],[FECHA PAGO / ABONO]]&lt;1,0,(MONTH(Tabla[[#This Row],[FECHA PAGO / ABONO]])))</f>
        <v>0</v>
      </c>
      <c r="AJ505" s="40" t="n">
        <f aca="false">+IF(Tabla[[#This Row],[FECHA PAGO / ABONO]]&lt;1,0,(YEAR(Tabla[[#This Row],[FECHA PAGO / ABONO]])))</f>
        <v>0</v>
      </c>
      <c r="AK505" s="41"/>
    </row>
    <row r="506" customFormat="false" ht="14.25" hidden="false" customHeight="false" outlineLevel="0" collapsed="false">
      <c r="A506" s="58" t="s">
        <v>143</v>
      </c>
      <c r="B506" s="21" t="s">
        <v>144</v>
      </c>
      <c r="C506" s="21" t="s">
        <v>69</v>
      </c>
      <c r="D506" s="21" t="n">
        <v>539</v>
      </c>
      <c r="E506" s="43" t="str">
        <f aca="false">+CONCATENATE(Tabla[[#This Row],[RUT]],Tabla[[#This Row],[PROVEEDOR]],Tabla[[#This Row],[FACTURA]])</f>
        <v>76631768-5PATRICIO FÃ‰LIX MEZA FLORES,  E.I.R.L.539</v>
      </c>
      <c r="F506" s="30" t="n">
        <v>46120</v>
      </c>
      <c r="G506" s="31" t="n">
        <f aca="false">+F506+30</f>
        <v>46150</v>
      </c>
      <c r="H506" s="29" t="n">
        <f aca="true">+IF(AE506="PAGADA",0,TODAY()-G506)</f>
        <v>0</v>
      </c>
      <c r="I506" s="29" t="str">
        <f aca="false">+IF(H506&gt;180,"Atrasada",IF(H506&gt;150,"150 dias",IF(H506&gt;120,"120 dias",IF(H506&gt;90,"90 dias",IF(H506&gt;60,"60 dias",IF(H506&gt;30,"30 dias","Al Día"))))))</f>
        <v>Al Día</v>
      </c>
      <c r="J506" s="59" t="s">
        <v>80</v>
      </c>
      <c r="K506" s="60" t="s">
        <v>81</v>
      </c>
      <c r="L506" s="61" t="s">
        <v>309</v>
      </c>
      <c r="M506" s="29" t="n">
        <f aca="false">+YEAR(F506)</f>
        <v>2026</v>
      </c>
      <c r="N506" s="62" t="n">
        <v>2026</v>
      </c>
      <c r="O506" s="63" t="n">
        <v>3</v>
      </c>
      <c r="P506" s="29" t="str">
        <f aca="false">+CONCATENATE(Tabla[[#This Row],[MES CAMPAÑA]],"/",Tabla[[#This Row],[AÑO CAMPAÑA]])</f>
        <v>3/2026</v>
      </c>
      <c r="Q506" s="60" t="s">
        <v>108</v>
      </c>
      <c r="R506" s="29"/>
      <c r="S506" s="64" t="n">
        <v>0</v>
      </c>
      <c r="T506" s="64" t="n">
        <v>1100000</v>
      </c>
      <c r="U506" s="64" t="n">
        <v>209000</v>
      </c>
      <c r="V506" s="29"/>
      <c r="W506" s="24" t="n">
        <v>1309000</v>
      </c>
      <c r="X506" s="36" t="n">
        <f aca="false">+Tabla[[#This Row],[TOTAL]]</f>
        <v>1309000</v>
      </c>
      <c r="Y506" s="37"/>
      <c r="Z506" s="37"/>
      <c r="AA506" s="37"/>
      <c r="AB506" s="38" t="n">
        <f aca="false">+W506-AC506</f>
        <v>0</v>
      </c>
      <c r="AC506" s="34" t="n">
        <f aca="false">+Tabla[[#This Row],[P4]]+Tabla[[#This Row],[P3]]+Tabla[[#This Row],[P2]]+Tabla[[#This Row],[P1]]</f>
        <v>1309000</v>
      </c>
      <c r="AD506" s="34" t="n">
        <f aca="false">+W506-AC506</f>
        <v>0</v>
      </c>
      <c r="AE506" s="21" t="str">
        <f aca="false">IF(AB506&lt;1,"PAGADA","PENDIENTE")</f>
        <v>PAGADA</v>
      </c>
      <c r="AF506" s="21"/>
      <c r="AG506" s="29" t="s">
        <v>77</v>
      </c>
      <c r="AH506" s="39" t="n">
        <v>46147</v>
      </c>
      <c r="AI506" s="40" t="n">
        <f aca="false">+IF(Tabla[[#This Row],[FECHA PAGO / ABONO]]&lt;1,0,(MONTH(Tabla[[#This Row],[FECHA PAGO / ABONO]])))</f>
        <v>5</v>
      </c>
      <c r="AJ506" s="40" t="n">
        <f aca="false">+IF(Tabla[[#This Row],[FECHA PAGO / ABONO]]&lt;1,0,(YEAR(Tabla[[#This Row],[FECHA PAGO / ABONO]])))</f>
        <v>2026</v>
      </c>
      <c r="AK506" s="41"/>
    </row>
    <row r="507" customFormat="false" ht="14.25" hidden="false" customHeight="false" outlineLevel="0" collapsed="false">
      <c r="A507" s="58" t="s">
        <v>90</v>
      </c>
      <c r="B507" s="21" t="s">
        <v>91</v>
      </c>
      <c r="C507" s="21" t="s">
        <v>69</v>
      </c>
      <c r="D507" s="21" t="n">
        <v>407</v>
      </c>
      <c r="E507" s="43" t="str">
        <f aca="false">+CONCATENATE(Tabla[[#This Row],[RUT]],Tabla[[#This Row],[PROVEEDOR]],Tabla[[#This Row],[FACTURA]])</f>
        <v>76984948-3CONECCIONLINEAL PUBLICIDAD Y MARKETING SPA407</v>
      </c>
      <c r="F507" s="30" t="n">
        <v>46120</v>
      </c>
      <c r="G507" s="31" t="n">
        <f aca="false">+F507+30</f>
        <v>46150</v>
      </c>
      <c r="H507" s="29" t="n">
        <f aca="true">+IF(AE507="PAGADA",0,TODAY()-G507)</f>
        <v>0</v>
      </c>
      <c r="I507" s="29" t="str">
        <f aca="false">+IF(H507&gt;180,"Atrasada",IF(H507&gt;150,"150 dias",IF(H507&gt;120,"120 dias",IF(H507&gt;90,"90 dias",IF(H507&gt;60,"60 dias",IF(H507&gt;30,"30 dias","Al Día"))))))</f>
        <v>Al Día</v>
      </c>
      <c r="J507" s="59" t="s">
        <v>80</v>
      </c>
      <c r="K507" s="60" t="s">
        <v>81</v>
      </c>
      <c r="L507" s="61" t="s">
        <v>309</v>
      </c>
      <c r="M507" s="29" t="n">
        <f aca="false">+YEAR(F507)</f>
        <v>2026</v>
      </c>
      <c r="N507" s="62" t="n">
        <v>2026</v>
      </c>
      <c r="O507" s="63" t="n">
        <v>3</v>
      </c>
      <c r="P507" s="29" t="str">
        <f aca="false">+CONCATENATE(Tabla[[#This Row],[MES CAMPAÑA]],"/",Tabla[[#This Row],[AÑO CAMPAÑA]])</f>
        <v>3/2026</v>
      </c>
      <c r="Q507" s="60" t="s">
        <v>92</v>
      </c>
      <c r="R507" s="29"/>
      <c r="S507" s="64" t="n">
        <v>0</v>
      </c>
      <c r="T507" s="64" t="n">
        <v>465400</v>
      </c>
      <c r="U507" s="64" t="n">
        <v>88426</v>
      </c>
      <c r="V507" s="29"/>
      <c r="W507" s="24" t="n">
        <v>553826</v>
      </c>
      <c r="X507" s="36" t="n">
        <f aca="false">+Tabla[[#This Row],[TOTAL]]</f>
        <v>553826</v>
      </c>
      <c r="Y507" s="37"/>
      <c r="Z507" s="37"/>
      <c r="AA507" s="37"/>
      <c r="AB507" s="38" t="n">
        <f aca="false">+W507-AC507</f>
        <v>0</v>
      </c>
      <c r="AC507" s="34" t="n">
        <f aca="false">+Tabla[[#This Row],[P4]]+Tabla[[#This Row],[P3]]+Tabla[[#This Row],[P2]]+Tabla[[#This Row],[P1]]</f>
        <v>553826</v>
      </c>
      <c r="AD507" s="34" t="n">
        <f aca="false">+W507-AC507</f>
        <v>0</v>
      </c>
      <c r="AE507" s="21" t="str">
        <f aca="false">IF(AB507&lt;1,"PAGADA","PENDIENTE")</f>
        <v>PAGADA</v>
      </c>
      <c r="AF507" s="21"/>
      <c r="AG507" s="29" t="s">
        <v>77</v>
      </c>
      <c r="AH507" s="39" t="n">
        <v>46161</v>
      </c>
      <c r="AI507" s="40" t="n">
        <f aca="false">+IF(Tabla[[#This Row],[FECHA PAGO / ABONO]]&lt;1,0,(MONTH(Tabla[[#This Row],[FECHA PAGO / ABONO]])))</f>
        <v>5</v>
      </c>
      <c r="AJ507" s="40" t="n">
        <f aca="false">+IF(Tabla[[#This Row],[FECHA PAGO / ABONO]]&lt;1,0,(YEAR(Tabla[[#This Row],[FECHA PAGO / ABONO]])))</f>
        <v>2026</v>
      </c>
      <c r="AK507" s="41"/>
    </row>
    <row r="508" customFormat="false" ht="14.25" hidden="false" customHeight="false" outlineLevel="0" collapsed="false">
      <c r="A508" s="58" t="s">
        <v>90</v>
      </c>
      <c r="B508" s="21" t="s">
        <v>91</v>
      </c>
      <c r="C508" s="21" t="s">
        <v>69</v>
      </c>
      <c r="D508" s="21" t="n">
        <v>408</v>
      </c>
      <c r="E508" s="43" t="str">
        <f aca="false">+CONCATENATE(Tabla[[#This Row],[RUT]],Tabla[[#This Row],[PROVEEDOR]],Tabla[[#This Row],[FACTURA]])</f>
        <v>76984948-3CONECCIONLINEAL PUBLICIDAD Y MARKETING SPA408</v>
      </c>
      <c r="F508" s="30" t="n">
        <v>46120</v>
      </c>
      <c r="G508" s="31" t="n">
        <f aca="false">+F508+30</f>
        <v>46150</v>
      </c>
      <c r="H508" s="29" t="n">
        <f aca="true">+IF(AE508="PAGADA",0,TODAY()-G508)</f>
        <v>0</v>
      </c>
      <c r="I508" s="29" t="str">
        <f aca="false">+IF(H508&gt;180,"Atrasada",IF(H508&gt;150,"150 dias",IF(H508&gt;120,"120 dias",IF(H508&gt;90,"90 dias",IF(H508&gt;60,"60 dias",IF(H508&gt;30,"30 dias","Al Día"))))))</f>
        <v>Al Día</v>
      </c>
      <c r="J508" s="59" t="s">
        <v>80</v>
      </c>
      <c r="K508" s="60" t="s">
        <v>81</v>
      </c>
      <c r="L508" s="61" t="s">
        <v>309</v>
      </c>
      <c r="M508" s="29" t="n">
        <f aca="false">+YEAR(F508)</f>
        <v>2026</v>
      </c>
      <c r="N508" s="62" t="n">
        <v>2026</v>
      </c>
      <c r="O508" s="63" t="n">
        <v>3</v>
      </c>
      <c r="P508" s="29" t="str">
        <f aca="false">+CONCATENATE(Tabla[[#This Row],[MES CAMPAÑA]],"/",Tabla[[#This Row],[AÑO CAMPAÑA]])</f>
        <v>3/2026</v>
      </c>
      <c r="Q508" s="60" t="s">
        <v>92</v>
      </c>
      <c r="R508" s="29"/>
      <c r="S508" s="64" t="n">
        <v>0</v>
      </c>
      <c r="T508" s="64" t="n">
        <v>465400</v>
      </c>
      <c r="U508" s="64" t="n">
        <v>88426</v>
      </c>
      <c r="V508" s="29"/>
      <c r="W508" s="24" t="n">
        <v>553826</v>
      </c>
      <c r="X508" s="36" t="n">
        <f aca="false">+Tabla[[#This Row],[TOTAL]]</f>
        <v>553826</v>
      </c>
      <c r="Y508" s="37"/>
      <c r="Z508" s="37"/>
      <c r="AA508" s="37"/>
      <c r="AB508" s="38" t="n">
        <f aca="false">+W508-AC508</f>
        <v>0</v>
      </c>
      <c r="AC508" s="34" t="n">
        <f aca="false">+Tabla[[#This Row],[P4]]+Tabla[[#This Row],[P3]]+Tabla[[#This Row],[P2]]+Tabla[[#This Row],[P1]]</f>
        <v>553826</v>
      </c>
      <c r="AD508" s="34" t="n">
        <f aca="false">+W508-AC508</f>
        <v>0</v>
      </c>
      <c r="AE508" s="21" t="str">
        <f aca="false">IF(AB508&lt;1,"PAGADA","PENDIENTE")</f>
        <v>PAGADA</v>
      </c>
      <c r="AF508" s="21"/>
      <c r="AG508" s="29" t="s">
        <v>77</v>
      </c>
      <c r="AH508" s="39" t="n">
        <v>46161</v>
      </c>
      <c r="AI508" s="40" t="n">
        <f aca="false">+IF(Tabla[[#This Row],[FECHA PAGO / ABONO]]&lt;1,0,(MONTH(Tabla[[#This Row],[FECHA PAGO / ABONO]])))</f>
        <v>5</v>
      </c>
      <c r="AJ508" s="40" t="n">
        <f aca="false">+IF(Tabla[[#This Row],[FECHA PAGO / ABONO]]&lt;1,0,(YEAR(Tabla[[#This Row],[FECHA PAGO / ABONO]])))</f>
        <v>2026</v>
      </c>
      <c r="AK508" s="41"/>
    </row>
    <row r="509" customFormat="false" ht="14.25" hidden="false" customHeight="false" outlineLevel="0" collapsed="false">
      <c r="A509" s="58" t="s">
        <v>101</v>
      </c>
      <c r="B509" s="21" t="s">
        <v>102</v>
      </c>
      <c r="C509" s="21" t="s">
        <v>69</v>
      </c>
      <c r="D509" s="21" t="n">
        <v>29854460</v>
      </c>
      <c r="E509" s="43" t="str">
        <f aca="false">+CONCATENATE(Tabla[[#This Row],[RUT]],Tabla[[#This Row],[PROVEEDOR]],Tabla[[#This Row],[FACTURA]])</f>
        <v>97006000-6BANCO DE CREDITO E INVERSIONES29854460</v>
      </c>
      <c r="F509" s="30" t="n">
        <v>46121</v>
      </c>
      <c r="G509" s="31" t="n">
        <f aca="false">+F509+30</f>
        <v>46151</v>
      </c>
      <c r="H509" s="29" t="n">
        <f aca="true">+IF(AE509="PAGADA",0,TODAY()-G509)</f>
        <v>0</v>
      </c>
      <c r="I509" s="29" t="str">
        <f aca="false">+IF(H509&gt;180,"Atrasada",IF(H509&gt;150,"150 dias",IF(H509&gt;120,"120 dias",IF(H509&gt;90,"90 dias",IF(H509&gt;60,"60 dias",IF(H509&gt;30,"30 dias","Al Día"))))))</f>
        <v>Al Día</v>
      </c>
      <c r="J509" s="59" t="s">
        <v>31</v>
      </c>
      <c r="K509" s="60" t="s">
        <v>81</v>
      </c>
      <c r="L509" s="61" t="s">
        <v>309</v>
      </c>
      <c r="M509" s="29" t="n">
        <f aca="false">+YEAR(F509)</f>
        <v>2026</v>
      </c>
      <c r="N509" s="62" t="n">
        <v>2026</v>
      </c>
      <c r="O509" s="63" t="n">
        <v>3</v>
      </c>
      <c r="P509" s="29" t="str">
        <f aca="false">+CONCATENATE(Tabla[[#This Row],[MES CAMPAÑA]],"/",Tabla[[#This Row],[AÑO CAMPAÑA]])</f>
        <v>3/2026</v>
      </c>
      <c r="Q509" s="60" t="s">
        <v>73</v>
      </c>
      <c r="R509" s="29"/>
      <c r="S509" s="64" t="n">
        <v>0</v>
      </c>
      <c r="T509" s="64" t="n">
        <v>138747</v>
      </c>
      <c r="U509" s="64" t="n">
        <v>26362</v>
      </c>
      <c r="V509" s="29"/>
      <c r="W509" s="24" t="n">
        <v>165109</v>
      </c>
      <c r="X509" s="36" t="n">
        <f aca="false">+Tabla[[#This Row],[TOTAL]]</f>
        <v>165109</v>
      </c>
      <c r="Y509" s="37"/>
      <c r="Z509" s="37"/>
      <c r="AA509" s="37"/>
      <c r="AB509" s="38" t="n">
        <f aca="false">+W509-AC509</f>
        <v>0</v>
      </c>
      <c r="AC509" s="34" t="n">
        <f aca="false">+Tabla[[#This Row],[P4]]+Tabla[[#This Row],[P3]]+Tabla[[#This Row],[P2]]+Tabla[[#This Row],[P1]]</f>
        <v>165109</v>
      </c>
      <c r="AD509" s="34" t="n">
        <f aca="false">+W509-AC509</f>
        <v>0</v>
      </c>
      <c r="AE509" s="21" t="str">
        <f aca="false">IF(AB509&lt;1,"PAGADA","PENDIENTE")</f>
        <v>PAGADA</v>
      </c>
      <c r="AF509" s="21"/>
      <c r="AG509" s="29"/>
      <c r="AH509" s="40"/>
      <c r="AI509" s="40" t="n">
        <f aca="false">+IF(Tabla[[#This Row],[FECHA PAGO / ABONO]]&lt;1,0,(MONTH(Tabla[[#This Row],[FECHA PAGO / ABONO]])))</f>
        <v>0</v>
      </c>
      <c r="AJ509" s="40" t="n">
        <f aca="false">+IF(Tabla[[#This Row],[FECHA PAGO / ABONO]]&lt;1,0,(YEAR(Tabla[[#This Row],[FECHA PAGO / ABONO]])))</f>
        <v>0</v>
      </c>
      <c r="AK509" s="41"/>
    </row>
    <row r="510" customFormat="false" ht="14.25" hidden="false" customHeight="false" outlineLevel="0" collapsed="false">
      <c r="A510" s="58" t="s">
        <v>101</v>
      </c>
      <c r="B510" s="21" t="s">
        <v>102</v>
      </c>
      <c r="C510" s="21" t="s">
        <v>69</v>
      </c>
      <c r="D510" s="21" t="n">
        <v>29854461</v>
      </c>
      <c r="E510" s="43" t="str">
        <f aca="false">+CONCATENATE(Tabla[[#This Row],[RUT]],Tabla[[#This Row],[PROVEEDOR]],Tabla[[#This Row],[FACTURA]])</f>
        <v>97006000-6BANCO DE CREDITO E INVERSIONES29854461</v>
      </c>
      <c r="F510" s="30" t="n">
        <v>46121</v>
      </c>
      <c r="G510" s="31" t="n">
        <f aca="false">+F510+30</f>
        <v>46151</v>
      </c>
      <c r="H510" s="29" t="n">
        <f aca="true">+IF(AE510="PAGADA",0,TODAY()-G510)</f>
        <v>0</v>
      </c>
      <c r="I510" s="29" t="str">
        <f aca="false">+IF(H510&gt;180,"Atrasada",IF(H510&gt;150,"150 dias",IF(H510&gt;120,"120 dias",IF(H510&gt;90,"90 dias",IF(H510&gt;60,"60 dias",IF(H510&gt;30,"30 dias","Al Día"))))))</f>
        <v>Al Día</v>
      </c>
      <c r="J510" s="59" t="s">
        <v>31</v>
      </c>
      <c r="K510" s="60" t="s">
        <v>81</v>
      </c>
      <c r="L510" s="61" t="s">
        <v>309</v>
      </c>
      <c r="M510" s="29" t="n">
        <f aca="false">+YEAR(F510)</f>
        <v>2026</v>
      </c>
      <c r="N510" s="62" t="n">
        <v>2026</v>
      </c>
      <c r="O510" s="63" t="n">
        <v>3</v>
      </c>
      <c r="P510" s="29" t="str">
        <f aca="false">+CONCATENATE(Tabla[[#This Row],[MES CAMPAÑA]],"/",Tabla[[#This Row],[AÑO CAMPAÑA]])</f>
        <v>3/2026</v>
      </c>
      <c r="Q510" s="60" t="s">
        <v>73</v>
      </c>
      <c r="R510" s="29"/>
      <c r="S510" s="64" t="n">
        <v>0</v>
      </c>
      <c r="T510" s="64" t="n">
        <v>14741</v>
      </c>
      <c r="U510" s="64" t="n">
        <v>2801</v>
      </c>
      <c r="V510" s="29"/>
      <c r="W510" s="24" t="n">
        <v>17542</v>
      </c>
      <c r="X510" s="36" t="n">
        <f aca="false">+Tabla[[#This Row],[TOTAL]]</f>
        <v>17542</v>
      </c>
      <c r="Y510" s="37"/>
      <c r="Z510" s="37"/>
      <c r="AA510" s="37"/>
      <c r="AB510" s="38" t="n">
        <f aca="false">+W510-AC510</f>
        <v>0</v>
      </c>
      <c r="AC510" s="34" t="n">
        <f aca="false">+Tabla[[#This Row],[P4]]+Tabla[[#This Row],[P3]]+Tabla[[#This Row],[P2]]+Tabla[[#This Row],[P1]]</f>
        <v>17542</v>
      </c>
      <c r="AD510" s="34" t="n">
        <f aca="false">+W510-AC510</f>
        <v>0</v>
      </c>
      <c r="AE510" s="21" t="str">
        <f aca="false">IF(AB510&lt;1,"PAGADA","PENDIENTE")</f>
        <v>PAGADA</v>
      </c>
      <c r="AF510" s="21"/>
      <c r="AG510" s="29"/>
      <c r="AH510" s="40"/>
      <c r="AI510" s="40" t="n">
        <f aca="false">+IF(Tabla[[#This Row],[FECHA PAGO / ABONO]]&lt;1,0,(MONTH(Tabla[[#This Row],[FECHA PAGO / ABONO]])))</f>
        <v>0</v>
      </c>
      <c r="AJ510" s="40" t="n">
        <f aca="false">+IF(Tabla[[#This Row],[FECHA PAGO / ABONO]]&lt;1,0,(YEAR(Tabla[[#This Row],[FECHA PAGO / ABONO]])))</f>
        <v>0</v>
      </c>
      <c r="AK510" s="41"/>
    </row>
    <row r="511" customFormat="false" ht="14.25" hidden="false" customHeight="false" outlineLevel="0" collapsed="false">
      <c r="A511" s="58" t="s">
        <v>101</v>
      </c>
      <c r="B511" s="21" t="s">
        <v>102</v>
      </c>
      <c r="C511" s="21" t="s">
        <v>69</v>
      </c>
      <c r="D511" s="21" t="n">
        <v>29854462</v>
      </c>
      <c r="E511" s="43" t="str">
        <f aca="false">+CONCATENATE(Tabla[[#This Row],[RUT]],Tabla[[#This Row],[PROVEEDOR]],Tabla[[#This Row],[FACTURA]])</f>
        <v>97006000-6BANCO DE CREDITO E INVERSIONES29854462</v>
      </c>
      <c r="F511" s="30" t="n">
        <v>46121</v>
      </c>
      <c r="G511" s="31" t="n">
        <f aca="false">+F511+30</f>
        <v>46151</v>
      </c>
      <c r="H511" s="29" t="n">
        <f aca="true">+IF(AE511="PAGADA",0,TODAY()-G511)</f>
        <v>0</v>
      </c>
      <c r="I511" s="29" t="str">
        <f aca="false">+IF(H511&gt;180,"Atrasada",IF(H511&gt;150,"150 dias",IF(H511&gt;120,"120 dias",IF(H511&gt;90,"90 dias",IF(H511&gt;60,"60 dias",IF(H511&gt;30,"30 dias","Al Día"))))))</f>
        <v>Al Día</v>
      </c>
      <c r="J511" s="59" t="s">
        <v>31</v>
      </c>
      <c r="K511" s="60" t="s">
        <v>81</v>
      </c>
      <c r="L511" s="61" t="s">
        <v>309</v>
      </c>
      <c r="M511" s="29" t="n">
        <f aca="false">+YEAR(F511)</f>
        <v>2026</v>
      </c>
      <c r="N511" s="62" t="n">
        <v>2026</v>
      </c>
      <c r="O511" s="63" t="n">
        <v>3</v>
      </c>
      <c r="P511" s="29" t="str">
        <f aca="false">+CONCATENATE(Tabla[[#This Row],[MES CAMPAÑA]],"/",Tabla[[#This Row],[AÑO CAMPAÑA]])</f>
        <v>3/2026</v>
      </c>
      <c r="Q511" s="60" t="s">
        <v>73</v>
      </c>
      <c r="R511" s="29"/>
      <c r="S511" s="64" t="n">
        <v>0</v>
      </c>
      <c r="T511" s="64" t="n">
        <v>1578</v>
      </c>
      <c r="U511" s="64" t="n">
        <v>300</v>
      </c>
      <c r="V511" s="29"/>
      <c r="W511" s="24" t="n">
        <v>1878</v>
      </c>
      <c r="X511" s="36" t="n">
        <f aca="false">+Tabla[[#This Row],[TOTAL]]</f>
        <v>1878</v>
      </c>
      <c r="Y511" s="37"/>
      <c r="Z511" s="37"/>
      <c r="AA511" s="37"/>
      <c r="AB511" s="38" t="n">
        <f aca="false">+W511-AC511</f>
        <v>0</v>
      </c>
      <c r="AC511" s="34" t="n">
        <f aca="false">+Tabla[[#This Row],[P4]]+Tabla[[#This Row],[P3]]+Tabla[[#This Row],[P2]]+Tabla[[#This Row],[P1]]</f>
        <v>1878</v>
      </c>
      <c r="AD511" s="34" t="n">
        <f aca="false">+W511-AC511</f>
        <v>0</v>
      </c>
      <c r="AE511" s="21" t="str">
        <f aca="false">IF(AB511&lt;1,"PAGADA","PENDIENTE")</f>
        <v>PAGADA</v>
      </c>
      <c r="AF511" s="21"/>
      <c r="AG511" s="29"/>
      <c r="AH511" s="40"/>
      <c r="AI511" s="40" t="n">
        <f aca="false">+IF(Tabla[[#This Row],[FECHA PAGO / ABONO]]&lt;1,0,(MONTH(Tabla[[#This Row],[FECHA PAGO / ABONO]])))</f>
        <v>0</v>
      </c>
      <c r="AJ511" s="40" t="n">
        <f aca="false">+IF(Tabla[[#This Row],[FECHA PAGO / ABONO]]&lt;1,0,(YEAR(Tabla[[#This Row],[FECHA PAGO / ABONO]])))</f>
        <v>0</v>
      </c>
      <c r="AK511" s="41"/>
    </row>
    <row r="512" customFormat="false" ht="14.25" hidden="false" customHeight="false" outlineLevel="0" collapsed="false">
      <c r="A512" s="58" t="s">
        <v>101</v>
      </c>
      <c r="B512" s="21" t="s">
        <v>102</v>
      </c>
      <c r="C512" s="21" t="s">
        <v>69</v>
      </c>
      <c r="D512" s="21" t="n">
        <v>29854463</v>
      </c>
      <c r="E512" s="43" t="str">
        <f aca="false">+CONCATENATE(Tabla[[#This Row],[RUT]],Tabla[[#This Row],[PROVEEDOR]],Tabla[[#This Row],[FACTURA]])</f>
        <v>97006000-6BANCO DE CREDITO E INVERSIONES29854463</v>
      </c>
      <c r="F512" s="30" t="n">
        <v>46121</v>
      </c>
      <c r="G512" s="31" t="n">
        <f aca="false">+F512+30</f>
        <v>46151</v>
      </c>
      <c r="H512" s="29" t="n">
        <f aca="true">+IF(AE512="PAGADA",0,TODAY()-G512)</f>
        <v>0</v>
      </c>
      <c r="I512" s="29" t="str">
        <f aca="false">+IF(H512&gt;180,"Atrasada",IF(H512&gt;150,"150 dias",IF(H512&gt;120,"120 dias",IF(H512&gt;90,"90 dias",IF(H512&gt;60,"60 dias",IF(H512&gt;30,"30 dias","Al Día"))))))</f>
        <v>Al Día</v>
      </c>
      <c r="J512" s="59" t="s">
        <v>31</v>
      </c>
      <c r="K512" s="60" t="s">
        <v>81</v>
      </c>
      <c r="L512" s="61" t="s">
        <v>309</v>
      </c>
      <c r="M512" s="29" t="n">
        <f aca="false">+YEAR(F512)</f>
        <v>2026</v>
      </c>
      <c r="N512" s="62" t="n">
        <v>2026</v>
      </c>
      <c r="O512" s="63" t="n">
        <v>3</v>
      </c>
      <c r="P512" s="29" t="str">
        <f aca="false">+CONCATENATE(Tabla[[#This Row],[MES CAMPAÑA]],"/",Tabla[[#This Row],[AÑO CAMPAÑA]])</f>
        <v>3/2026</v>
      </c>
      <c r="Q512" s="60" t="s">
        <v>73</v>
      </c>
      <c r="R512" s="29"/>
      <c r="S512" s="64" t="n">
        <v>0</v>
      </c>
      <c r="T512" s="64" t="n">
        <v>136307</v>
      </c>
      <c r="U512" s="64" t="n">
        <v>25898</v>
      </c>
      <c r="V512" s="29"/>
      <c r="W512" s="24" t="n">
        <v>162205</v>
      </c>
      <c r="X512" s="36" t="n">
        <f aca="false">+Tabla[[#This Row],[TOTAL]]</f>
        <v>162205</v>
      </c>
      <c r="Y512" s="37"/>
      <c r="Z512" s="37"/>
      <c r="AA512" s="37"/>
      <c r="AB512" s="38" t="n">
        <f aca="false">+W512-AC512</f>
        <v>0</v>
      </c>
      <c r="AC512" s="34" t="n">
        <f aca="false">+Tabla[[#This Row],[P4]]+Tabla[[#This Row],[P3]]+Tabla[[#This Row],[P2]]+Tabla[[#This Row],[P1]]</f>
        <v>162205</v>
      </c>
      <c r="AD512" s="34" t="n">
        <f aca="false">+W512-AC512</f>
        <v>0</v>
      </c>
      <c r="AE512" s="21" t="str">
        <f aca="false">IF(AB512&lt;1,"PAGADA","PENDIENTE")</f>
        <v>PAGADA</v>
      </c>
      <c r="AF512" s="21"/>
      <c r="AG512" s="29"/>
      <c r="AH512" s="40"/>
      <c r="AI512" s="40" t="n">
        <f aca="false">+IF(Tabla[[#This Row],[FECHA PAGO / ABONO]]&lt;1,0,(MONTH(Tabla[[#This Row],[FECHA PAGO / ABONO]])))</f>
        <v>0</v>
      </c>
      <c r="AJ512" s="40" t="n">
        <f aca="false">+IF(Tabla[[#This Row],[FECHA PAGO / ABONO]]&lt;1,0,(YEAR(Tabla[[#This Row],[FECHA PAGO / ABONO]])))</f>
        <v>0</v>
      </c>
      <c r="AK512" s="41"/>
    </row>
    <row r="513" customFormat="false" ht="14.25" hidden="false" customHeight="false" outlineLevel="0" collapsed="false">
      <c r="A513" s="58" t="s">
        <v>101</v>
      </c>
      <c r="B513" s="21" t="s">
        <v>102</v>
      </c>
      <c r="C513" s="21" t="s">
        <v>69</v>
      </c>
      <c r="D513" s="21" t="n">
        <v>29854464</v>
      </c>
      <c r="E513" s="43" t="str">
        <f aca="false">+CONCATENATE(Tabla[[#This Row],[RUT]],Tabla[[#This Row],[PROVEEDOR]],Tabla[[#This Row],[FACTURA]])</f>
        <v>97006000-6BANCO DE CREDITO E INVERSIONES29854464</v>
      </c>
      <c r="F513" s="30" t="n">
        <v>46121</v>
      </c>
      <c r="G513" s="31" t="n">
        <f aca="false">+F513+30</f>
        <v>46151</v>
      </c>
      <c r="H513" s="29" t="n">
        <f aca="true">+IF(AE513="PAGADA",0,TODAY()-G513)</f>
        <v>0</v>
      </c>
      <c r="I513" s="29" t="str">
        <f aca="false">+IF(H513&gt;180,"Atrasada",IF(H513&gt;150,"150 dias",IF(H513&gt;120,"120 dias",IF(H513&gt;90,"90 dias",IF(H513&gt;60,"60 dias",IF(H513&gt;30,"30 dias","Al Día"))))))</f>
        <v>Al Día</v>
      </c>
      <c r="J513" s="59" t="s">
        <v>31</v>
      </c>
      <c r="K513" s="60" t="s">
        <v>81</v>
      </c>
      <c r="L513" s="61" t="s">
        <v>309</v>
      </c>
      <c r="M513" s="29" t="n">
        <f aca="false">+YEAR(F513)</f>
        <v>2026</v>
      </c>
      <c r="N513" s="62" t="n">
        <v>2026</v>
      </c>
      <c r="O513" s="63" t="n">
        <v>3</v>
      </c>
      <c r="P513" s="29" t="str">
        <f aca="false">+CONCATENATE(Tabla[[#This Row],[MES CAMPAÑA]],"/",Tabla[[#This Row],[AÑO CAMPAÑA]])</f>
        <v>3/2026</v>
      </c>
      <c r="Q513" s="60" t="s">
        <v>73</v>
      </c>
      <c r="R513" s="29"/>
      <c r="S513" s="64" t="n">
        <v>0</v>
      </c>
      <c r="T513" s="64" t="n">
        <v>2217</v>
      </c>
      <c r="U513" s="64" t="n">
        <v>421</v>
      </c>
      <c r="V513" s="29"/>
      <c r="W513" s="24" t="n">
        <v>2638</v>
      </c>
      <c r="X513" s="36" t="n">
        <f aca="false">+Tabla[[#This Row],[TOTAL]]</f>
        <v>2638</v>
      </c>
      <c r="Y513" s="37"/>
      <c r="Z513" s="37"/>
      <c r="AA513" s="37"/>
      <c r="AB513" s="38" t="n">
        <f aca="false">+W513-AC513</f>
        <v>0</v>
      </c>
      <c r="AC513" s="34" t="n">
        <f aca="false">+Tabla[[#This Row],[P4]]+Tabla[[#This Row],[P3]]+Tabla[[#This Row],[P2]]+Tabla[[#This Row],[P1]]</f>
        <v>2638</v>
      </c>
      <c r="AD513" s="34" t="n">
        <f aca="false">+W513-AC513</f>
        <v>0</v>
      </c>
      <c r="AE513" s="21" t="str">
        <f aca="false">IF(AB513&lt;1,"PAGADA","PENDIENTE")</f>
        <v>PAGADA</v>
      </c>
      <c r="AF513" s="21"/>
      <c r="AG513" s="29"/>
      <c r="AH513" s="40"/>
      <c r="AI513" s="40" t="n">
        <f aca="false">+IF(Tabla[[#This Row],[FECHA PAGO / ABONO]]&lt;1,0,(MONTH(Tabla[[#This Row],[FECHA PAGO / ABONO]])))</f>
        <v>0</v>
      </c>
      <c r="AJ513" s="40" t="n">
        <f aca="false">+IF(Tabla[[#This Row],[FECHA PAGO / ABONO]]&lt;1,0,(YEAR(Tabla[[#This Row],[FECHA PAGO / ABONO]])))</f>
        <v>0</v>
      </c>
      <c r="AK513" s="41"/>
    </row>
    <row r="514" customFormat="false" ht="14.25" hidden="false" customHeight="false" outlineLevel="0" collapsed="false">
      <c r="A514" s="58" t="s">
        <v>101</v>
      </c>
      <c r="B514" s="21" t="s">
        <v>102</v>
      </c>
      <c r="C514" s="21" t="s">
        <v>69</v>
      </c>
      <c r="D514" s="21" t="n">
        <v>29854465</v>
      </c>
      <c r="E514" s="43" t="str">
        <f aca="false">+CONCATENATE(Tabla[[#This Row],[RUT]],Tabla[[#This Row],[PROVEEDOR]],Tabla[[#This Row],[FACTURA]])</f>
        <v>97006000-6BANCO DE CREDITO E INVERSIONES29854465</v>
      </c>
      <c r="F514" s="30" t="n">
        <v>46121</v>
      </c>
      <c r="G514" s="31" t="n">
        <f aca="false">+F514+30</f>
        <v>46151</v>
      </c>
      <c r="H514" s="29" t="n">
        <f aca="true">+IF(AE514="PAGADA",0,TODAY()-G514)</f>
        <v>0</v>
      </c>
      <c r="I514" s="29" t="str">
        <f aca="false">+IF(H514&gt;180,"Atrasada",IF(H514&gt;150,"150 dias",IF(H514&gt;120,"120 dias",IF(H514&gt;90,"90 dias",IF(H514&gt;60,"60 dias",IF(H514&gt;30,"30 dias","Al Día"))))))</f>
        <v>Al Día</v>
      </c>
      <c r="J514" s="59" t="s">
        <v>31</v>
      </c>
      <c r="K514" s="60" t="s">
        <v>81</v>
      </c>
      <c r="L514" s="61" t="s">
        <v>309</v>
      </c>
      <c r="M514" s="29" t="n">
        <f aca="false">+YEAR(F514)</f>
        <v>2026</v>
      </c>
      <c r="N514" s="62" t="n">
        <v>2026</v>
      </c>
      <c r="O514" s="63" t="n">
        <v>3</v>
      </c>
      <c r="P514" s="29" t="str">
        <f aca="false">+CONCATENATE(Tabla[[#This Row],[MES CAMPAÑA]],"/",Tabla[[#This Row],[AÑO CAMPAÑA]])</f>
        <v>3/2026</v>
      </c>
      <c r="Q514" s="60" t="s">
        <v>73</v>
      </c>
      <c r="R514" s="29"/>
      <c r="S514" s="64" t="n">
        <v>0</v>
      </c>
      <c r="T514" s="64" t="n">
        <v>1131</v>
      </c>
      <c r="U514" s="64" t="n">
        <v>215</v>
      </c>
      <c r="V514" s="29"/>
      <c r="W514" s="24" t="n">
        <v>1346</v>
      </c>
      <c r="X514" s="36" t="n">
        <f aca="false">+Tabla[[#This Row],[TOTAL]]</f>
        <v>1346</v>
      </c>
      <c r="Y514" s="37"/>
      <c r="Z514" s="37"/>
      <c r="AA514" s="37"/>
      <c r="AB514" s="38" t="n">
        <f aca="false">+W514-AC514</f>
        <v>0</v>
      </c>
      <c r="AC514" s="34" t="n">
        <f aca="false">+Tabla[[#This Row],[P4]]+Tabla[[#This Row],[P3]]+Tabla[[#This Row],[P2]]+Tabla[[#This Row],[P1]]</f>
        <v>1346</v>
      </c>
      <c r="AD514" s="34" t="n">
        <f aca="false">+W514-AC514</f>
        <v>0</v>
      </c>
      <c r="AE514" s="21" t="str">
        <f aca="false">IF(AB514&lt;1,"PAGADA","PENDIENTE")</f>
        <v>PAGADA</v>
      </c>
      <c r="AF514" s="21"/>
      <c r="AG514" s="29"/>
      <c r="AH514" s="40"/>
      <c r="AI514" s="40" t="n">
        <f aca="false">+IF(Tabla[[#This Row],[FECHA PAGO / ABONO]]&lt;1,0,(MONTH(Tabla[[#This Row],[FECHA PAGO / ABONO]])))</f>
        <v>0</v>
      </c>
      <c r="AJ514" s="40" t="n">
        <f aca="false">+IF(Tabla[[#This Row],[FECHA PAGO / ABONO]]&lt;1,0,(YEAR(Tabla[[#This Row],[FECHA PAGO / ABONO]])))</f>
        <v>0</v>
      </c>
      <c r="AK514" s="41"/>
    </row>
    <row r="515" customFormat="false" ht="14.25" hidden="false" customHeight="false" outlineLevel="0" collapsed="false">
      <c r="A515" s="58" t="s">
        <v>101</v>
      </c>
      <c r="B515" s="21" t="s">
        <v>102</v>
      </c>
      <c r="C515" s="21" t="s">
        <v>69</v>
      </c>
      <c r="D515" s="21" t="n">
        <v>29854466</v>
      </c>
      <c r="E515" s="43" t="str">
        <f aca="false">+CONCATENATE(Tabla[[#This Row],[RUT]],Tabla[[#This Row],[PROVEEDOR]],Tabla[[#This Row],[FACTURA]])</f>
        <v>97006000-6BANCO DE CREDITO E INVERSIONES29854466</v>
      </c>
      <c r="F515" s="30" t="n">
        <v>46121</v>
      </c>
      <c r="G515" s="31" t="n">
        <f aca="false">+F515+30</f>
        <v>46151</v>
      </c>
      <c r="H515" s="29" t="n">
        <f aca="true">+IF(AE515="PAGADA",0,TODAY()-G515)</f>
        <v>0</v>
      </c>
      <c r="I515" s="29" t="str">
        <f aca="false">+IF(H515&gt;180,"Atrasada",IF(H515&gt;150,"150 dias",IF(H515&gt;120,"120 dias",IF(H515&gt;90,"90 dias",IF(H515&gt;60,"60 dias",IF(H515&gt;30,"30 dias","Al Día"))))))</f>
        <v>Al Día</v>
      </c>
      <c r="J515" s="59" t="s">
        <v>31</v>
      </c>
      <c r="K515" s="60" t="s">
        <v>81</v>
      </c>
      <c r="L515" s="61" t="s">
        <v>309</v>
      </c>
      <c r="M515" s="29" t="n">
        <f aca="false">+YEAR(F515)</f>
        <v>2026</v>
      </c>
      <c r="N515" s="62" t="n">
        <v>2026</v>
      </c>
      <c r="O515" s="63" t="n">
        <v>3</v>
      </c>
      <c r="P515" s="29" t="str">
        <f aca="false">+CONCATENATE(Tabla[[#This Row],[MES CAMPAÑA]],"/",Tabla[[#This Row],[AÑO CAMPAÑA]])</f>
        <v>3/2026</v>
      </c>
      <c r="Q515" s="60" t="s">
        <v>73</v>
      </c>
      <c r="R515" s="29"/>
      <c r="S515" s="64" t="n">
        <v>0</v>
      </c>
      <c r="T515" s="64" t="n">
        <v>3090</v>
      </c>
      <c r="U515" s="64" t="n">
        <v>587</v>
      </c>
      <c r="V515" s="29"/>
      <c r="W515" s="24" t="n">
        <v>3677</v>
      </c>
      <c r="X515" s="36" t="n">
        <f aca="false">+Tabla[[#This Row],[TOTAL]]</f>
        <v>3677</v>
      </c>
      <c r="Y515" s="37"/>
      <c r="Z515" s="37"/>
      <c r="AA515" s="37"/>
      <c r="AB515" s="38" t="n">
        <f aca="false">+W515-AC515</f>
        <v>0</v>
      </c>
      <c r="AC515" s="34" t="n">
        <f aca="false">+Tabla[[#This Row],[P4]]+Tabla[[#This Row],[P3]]+Tabla[[#This Row],[P2]]+Tabla[[#This Row],[P1]]</f>
        <v>3677</v>
      </c>
      <c r="AD515" s="34" t="n">
        <f aca="false">+W515-AC515</f>
        <v>0</v>
      </c>
      <c r="AE515" s="21" t="str">
        <f aca="false">IF(AB515&lt;1,"PAGADA","PENDIENTE")</f>
        <v>PAGADA</v>
      </c>
      <c r="AF515" s="21"/>
      <c r="AG515" s="29"/>
      <c r="AH515" s="40"/>
      <c r="AI515" s="40" t="n">
        <f aca="false">+IF(Tabla[[#This Row],[FECHA PAGO / ABONO]]&lt;1,0,(MONTH(Tabla[[#This Row],[FECHA PAGO / ABONO]])))</f>
        <v>0</v>
      </c>
      <c r="AJ515" s="40" t="n">
        <f aca="false">+IF(Tabla[[#This Row],[FECHA PAGO / ABONO]]&lt;1,0,(YEAR(Tabla[[#This Row],[FECHA PAGO / ABONO]])))</f>
        <v>0</v>
      </c>
      <c r="AK515" s="41"/>
    </row>
    <row r="516" customFormat="false" ht="14.25" hidden="false" customHeight="false" outlineLevel="0" collapsed="false">
      <c r="A516" s="58" t="s">
        <v>101</v>
      </c>
      <c r="B516" s="21" t="s">
        <v>102</v>
      </c>
      <c r="C516" s="21" t="s">
        <v>69</v>
      </c>
      <c r="D516" s="21" t="n">
        <v>29854467</v>
      </c>
      <c r="E516" s="43" t="str">
        <f aca="false">+CONCATENATE(Tabla[[#This Row],[RUT]],Tabla[[#This Row],[PROVEEDOR]],Tabla[[#This Row],[FACTURA]])</f>
        <v>97006000-6BANCO DE CREDITO E INVERSIONES29854467</v>
      </c>
      <c r="F516" s="30" t="n">
        <v>46121</v>
      </c>
      <c r="G516" s="31" t="n">
        <f aca="false">+F516+30</f>
        <v>46151</v>
      </c>
      <c r="H516" s="29" t="n">
        <f aca="true">+IF(AE516="PAGADA",0,TODAY()-G516)</f>
        <v>0</v>
      </c>
      <c r="I516" s="29" t="str">
        <f aca="false">+IF(H516&gt;180,"Atrasada",IF(H516&gt;150,"150 dias",IF(H516&gt;120,"120 dias",IF(H516&gt;90,"90 dias",IF(H516&gt;60,"60 dias",IF(H516&gt;30,"30 dias","Al Día"))))))</f>
        <v>Al Día</v>
      </c>
      <c r="J516" s="59" t="s">
        <v>31</v>
      </c>
      <c r="K516" s="60" t="s">
        <v>81</v>
      </c>
      <c r="L516" s="61" t="s">
        <v>309</v>
      </c>
      <c r="M516" s="29" t="n">
        <f aca="false">+YEAR(F516)</f>
        <v>2026</v>
      </c>
      <c r="N516" s="62" t="n">
        <v>2026</v>
      </c>
      <c r="O516" s="63" t="n">
        <v>3</v>
      </c>
      <c r="P516" s="29" t="str">
        <f aca="false">+CONCATENATE(Tabla[[#This Row],[MES CAMPAÑA]],"/",Tabla[[#This Row],[AÑO CAMPAÑA]])</f>
        <v>3/2026</v>
      </c>
      <c r="Q516" s="60" t="s">
        <v>73</v>
      </c>
      <c r="R516" s="29"/>
      <c r="S516" s="64" t="n">
        <v>0</v>
      </c>
      <c r="T516" s="64" t="n">
        <v>258</v>
      </c>
      <c r="U516" s="64" t="n">
        <v>49</v>
      </c>
      <c r="V516" s="29"/>
      <c r="W516" s="24" t="n">
        <v>307</v>
      </c>
      <c r="X516" s="36" t="n">
        <f aca="false">+Tabla[[#This Row],[TOTAL]]</f>
        <v>307</v>
      </c>
      <c r="Y516" s="37"/>
      <c r="Z516" s="37"/>
      <c r="AA516" s="37"/>
      <c r="AB516" s="38" t="n">
        <f aca="false">+W516-AC516</f>
        <v>0</v>
      </c>
      <c r="AC516" s="34" t="n">
        <f aca="false">+Tabla[[#This Row],[P4]]+Tabla[[#This Row],[P3]]+Tabla[[#This Row],[P2]]+Tabla[[#This Row],[P1]]</f>
        <v>307</v>
      </c>
      <c r="AD516" s="34" t="n">
        <f aca="false">+W516-AC516</f>
        <v>0</v>
      </c>
      <c r="AE516" s="21" t="str">
        <f aca="false">IF(AB516&lt;1,"PAGADA","PENDIENTE")</f>
        <v>PAGADA</v>
      </c>
      <c r="AF516" s="21"/>
      <c r="AG516" s="29"/>
      <c r="AH516" s="40"/>
      <c r="AI516" s="40" t="n">
        <f aca="false">+IF(Tabla[[#This Row],[FECHA PAGO / ABONO]]&lt;1,0,(MONTH(Tabla[[#This Row],[FECHA PAGO / ABONO]])))</f>
        <v>0</v>
      </c>
      <c r="AJ516" s="40" t="n">
        <f aca="false">+IF(Tabla[[#This Row],[FECHA PAGO / ABONO]]&lt;1,0,(YEAR(Tabla[[#This Row],[FECHA PAGO / ABONO]])))</f>
        <v>0</v>
      </c>
      <c r="AK516" s="41"/>
    </row>
    <row r="517" customFormat="false" ht="14.25" hidden="false" customHeight="false" outlineLevel="0" collapsed="false">
      <c r="A517" s="58" t="s">
        <v>101</v>
      </c>
      <c r="B517" s="21" t="s">
        <v>102</v>
      </c>
      <c r="C517" s="21" t="s">
        <v>69</v>
      </c>
      <c r="D517" s="21" t="n">
        <v>29854468</v>
      </c>
      <c r="E517" s="43" t="str">
        <f aca="false">+CONCATENATE(Tabla[[#This Row],[RUT]],Tabla[[#This Row],[PROVEEDOR]],Tabla[[#This Row],[FACTURA]])</f>
        <v>97006000-6BANCO DE CREDITO E INVERSIONES29854468</v>
      </c>
      <c r="F517" s="30" t="n">
        <v>46121</v>
      </c>
      <c r="G517" s="31" t="n">
        <f aca="false">+F517+30</f>
        <v>46151</v>
      </c>
      <c r="H517" s="29" t="n">
        <f aca="true">+IF(AE517="PAGADA",0,TODAY()-G517)</f>
        <v>0</v>
      </c>
      <c r="I517" s="29" t="str">
        <f aca="false">+IF(H517&gt;180,"Atrasada",IF(H517&gt;150,"150 dias",IF(H517&gt;120,"120 dias",IF(H517&gt;90,"90 dias",IF(H517&gt;60,"60 dias",IF(H517&gt;30,"30 dias","Al Día"))))))</f>
        <v>Al Día</v>
      </c>
      <c r="J517" s="59" t="s">
        <v>31</v>
      </c>
      <c r="K517" s="60" t="s">
        <v>81</v>
      </c>
      <c r="L517" s="61" t="s">
        <v>309</v>
      </c>
      <c r="M517" s="29" t="n">
        <f aca="false">+YEAR(F517)</f>
        <v>2026</v>
      </c>
      <c r="N517" s="62" t="n">
        <v>2026</v>
      </c>
      <c r="O517" s="63" t="n">
        <v>3</v>
      </c>
      <c r="P517" s="29" t="str">
        <f aca="false">+CONCATENATE(Tabla[[#This Row],[MES CAMPAÑA]],"/",Tabla[[#This Row],[AÑO CAMPAÑA]])</f>
        <v>3/2026</v>
      </c>
      <c r="Q517" s="60" t="s">
        <v>73</v>
      </c>
      <c r="R517" s="29"/>
      <c r="S517" s="64" t="n">
        <v>0</v>
      </c>
      <c r="T517" s="64" t="n">
        <v>3348</v>
      </c>
      <c r="U517" s="64" t="n">
        <v>636</v>
      </c>
      <c r="V517" s="29"/>
      <c r="W517" s="24" t="n">
        <v>3984</v>
      </c>
      <c r="X517" s="36" t="n">
        <f aca="false">+Tabla[[#This Row],[TOTAL]]</f>
        <v>3984</v>
      </c>
      <c r="Y517" s="37"/>
      <c r="Z517" s="37"/>
      <c r="AA517" s="37"/>
      <c r="AB517" s="38" t="n">
        <f aca="false">+W517-AC517</f>
        <v>0</v>
      </c>
      <c r="AC517" s="34" t="n">
        <f aca="false">+Tabla[[#This Row],[P4]]+Tabla[[#This Row],[P3]]+Tabla[[#This Row],[P2]]+Tabla[[#This Row],[P1]]</f>
        <v>3984</v>
      </c>
      <c r="AD517" s="34" t="n">
        <f aca="false">+W517-AC517</f>
        <v>0</v>
      </c>
      <c r="AE517" s="21" t="str">
        <f aca="false">IF(AB517&lt;1,"PAGADA","PENDIENTE")</f>
        <v>PAGADA</v>
      </c>
      <c r="AF517" s="21"/>
      <c r="AG517" s="29"/>
      <c r="AH517" s="40"/>
      <c r="AI517" s="40" t="n">
        <f aca="false">+IF(Tabla[[#This Row],[FECHA PAGO / ABONO]]&lt;1,0,(MONTH(Tabla[[#This Row],[FECHA PAGO / ABONO]])))</f>
        <v>0</v>
      </c>
      <c r="AJ517" s="40" t="n">
        <f aca="false">+IF(Tabla[[#This Row],[FECHA PAGO / ABONO]]&lt;1,0,(YEAR(Tabla[[#This Row],[FECHA PAGO / ABONO]])))</f>
        <v>0</v>
      </c>
      <c r="AK517" s="41"/>
    </row>
    <row r="518" customFormat="false" ht="14.25" hidden="false" customHeight="false" outlineLevel="0" collapsed="false">
      <c r="A518" s="58" t="s">
        <v>101</v>
      </c>
      <c r="B518" s="21" t="s">
        <v>102</v>
      </c>
      <c r="C518" s="21" t="s">
        <v>69</v>
      </c>
      <c r="D518" s="21" t="n">
        <v>29854469</v>
      </c>
      <c r="E518" s="43" t="str">
        <f aca="false">+CONCATENATE(Tabla[[#This Row],[RUT]],Tabla[[#This Row],[PROVEEDOR]],Tabla[[#This Row],[FACTURA]])</f>
        <v>97006000-6BANCO DE CREDITO E INVERSIONES29854469</v>
      </c>
      <c r="F518" s="30" t="n">
        <v>46121</v>
      </c>
      <c r="G518" s="31" t="n">
        <f aca="false">+F518+30</f>
        <v>46151</v>
      </c>
      <c r="H518" s="29" t="n">
        <f aca="true">+IF(AE518="PAGADA",0,TODAY()-G518)</f>
        <v>0</v>
      </c>
      <c r="I518" s="29" t="str">
        <f aca="false">+IF(H518&gt;180,"Atrasada",IF(H518&gt;150,"150 dias",IF(H518&gt;120,"120 dias",IF(H518&gt;90,"90 dias",IF(H518&gt;60,"60 dias",IF(H518&gt;30,"30 dias","Al Día"))))))</f>
        <v>Al Día</v>
      </c>
      <c r="J518" s="59" t="s">
        <v>31</v>
      </c>
      <c r="K518" s="60" t="s">
        <v>81</v>
      </c>
      <c r="L518" s="61" t="s">
        <v>309</v>
      </c>
      <c r="M518" s="29" t="n">
        <f aca="false">+YEAR(F518)</f>
        <v>2026</v>
      </c>
      <c r="N518" s="62" t="n">
        <v>2026</v>
      </c>
      <c r="O518" s="63" t="n">
        <v>3</v>
      </c>
      <c r="P518" s="29" t="str">
        <f aca="false">+CONCATENATE(Tabla[[#This Row],[MES CAMPAÑA]],"/",Tabla[[#This Row],[AÑO CAMPAÑA]])</f>
        <v>3/2026</v>
      </c>
      <c r="Q518" s="60" t="s">
        <v>73</v>
      </c>
      <c r="R518" s="29"/>
      <c r="S518" s="64" t="n">
        <v>0</v>
      </c>
      <c r="T518" s="64" t="n">
        <v>3348</v>
      </c>
      <c r="U518" s="64" t="n">
        <v>636</v>
      </c>
      <c r="V518" s="29"/>
      <c r="W518" s="24" t="n">
        <v>3984</v>
      </c>
      <c r="X518" s="36" t="n">
        <f aca="false">+Tabla[[#This Row],[TOTAL]]</f>
        <v>3984</v>
      </c>
      <c r="Y518" s="37"/>
      <c r="Z518" s="37"/>
      <c r="AA518" s="37"/>
      <c r="AB518" s="38" t="n">
        <f aca="false">+W518-AC518</f>
        <v>0</v>
      </c>
      <c r="AC518" s="34" t="n">
        <f aca="false">+Tabla[[#This Row],[P4]]+Tabla[[#This Row],[P3]]+Tabla[[#This Row],[P2]]+Tabla[[#This Row],[P1]]</f>
        <v>3984</v>
      </c>
      <c r="AD518" s="34" t="n">
        <f aca="false">+W518-AC518</f>
        <v>0</v>
      </c>
      <c r="AE518" s="21" t="str">
        <f aca="false">IF(AB518&lt;1,"PAGADA","PENDIENTE")</f>
        <v>PAGADA</v>
      </c>
      <c r="AF518" s="21"/>
      <c r="AG518" s="29"/>
      <c r="AH518" s="40"/>
      <c r="AI518" s="40" t="n">
        <f aca="false">+IF(Tabla[[#This Row],[FECHA PAGO / ABONO]]&lt;1,0,(MONTH(Tabla[[#This Row],[FECHA PAGO / ABONO]])))</f>
        <v>0</v>
      </c>
      <c r="AJ518" s="40" t="n">
        <f aca="false">+IF(Tabla[[#This Row],[FECHA PAGO / ABONO]]&lt;1,0,(YEAR(Tabla[[#This Row],[FECHA PAGO / ABONO]])))</f>
        <v>0</v>
      </c>
      <c r="AK518" s="41"/>
    </row>
    <row r="519" customFormat="false" ht="14.25" hidden="false" customHeight="false" outlineLevel="0" collapsed="false">
      <c r="A519" s="58" t="s">
        <v>101</v>
      </c>
      <c r="B519" s="21" t="s">
        <v>102</v>
      </c>
      <c r="C519" s="21" t="s">
        <v>69</v>
      </c>
      <c r="D519" s="21" t="n">
        <v>29854470</v>
      </c>
      <c r="E519" s="43" t="str">
        <f aca="false">+CONCATENATE(Tabla[[#This Row],[RUT]],Tabla[[#This Row],[PROVEEDOR]],Tabla[[#This Row],[FACTURA]])</f>
        <v>97006000-6BANCO DE CREDITO E INVERSIONES29854470</v>
      </c>
      <c r="F519" s="30" t="n">
        <v>46121</v>
      </c>
      <c r="G519" s="31" t="n">
        <f aca="false">+F519+30</f>
        <v>46151</v>
      </c>
      <c r="H519" s="29" t="n">
        <f aca="true">+IF(AE519="PAGADA",0,TODAY()-G519)</f>
        <v>0</v>
      </c>
      <c r="I519" s="29" t="str">
        <f aca="false">+IF(H519&gt;180,"Atrasada",IF(H519&gt;150,"150 dias",IF(H519&gt;120,"120 dias",IF(H519&gt;90,"90 dias",IF(H519&gt;60,"60 dias",IF(H519&gt;30,"30 dias","Al Día"))))))</f>
        <v>Al Día</v>
      </c>
      <c r="J519" s="59" t="s">
        <v>31</v>
      </c>
      <c r="K519" s="60" t="s">
        <v>81</v>
      </c>
      <c r="L519" s="61" t="s">
        <v>309</v>
      </c>
      <c r="M519" s="29" t="n">
        <f aca="false">+YEAR(F519)</f>
        <v>2026</v>
      </c>
      <c r="N519" s="62" t="n">
        <v>2026</v>
      </c>
      <c r="O519" s="63" t="n">
        <v>3</v>
      </c>
      <c r="P519" s="29" t="str">
        <f aca="false">+CONCATENATE(Tabla[[#This Row],[MES CAMPAÑA]],"/",Tabla[[#This Row],[AÑO CAMPAÑA]])</f>
        <v>3/2026</v>
      </c>
      <c r="Q519" s="60" t="s">
        <v>73</v>
      </c>
      <c r="R519" s="29"/>
      <c r="S519" s="64" t="n">
        <v>0</v>
      </c>
      <c r="T519" s="64" t="n">
        <v>155164</v>
      </c>
      <c r="U519" s="64" t="n">
        <v>29481</v>
      </c>
      <c r="V519" s="29"/>
      <c r="W519" s="24" t="n">
        <v>184645</v>
      </c>
      <c r="X519" s="36" t="n">
        <f aca="false">+Tabla[[#This Row],[TOTAL]]</f>
        <v>184645</v>
      </c>
      <c r="Y519" s="37"/>
      <c r="Z519" s="37"/>
      <c r="AA519" s="37"/>
      <c r="AB519" s="38" t="n">
        <f aca="false">+W519-AC519</f>
        <v>0</v>
      </c>
      <c r="AC519" s="34" t="n">
        <f aca="false">+Tabla[[#This Row],[P4]]+Tabla[[#This Row],[P3]]+Tabla[[#This Row],[P2]]+Tabla[[#This Row],[P1]]</f>
        <v>184645</v>
      </c>
      <c r="AD519" s="34" t="n">
        <f aca="false">+W519-AC519</f>
        <v>0</v>
      </c>
      <c r="AE519" s="21" t="str">
        <f aca="false">IF(AB519&lt;1,"PAGADA","PENDIENTE")</f>
        <v>PAGADA</v>
      </c>
      <c r="AF519" s="21"/>
      <c r="AG519" s="29"/>
      <c r="AH519" s="40"/>
      <c r="AI519" s="40" t="n">
        <f aca="false">+IF(Tabla[[#This Row],[FECHA PAGO / ABONO]]&lt;1,0,(MONTH(Tabla[[#This Row],[FECHA PAGO / ABONO]])))</f>
        <v>0</v>
      </c>
      <c r="AJ519" s="40" t="n">
        <f aca="false">+IF(Tabla[[#This Row],[FECHA PAGO / ABONO]]&lt;1,0,(YEAR(Tabla[[#This Row],[FECHA PAGO / ABONO]])))</f>
        <v>0</v>
      </c>
      <c r="AK519" s="41"/>
    </row>
    <row r="520" customFormat="false" ht="14.25" hidden="false" customHeight="false" outlineLevel="0" collapsed="false">
      <c r="A520" s="58" t="s">
        <v>101</v>
      </c>
      <c r="B520" s="21" t="s">
        <v>102</v>
      </c>
      <c r="C520" s="21" t="s">
        <v>69</v>
      </c>
      <c r="D520" s="21" t="n">
        <v>29854471</v>
      </c>
      <c r="E520" s="43" t="str">
        <f aca="false">+CONCATENATE(Tabla[[#This Row],[RUT]],Tabla[[#This Row],[PROVEEDOR]],Tabla[[#This Row],[FACTURA]])</f>
        <v>97006000-6BANCO DE CREDITO E INVERSIONES29854471</v>
      </c>
      <c r="F520" s="30" t="n">
        <v>46121</v>
      </c>
      <c r="G520" s="31" t="n">
        <f aca="false">+F520+30</f>
        <v>46151</v>
      </c>
      <c r="H520" s="29" t="n">
        <f aca="true">+IF(AE520="PAGADA",0,TODAY()-G520)</f>
        <v>0</v>
      </c>
      <c r="I520" s="29" t="str">
        <f aca="false">+IF(H520&gt;180,"Atrasada",IF(H520&gt;150,"150 dias",IF(H520&gt;120,"120 dias",IF(H520&gt;90,"90 dias",IF(H520&gt;60,"60 dias",IF(H520&gt;30,"30 dias","Al Día"))))))</f>
        <v>Al Día</v>
      </c>
      <c r="J520" s="59" t="s">
        <v>31</v>
      </c>
      <c r="K520" s="60" t="s">
        <v>81</v>
      </c>
      <c r="L520" s="61" t="s">
        <v>309</v>
      </c>
      <c r="M520" s="29" t="n">
        <f aca="false">+YEAR(F520)</f>
        <v>2026</v>
      </c>
      <c r="N520" s="62" t="n">
        <v>2026</v>
      </c>
      <c r="O520" s="63" t="n">
        <v>3</v>
      </c>
      <c r="P520" s="29" t="str">
        <f aca="false">+CONCATENATE(Tabla[[#This Row],[MES CAMPAÑA]],"/",Tabla[[#This Row],[AÑO CAMPAÑA]])</f>
        <v>3/2026</v>
      </c>
      <c r="Q520" s="60" t="s">
        <v>73</v>
      </c>
      <c r="R520" s="29"/>
      <c r="S520" s="64" t="n">
        <v>0</v>
      </c>
      <c r="T520" s="64" t="n">
        <v>3348</v>
      </c>
      <c r="U520" s="64" t="n">
        <v>636</v>
      </c>
      <c r="V520" s="29"/>
      <c r="W520" s="24" t="n">
        <v>3984</v>
      </c>
      <c r="X520" s="36" t="n">
        <f aca="false">+Tabla[[#This Row],[TOTAL]]</f>
        <v>3984</v>
      </c>
      <c r="Y520" s="37"/>
      <c r="Z520" s="37"/>
      <c r="AA520" s="37"/>
      <c r="AB520" s="38" t="n">
        <f aca="false">+W520-AC520</f>
        <v>0</v>
      </c>
      <c r="AC520" s="34" t="n">
        <f aca="false">+Tabla[[#This Row],[P4]]+Tabla[[#This Row],[P3]]+Tabla[[#This Row],[P2]]+Tabla[[#This Row],[P1]]</f>
        <v>3984</v>
      </c>
      <c r="AD520" s="34" t="n">
        <f aca="false">+W520-AC520</f>
        <v>0</v>
      </c>
      <c r="AE520" s="21" t="str">
        <f aca="false">IF(AB520&lt;1,"PAGADA","PENDIENTE")</f>
        <v>PAGADA</v>
      </c>
      <c r="AF520" s="21"/>
      <c r="AG520" s="29"/>
      <c r="AH520" s="40"/>
      <c r="AI520" s="40" t="n">
        <f aca="false">+IF(Tabla[[#This Row],[FECHA PAGO / ABONO]]&lt;1,0,(MONTH(Tabla[[#This Row],[FECHA PAGO / ABONO]])))</f>
        <v>0</v>
      </c>
      <c r="AJ520" s="40" t="n">
        <f aca="false">+IF(Tabla[[#This Row],[FECHA PAGO / ABONO]]&lt;1,0,(YEAR(Tabla[[#This Row],[FECHA PAGO / ABONO]])))</f>
        <v>0</v>
      </c>
      <c r="AK520" s="41"/>
    </row>
    <row r="521" customFormat="false" ht="14.25" hidden="false" customHeight="false" outlineLevel="0" collapsed="false">
      <c r="A521" s="58" t="s">
        <v>101</v>
      </c>
      <c r="B521" s="21" t="s">
        <v>102</v>
      </c>
      <c r="C521" s="21" t="s">
        <v>69</v>
      </c>
      <c r="D521" s="21" t="n">
        <v>29854472</v>
      </c>
      <c r="E521" s="43" t="str">
        <f aca="false">+CONCATENATE(Tabla[[#This Row],[RUT]],Tabla[[#This Row],[PROVEEDOR]],Tabla[[#This Row],[FACTURA]])</f>
        <v>97006000-6BANCO DE CREDITO E INVERSIONES29854472</v>
      </c>
      <c r="F521" s="30" t="n">
        <v>46121</v>
      </c>
      <c r="G521" s="31" t="n">
        <f aca="false">+F521+30</f>
        <v>46151</v>
      </c>
      <c r="H521" s="29" t="n">
        <f aca="true">+IF(AE521="PAGADA",0,TODAY()-G521)</f>
        <v>0</v>
      </c>
      <c r="I521" s="29" t="str">
        <f aca="false">+IF(H521&gt;180,"Atrasada",IF(H521&gt;150,"150 dias",IF(H521&gt;120,"120 dias",IF(H521&gt;90,"90 dias",IF(H521&gt;60,"60 dias",IF(H521&gt;30,"30 dias","Al Día"))))))</f>
        <v>Al Día</v>
      </c>
      <c r="J521" s="59" t="s">
        <v>31</v>
      </c>
      <c r="K521" s="60" t="s">
        <v>81</v>
      </c>
      <c r="L521" s="61" t="s">
        <v>309</v>
      </c>
      <c r="M521" s="29" t="n">
        <f aca="false">+YEAR(F521)</f>
        <v>2026</v>
      </c>
      <c r="N521" s="62" t="n">
        <v>2026</v>
      </c>
      <c r="O521" s="63" t="n">
        <v>3</v>
      </c>
      <c r="P521" s="29" t="str">
        <f aca="false">+CONCATENATE(Tabla[[#This Row],[MES CAMPAÑA]],"/",Tabla[[#This Row],[AÑO CAMPAÑA]])</f>
        <v>3/2026</v>
      </c>
      <c r="Q521" s="60" t="s">
        <v>73</v>
      </c>
      <c r="R521" s="29"/>
      <c r="S521" s="64" t="n">
        <v>0</v>
      </c>
      <c r="T521" s="64" t="n">
        <v>33</v>
      </c>
      <c r="U521" s="64" t="n">
        <v>6</v>
      </c>
      <c r="V521" s="29"/>
      <c r="W521" s="24" t="n">
        <v>39</v>
      </c>
      <c r="X521" s="36" t="n">
        <f aca="false">+Tabla[[#This Row],[TOTAL]]</f>
        <v>39</v>
      </c>
      <c r="Y521" s="37"/>
      <c r="Z521" s="37"/>
      <c r="AA521" s="37"/>
      <c r="AB521" s="38" t="n">
        <f aca="false">+W521-AC521</f>
        <v>0</v>
      </c>
      <c r="AC521" s="34" t="n">
        <f aca="false">+Tabla[[#This Row],[P4]]+Tabla[[#This Row],[P3]]+Tabla[[#This Row],[P2]]+Tabla[[#This Row],[P1]]</f>
        <v>39</v>
      </c>
      <c r="AD521" s="34" t="n">
        <f aca="false">+W521-AC521</f>
        <v>0</v>
      </c>
      <c r="AE521" s="21" t="str">
        <f aca="false">IF(AB521&lt;1,"PAGADA","PENDIENTE")</f>
        <v>PAGADA</v>
      </c>
      <c r="AF521" s="21"/>
      <c r="AG521" s="29"/>
      <c r="AH521" s="40"/>
      <c r="AI521" s="40" t="n">
        <f aca="false">+IF(Tabla[[#This Row],[FECHA PAGO / ABONO]]&lt;1,0,(MONTH(Tabla[[#This Row],[FECHA PAGO / ABONO]])))</f>
        <v>0</v>
      </c>
      <c r="AJ521" s="40" t="n">
        <f aca="false">+IF(Tabla[[#This Row],[FECHA PAGO / ABONO]]&lt;1,0,(YEAR(Tabla[[#This Row],[FECHA PAGO / ABONO]])))</f>
        <v>0</v>
      </c>
      <c r="AK521" s="41"/>
    </row>
    <row r="522" customFormat="false" ht="14.25" hidden="false" customHeight="false" outlineLevel="0" collapsed="false">
      <c r="A522" s="58" t="s">
        <v>101</v>
      </c>
      <c r="B522" s="21" t="s">
        <v>102</v>
      </c>
      <c r="C522" s="21" t="s">
        <v>69</v>
      </c>
      <c r="D522" s="21" t="n">
        <v>29854473</v>
      </c>
      <c r="E522" s="43" t="str">
        <f aca="false">+CONCATENATE(Tabla[[#This Row],[RUT]],Tabla[[#This Row],[PROVEEDOR]],Tabla[[#This Row],[FACTURA]])</f>
        <v>97006000-6BANCO DE CREDITO E INVERSIONES29854473</v>
      </c>
      <c r="F522" s="30" t="n">
        <v>46121</v>
      </c>
      <c r="G522" s="31" t="n">
        <f aca="false">+F522+30</f>
        <v>46151</v>
      </c>
      <c r="H522" s="29" t="n">
        <f aca="true">+IF(AE522="PAGADA",0,TODAY()-G522)</f>
        <v>0</v>
      </c>
      <c r="I522" s="29" t="str">
        <f aca="false">+IF(H522&gt;180,"Atrasada",IF(H522&gt;150,"150 dias",IF(H522&gt;120,"120 dias",IF(H522&gt;90,"90 dias",IF(H522&gt;60,"60 dias",IF(H522&gt;30,"30 dias","Al Día"))))))</f>
        <v>Al Día</v>
      </c>
      <c r="J522" s="59" t="s">
        <v>31</v>
      </c>
      <c r="K522" s="60" t="s">
        <v>81</v>
      </c>
      <c r="L522" s="61" t="s">
        <v>309</v>
      </c>
      <c r="M522" s="29" t="n">
        <f aca="false">+YEAR(F522)</f>
        <v>2026</v>
      </c>
      <c r="N522" s="62" t="n">
        <v>2026</v>
      </c>
      <c r="O522" s="63" t="n">
        <v>3</v>
      </c>
      <c r="P522" s="29" t="str">
        <f aca="false">+CONCATENATE(Tabla[[#This Row],[MES CAMPAÑA]],"/",Tabla[[#This Row],[AÑO CAMPAÑA]])</f>
        <v>3/2026</v>
      </c>
      <c r="Q522" s="60" t="s">
        <v>73</v>
      </c>
      <c r="R522" s="29"/>
      <c r="S522" s="64" t="n">
        <v>0</v>
      </c>
      <c r="T522" s="64" t="n">
        <v>3315</v>
      </c>
      <c r="U522" s="64" t="n">
        <v>630</v>
      </c>
      <c r="V522" s="29"/>
      <c r="W522" s="24" t="n">
        <v>3945</v>
      </c>
      <c r="X522" s="36" t="n">
        <f aca="false">+Tabla[[#This Row],[TOTAL]]</f>
        <v>3945</v>
      </c>
      <c r="Y522" s="37"/>
      <c r="Z522" s="37"/>
      <c r="AA522" s="37"/>
      <c r="AB522" s="38" t="n">
        <f aca="false">+W522-AC522</f>
        <v>0</v>
      </c>
      <c r="AC522" s="34" t="n">
        <f aca="false">+Tabla[[#This Row],[P4]]+Tabla[[#This Row],[P3]]+Tabla[[#This Row],[P2]]+Tabla[[#This Row],[P1]]</f>
        <v>3945</v>
      </c>
      <c r="AD522" s="34" t="n">
        <f aca="false">+W522-AC522</f>
        <v>0</v>
      </c>
      <c r="AE522" s="21" t="str">
        <f aca="false">IF(AB522&lt;1,"PAGADA","PENDIENTE")</f>
        <v>PAGADA</v>
      </c>
      <c r="AF522" s="21"/>
      <c r="AG522" s="29"/>
      <c r="AH522" s="40"/>
      <c r="AI522" s="40" t="n">
        <f aca="false">+IF(Tabla[[#This Row],[FECHA PAGO / ABONO]]&lt;1,0,(MONTH(Tabla[[#This Row],[FECHA PAGO / ABONO]])))</f>
        <v>0</v>
      </c>
      <c r="AJ522" s="40" t="n">
        <f aca="false">+IF(Tabla[[#This Row],[FECHA PAGO / ABONO]]&lt;1,0,(YEAR(Tabla[[#This Row],[FECHA PAGO / ABONO]])))</f>
        <v>0</v>
      </c>
      <c r="AK522" s="41"/>
    </row>
    <row r="523" customFormat="false" ht="14.25" hidden="false" customHeight="false" outlineLevel="0" collapsed="false">
      <c r="A523" s="58" t="s">
        <v>101</v>
      </c>
      <c r="B523" s="21" t="s">
        <v>102</v>
      </c>
      <c r="C523" s="21" t="s">
        <v>69</v>
      </c>
      <c r="D523" s="21" t="n">
        <v>29854474</v>
      </c>
      <c r="E523" s="43" t="str">
        <f aca="false">+CONCATENATE(Tabla[[#This Row],[RUT]],Tabla[[#This Row],[PROVEEDOR]],Tabla[[#This Row],[FACTURA]])</f>
        <v>97006000-6BANCO DE CREDITO E INVERSIONES29854474</v>
      </c>
      <c r="F523" s="30" t="n">
        <v>46121</v>
      </c>
      <c r="G523" s="31" t="n">
        <f aca="false">+F523+30</f>
        <v>46151</v>
      </c>
      <c r="H523" s="29" t="n">
        <f aca="true">+IF(AE523="PAGADA",0,TODAY()-G523)</f>
        <v>0</v>
      </c>
      <c r="I523" s="29" t="str">
        <f aca="false">+IF(H523&gt;180,"Atrasada",IF(H523&gt;150,"150 dias",IF(H523&gt;120,"120 dias",IF(H523&gt;90,"90 dias",IF(H523&gt;60,"60 dias",IF(H523&gt;30,"30 dias","Al Día"))))))</f>
        <v>Al Día</v>
      </c>
      <c r="J523" s="59" t="s">
        <v>31</v>
      </c>
      <c r="K523" s="60" t="s">
        <v>81</v>
      </c>
      <c r="L523" s="61" t="s">
        <v>309</v>
      </c>
      <c r="M523" s="29" t="n">
        <f aca="false">+YEAR(F523)</f>
        <v>2026</v>
      </c>
      <c r="N523" s="62" t="n">
        <v>2026</v>
      </c>
      <c r="O523" s="63" t="n">
        <v>3</v>
      </c>
      <c r="P523" s="29" t="str">
        <f aca="false">+CONCATENATE(Tabla[[#This Row],[MES CAMPAÑA]],"/",Tabla[[#This Row],[AÑO CAMPAÑA]])</f>
        <v>3/2026</v>
      </c>
      <c r="Q523" s="60" t="s">
        <v>73</v>
      </c>
      <c r="R523" s="29"/>
      <c r="S523" s="64" t="n">
        <v>0</v>
      </c>
      <c r="T523" s="64" t="n">
        <v>110349</v>
      </c>
      <c r="U523" s="64" t="n">
        <v>20966</v>
      </c>
      <c r="V523" s="29"/>
      <c r="W523" s="24" t="n">
        <v>131315</v>
      </c>
      <c r="X523" s="36" t="n">
        <f aca="false">+Tabla[[#This Row],[TOTAL]]</f>
        <v>131315</v>
      </c>
      <c r="Y523" s="37"/>
      <c r="Z523" s="37"/>
      <c r="AA523" s="37"/>
      <c r="AB523" s="38" t="n">
        <f aca="false">+W523-AC523</f>
        <v>0</v>
      </c>
      <c r="AC523" s="34" t="n">
        <f aca="false">+Tabla[[#This Row],[P4]]+Tabla[[#This Row],[P3]]+Tabla[[#This Row],[P2]]+Tabla[[#This Row],[P1]]</f>
        <v>131315</v>
      </c>
      <c r="AD523" s="34" t="n">
        <f aca="false">+W523-AC523</f>
        <v>0</v>
      </c>
      <c r="AE523" s="21" t="str">
        <f aca="false">IF(AB523&lt;1,"PAGADA","PENDIENTE")</f>
        <v>PAGADA</v>
      </c>
      <c r="AF523" s="21"/>
      <c r="AG523" s="29"/>
      <c r="AH523" s="40"/>
      <c r="AI523" s="40" t="n">
        <f aca="false">+IF(Tabla[[#This Row],[FECHA PAGO / ABONO]]&lt;1,0,(MONTH(Tabla[[#This Row],[FECHA PAGO / ABONO]])))</f>
        <v>0</v>
      </c>
      <c r="AJ523" s="40" t="n">
        <f aca="false">+IF(Tabla[[#This Row],[FECHA PAGO / ABONO]]&lt;1,0,(YEAR(Tabla[[#This Row],[FECHA PAGO / ABONO]])))</f>
        <v>0</v>
      </c>
      <c r="AK523" s="41"/>
    </row>
    <row r="524" customFormat="false" ht="14.25" hidden="false" customHeight="false" outlineLevel="0" collapsed="false">
      <c r="A524" s="58" t="s">
        <v>101</v>
      </c>
      <c r="B524" s="21" t="s">
        <v>102</v>
      </c>
      <c r="C524" s="21" t="s">
        <v>69</v>
      </c>
      <c r="D524" s="21" t="n">
        <v>29854475</v>
      </c>
      <c r="E524" s="43" t="str">
        <f aca="false">+CONCATENATE(Tabla[[#This Row],[RUT]],Tabla[[#This Row],[PROVEEDOR]],Tabla[[#This Row],[FACTURA]])</f>
        <v>97006000-6BANCO DE CREDITO E INVERSIONES29854475</v>
      </c>
      <c r="F524" s="30" t="n">
        <v>46121</v>
      </c>
      <c r="G524" s="31" t="n">
        <f aca="false">+F524+30</f>
        <v>46151</v>
      </c>
      <c r="H524" s="29" t="n">
        <f aca="true">+IF(AE524="PAGADA",0,TODAY()-G524)</f>
        <v>0</v>
      </c>
      <c r="I524" s="29" t="str">
        <f aca="false">+IF(H524&gt;180,"Atrasada",IF(H524&gt;150,"150 dias",IF(H524&gt;120,"120 dias",IF(H524&gt;90,"90 dias",IF(H524&gt;60,"60 dias",IF(H524&gt;30,"30 dias","Al Día"))))))</f>
        <v>Al Día</v>
      </c>
      <c r="J524" s="59" t="s">
        <v>31</v>
      </c>
      <c r="K524" s="60" t="s">
        <v>81</v>
      </c>
      <c r="L524" s="61" t="s">
        <v>309</v>
      </c>
      <c r="M524" s="29" t="n">
        <f aca="false">+YEAR(F524)</f>
        <v>2026</v>
      </c>
      <c r="N524" s="62" t="n">
        <v>2026</v>
      </c>
      <c r="O524" s="63" t="n">
        <v>3</v>
      </c>
      <c r="P524" s="29" t="str">
        <f aca="false">+CONCATENATE(Tabla[[#This Row],[MES CAMPAÑA]],"/",Tabla[[#This Row],[AÑO CAMPAÑA]])</f>
        <v>3/2026</v>
      </c>
      <c r="Q524" s="60" t="s">
        <v>73</v>
      </c>
      <c r="R524" s="29"/>
      <c r="S524" s="64" t="n">
        <v>0</v>
      </c>
      <c r="T524" s="64" t="n">
        <v>35452</v>
      </c>
      <c r="U524" s="64" t="n">
        <v>6736</v>
      </c>
      <c r="V524" s="29"/>
      <c r="W524" s="24" t="n">
        <v>42188</v>
      </c>
      <c r="X524" s="36" t="n">
        <f aca="false">+Tabla[[#This Row],[TOTAL]]</f>
        <v>42188</v>
      </c>
      <c r="Y524" s="37"/>
      <c r="Z524" s="37"/>
      <c r="AA524" s="37"/>
      <c r="AB524" s="38" t="n">
        <f aca="false">+W524-AC524</f>
        <v>0</v>
      </c>
      <c r="AC524" s="34" t="n">
        <f aca="false">+Tabla[[#This Row],[P4]]+Tabla[[#This Row],[P3]]+Tabla[[#This Row],[P2]]+Tabla[[#This Row],[P1]]</f>
        <v>42188</v>
      </c>
      <c r="AD524" s="34" t="n">
        <f aca="false">+W524-AC524</f>
        <v>0</v>
      </c>
      <c r="AE524" s="21" t="str">
        <f aca="false">IF(AB524&lt;1,"PAGADA","PENDIENTE")</f>
        <v>PAGADA</v>
      </c>
      <c r="AF524" s="21"/>
      <c r="AG524" s="29"/>
      <c r="AH524" s="40"/>
      <c r="AI524" s="40" t="n">
        <f aca="false">+IF(Tabla[[#This Row],[FECHA PAGO / ABONO]]&lt;1,0,(MONTH(Tabla[[#This Row],[FECHA PAGO / ABONO]])))</f>
        <v>0</v>
      </c>
      <c r="AJ524" s="40" t="n">
        <f aca="false">+IF(Tabla[[#This Row],[FECHA PAGO / ABONO]]&lt;1,0,(YEAR(Tabla[[#This Row],[FECHA PAGO / ABONO]])))</f>
        <v>0</v>
      </c>
      <c r="AK524" s="41"/>
    </row>
    <row r="525" customFormat="false" ht="14.25" hidden="false" customHeight="false" outlineLevel="0" collapsed="false">
      <c r="A525" s="58" t="s">
        <v>101</v>
      </c>
      <c r="B525" s="21" t="s">
        <v>102</v>
      </c>
      <c r="C525" s="21" t="s">
        <v>69</v>
      </c>
      <c r="D525" s="21" t="n">
        <v>29854476</v>
      </c>
      <c r="E525" s="43" t="str">
        <f aca="false">+CONCATENATE(Tabla[[#This Row],[RUT]],Tabla[[#This Row],[PROVEEDOR]],Tabla[[#This Row],[FACTURA]])</f>
        <v>97006000-6BANCO DE CREDITO E INVERSIONES29854476</v>
      </c>
      <c r="F525" s="30" t="n">
        <v>46121</v>
      </c>
      <c r="G525" s="31" t="n">
        <f aca="false">+F525+30</f>
        <v>46151</v>
      </c>
      <c r="H525" s="29" t="n">
        <f aca="true">+IF(AE525="PAGADA",0,TODAY()-G525)</f>
        <v>0</v>
      </c>
      <c r="I525" s="29" t="str">
        <f aca="false">+IF(H525&gt;180,"Atrasada",IF(H525&gt;150,"150 dias",IF(H525&gt;120,"120 dias",IF(H525&gt;90,"90 dias",IF(H525&gt;60,"60 dias",IF(H525&gt;30,"30 dias","Al Día"))))))</f>
        <v>Al Día</v>
      </c>
      <c r="J525" s="59" t="s">
        <v>31</v>
      </c>
      <c r="K525" s="60" t="s">
        <v>81</v>
      </c>
      <c r="L525" s="61" t="s">
        <v>309</v>
      </c>
      <c r="M525" s="29" t="n">
        <f aca="false">+YEAR(F525)</f>
        <v>2026</v>
      </c>
      <c r="N525" s="62" t="n">
        <v>2026</v>
      </c>
      <c r="O525" s="63" t="n">
        <v>3</v>
      </c>
      <c r="P525" s="29" t="str">
        <f aca="false">+CONCATENATE(Tabla[[#This Row],[MES CAMPAÑA]],"/",Tabla[[#This Row],[AÑO CAMPAÑA]])</f>
        <v>3/2026</v>
      </c>
      <c r="Q525" s="60" t="s">
        <v>73</v>
      </c>
      <c r="R525" s="29"/>
      <c r="S525" s="64" t="n">
        <v>0</v>
      </c>
      <c r="T525" s="64" t="n">
        <v>1770</v>
      </c>
      <c r="U525" s="64" t="n">
        <v>336</v>
      </c>
      <c r="V525" s="29"/>
      <c r="W525" s="24" t="n">
        <v>2106</v>
      </c>
      <c r="X525" s="36" t="n">
        <f aca="false">+Tabla[[#This Row],[TOTAL]]</f>
        <v>2106</v>
      </c>
      <c r="Y525" s="37"/>
      <c r="Z525" s="37"/>
      <c r="AA525" s="37"/>
      <c r="AB525" s="38" t="n">
        <f aca="false">+W525-AC525</f>
        <v>0</v>
      </c>
      <c r="AC525" s="34" t="n">
        <f aca="false">+Tabla[[#This Row],[P4]]+Tabla[[#This Row],[P3]]+Tabla[[#This Row],[P2]]+Tabla[[#This Row],[P1]]</f>
        <v>2106</v>
      </c>
      <c r="AD525" s="34" t="n">
        <f aca="false">+W525-AC525</f>
        <v>0</v>
      </c>
      <c r="AE525" s="21" t="str">
        <f aca="false">IF(AB525&lt;1,"PAGADA","PENDIENTE")</f>
        <v>PAGADA</v>
      </c>
      <c r="AF525" s="21"/>
      <c r="AG525" s="29"/>
      <c r="AH525" s="40"/>
      <c r="AI525" s="40" t="n">
        <f aca="false">+IF(Tabla[[#This Row],[FECHA PAGO / ABONO]]&lt;1,0,(MONTH(Tabla[[#This Row],[FECHA PAGO / ABONO]])))</f>
        <v>0</v>
      </c>
      <c r="AJ525" s="40" t="n">
        <f aca="false">+IF(Tabla[[#This Row],[FECHA PAGO / ABONO]]&lt;1,0,(YEAR(Tabla[[#This Row],[FECHA PAGO / ABONO]])))</f>
        <v>0</v>
      </c>
      <c r="AK525" s="41"/>
    </row>
    <row r="526" customFormat="false" ht="14.25" hidden="false" customHeight="false" outlineLevel="0" collapsed="false">
      <c r="A526" s="58" t="s">
        <v>101</v>
      </c>
      <c r="B526" s="21" t="s">
        <v>102</v>
      </c>
      <c r="C526" s="21" t="s">
        <v>69</v>
      </c>
      <c r="D526" s="21" t="n">
        <v>29854477</v>
      </c>
      <c r="E526" s="43" t="str">
        <f aca="false">+CONCATENATE(Tabla[[#This Row],[RUT]],Tabla[[#This Row],[PROVEEDOR]],Tabla[[#This Row],[FACTURA]])</f>
        <v>97006000-6BANCO DE CREDITO E INVERSIONES29854477</v>
      </c>
      <c r="F526" s="30" t="n">
        <v>46121</v>
      </c>
      <c r="G526" s="31" t="n">
        <f aca="false">+F526+30</f>
        <v>46151</v>
      </c>
      <c r="H526" s="29" t="n">
        <f aca="true">+IF(AE526="PAGADA",0,TODAY()-G526)</f>
        <v>0</v>
      </c>
      <c r="I526" s="29" t="str">
        <f aca="false">+IF(H526&gt;180,"Atrasada",IF(H526&gt;150,"150 dias",IF(H526&gt;120,"120 dias",IF(H526&gt;90,"90 dias",IF(H526&gt;60,"60 dias",IF(H526&gt;30,"30 dias","Al Día"))))))</f>
        <v>Al Día</v>
      </c>
      <c r="J526" s="59" t="s">
        <v>31</v>
      </c>
      <c r="K526" s="60" t="s">
        <v>81</v>
      </c>
      <c r="L526" s="61" t="s">
        <v>309</v>
      </c>
      <c r="M526" s="29" t="n">
        <f aca="false">+YEAR(F526)</f>
        <v>2026</v>
      </c>
      <c r="N526" s="62" t="n">
        <v>2026</v>
      </c>
      <c r="O526" s="63" t="n">
        <v>3</v>
      </c>
      <c r="P526" s="29" t="str">
        <f aca="false">+CONCATENATE(Tabla[[#This Row],[MES CAMPAÑA]],"/",Tabla[[#This Row],[AÑO CAMPAÑA]])</f>
        <v>3/2026</v>
      </c>
      <c r="Q526" s="60" t="s">
        <v>73</v>
      </c>
      <c r="R526" s="29"/>
      <c r="S526" s="64" t="n">
        <v>0</v>
      </c>
      <c r="T526" s="64" t="n">
        <v>892</v>
      </c>
      <c r="U526" s="64" t="n">
        <v>170</v>
      </c>
      <c r="V526" s="29"/>
      <c r="W526" s="24" t="n">
        <v>1062</v>
      </c>
      <c r="X526" s="36" t="n">
        <f aca="false">+Tabla[[#This Row],[TOTAL]]</f>
        <v>1062</v>
      </c>
      <c r="Y526" s="37"/>
      <c r="Z526" s="37"/>
      <c r="AA526" s="37"/>
      <c r="AB526" s="38" t="n">
        <f aca="false">+W526-AC526</f>
        <v>0</v>
      </c>
      <c r="AC526" s="34" t="n">
        <f aca="false">+Tabla[[#This Row],[P4]]+Tabla[[#This Row],[P3]]+Tabla[[#This Row],[P2]]+Tabla[[#This Row],[P1]]</f>
        <v>1062</v>
      </c>
      <c r="AD526" s="34" t="n">
        <f aca="false">+W526-AC526</f>
        <v>0</v>
      </c>
      <c r="AE526" s="21" t="str">
        <f aca="false">IF(AB526&lt;1,"PAGADA","PENDIENTE")</f>
        <v>PAGADA</v>
      </c>
      <c r="AF526" s="21"/>
      <c r="AG526" s="29"/>
      <c r="AH526" s="40"/>
      <c r="AI526" s="40" t="n">
        <f aca="false">+IF(Tabla[[#This Row],[FECHA PAGO / ABONO]]&lt;1,0,(MONTH(Tabla[[#This Row],[FECHA PAGO / ABONO]])))</f>
        <v>0</v>
      </c>
      <c r="AJ526" s="40" t="n">
        <f aca="false">+IF(Tabla[[#This Row],[FECHA PAGO / ABONO]]&lt;1,0,(YEAR(Tabla[[#This Row],[FECHA PAGO / ABONO]])))</f>
        <v>0</v>
      </c>
      <c r="AK526" s="41"/>
    </row>
    <row r="527" customFormat="false" ht="14.25" hidden="false" customHeight="false" outlineLevel="0" collapsed="false">
      <c r="A527" s="58" t="s">
        <v>101</v>
      </c>
      <c r="B527" s="21" t="s">
        <v>102</v>
      </c>
      <c r="C527" s="21" t="s">
        <v>69</v>
      </c>
      <c r="D527" s="21" t="n">
        <v>29854478</v>
      </c>
      <c r="E527" s="43" t="str">
        <f aca="false">+CONCATENATE(Tabla[[#This Row],[RUT]],Tabla[[#This Row],[PROVEEDOR]],Tabla[[#This Row],[FACTURA]])</f>
        <v>97006000-6BANCO DE CREDITO E INVERSIONES29854478</v>
      </c>
      <c r="F527" s="30" t="n">
        <v>46121</v>
      </c>
      <c r="G527" s="31" t="n">
        <f aca="false">+F527+30</f>
        <v>46151</v>
      </c>
      <c r="H527" s="29" t="n">
        <f aca="true">+IF(AE527="PAGADA",0,TODAY()-G527)</f>
        <v>0</v>
      </c>
      <c r="I527" s="29" t="str">
        <f aca="false">+IF(H527&gt;180,"Atrasada",IF(H527&gt;150,"150 dias",IF(H527&gt;120,"120 dias",IF(H527&gt;90,"90 dias",IF(H527&gt;60,"60 dias",IF(H527&gt;30,"30 dias","Al Día"))))))</f>
        <v>Al Día</v>
      </c>
      <c r="J527" s="59" t="s">
        <v>31</v>
      </c>
      <c r="K527" s="60" t="s">
        <v>81</v>
      </c>
      <c r="L527" s="61" t="s">
        <v>309</v>
      </c>
      <c r="M527" s="29" t="n">
        <f aca="false">+YEAR(F527)</f>
        <v>2026</v>
      </c>
      <c r="N527" s="62" t="n">
        <v>2026</v>
      </c>
      <c r="O527" s="63" t="n">
        <v>3</v>
      </c>
      <c r="P527" s="29" t="str">
        <f aca="false">+CONCATENATE(Tabla[[#This Row],[MES CAMPAÑA]],"/",Tabla[[#This Row],[AÑO CAMPAÑA]])</f>
        <v>3/2026</v>
      </c>
      <c r="Q527" s="60" t="s">
        <v>73</v>
      </c>
      <c r="R527" s="29"/>
      <c r="S527" s="64" t="n">
        <v>0</v>
      </c>
      <c r="T527" s="64" t="n">
        <v>3348</v>
      </c>
      <c r="U527" s="64" t="n">
        <v>636</v>
      </c>
      <c r="V527" s="29"/>
      <c r="W527" s="24" t="n">
        <v>3984</v>
      </c>
      <c r="X527" s="36" t="n">
        <f aca="false">+Tabla[[#This Row],[TOTAL]]</f>
        <v>3984</v>
      </c>
      <c r="Y527" s="37"/>
      <c r="Z527" s="37"/>
      <c r="AA527" s="37"/>
      <c r="AB527" s="38" t="n">
        <f aca="false">+W527-AC527</f>
        <v>0</v>
      </c>
      <c r="AC527" s="34" t="n">
        <f aca="false">+Tabla[[#This Row],[P4]]+Tabla[[#This Row],[P3]]+Tabla[[#This Row],[P2]]+Tabla[[#This Row],[P1]]</f>
        <v>3984</v>
      </c>
      <c r="AD527" s="34" t="n">
        <f aca="false">+W527-AC527</f>
        <v>0</v>
      </c>
      <c r="AE527" s="21" t="str">
        <f aca="false">IF(AB527&lt;1,"PAGADA","PENDIENTE")</f>
        <v>PAGADA</v>
      </c>
      <c r="AF527" s="21"/>
      <c r="AG527" s="29"/>
      <c r="AH527" s="40"/>
      <c r="AI527" s="40" t="n">
        <f aca="false">+IF(Tabla[[#This Row],[FECHA PAGO / ABONO]]&lt;1,0,(MONTH(Tabla[[#This Row],[FECHA PAGO / ABONO]])))</f>
        <v>0</v>
      </c>
      <c r="AJ527" s="40" t="n">
        <f aca="false">+IF(Tabla[[#This Row],[FECHA PAGO / ABONO]]&lt;1,0,(YEAR(Tabla[[#This Row],[FECHA PAGO / ABONO]])))</f>
        <v>0</v>
      </c>
      <c r="AK527" s="41"/>
    </row>
    <row r="528" customFormat="false" ht="14.25" hidden="false" customHeight="false" outlineLevel="0" collapsed="false">
      <c r="A528" s="58" t="s">
        <v>101</v>
      </c>
      <c r="B528" s="21" t="s">
        <v>102</v>
      </c>
      <c r="C528" s="21" t="s">
        <v>69</v>
      </c>
      <c r="D528" s="21" t="n">
        <v>29854479</v>
      </c>
      <c r="E528" s="43" t="str">
        <f aca="false">+CONCATENATE(Tabla[[#This Row],[RUT]],Tabla[[#This Row],[PROVEEDOR]],Tabla[[#This Row],[FACTURA]])</f>
        <v>97006000-6BANCO DE CREDITO E INVERSIONES29854479</v>
      </c>
      <c r="F528" s="30" t="n">
        <v>46121</v>
      </c>
      <c r="G528" s="31" t="n">
        <f aca="false">+F528+30</f>
        <v>46151</v>
      </c>
      <c r="H528" s="29" t="n">
        <f aca="true">+IF(AE528="PAGADA",0,TODAY()-G528)</f>
        <v>0</v>
      </c>
      <c r="I528" s="29" t="str">
        <f aca="false">+IF(H528&gt;180,"Atrasada",IF(H528&gt;150,"150 dias",IF(H528&gt;120,"120 dias",IF(H528&gt;90,"90 dias",IF(H528&gt;60,"60 dias",IF(H528&gt;30,"30 dias","Al Día"))))))</f>
        <v>Al Día</v>
      </c>
      <c r="J528" s="59" t="s">
        <v>31</v>
      </c>
      <c r="K528" s="60" t="s">
        <v>81</v>
      </c>
      <c r="L528" s="61" t="s">
        <v>309</v>
      </c>
      <c r="M528" s="29" t="n">
        <f aca="false">+YEAR(F528)</f>
        <v>2026</v>
      </c>
      <c r="N528" s="62" t="n">
        <v>2026</v>
      </c>
      <c r="O528" s="63" t="n">
        <v>3</v>
      </c>
      <c r="P528" s="29" t="str">
        <f aca="false">+CONCATENATE(Tabla[[#This Row],[MES CAMPAÑA]],"/",Tabla[[#This Row],[AÑO CAMPAÑA]])</f>
        <v>3/2026</v>
      </c>
      <c r="Q528" s="60" t="s">
        <v>73</v>
      </c>
      <c r="R528" s="29"/>
      <c r="S528" s="64" t="n">
        <v>0</v>
      </c>
      <c r="T528" s="64" t="n">
        <v>20856</v>
      </c>
      <c r="U528" s="64" t="n">
        <v>3963</v>
      </c>
      <c r="V528" s="29"/>
      <c r="W528" s="24" t="n">
        <v>24819</v>
      </c>
      <c r="X528" s="36" t="n">
        <f aca="false">+Tabla[[#This Row],[TOTAL]]</f>
        <v>24819</v>
      </c>
      <c r="Y528" s="37"/>
      <c r="Z528" s="37"/>
      <c r="AA528" s="37"/>
      <c r="AB528" s="38" t="n">
        <f aca="false">+W528-AC528</f>
        <v>0</v>
      </c>
      <c r="AC528" s="34" t="n">
        <f aca="false">+Tabla[[#This Row],[P4]]+Tabla[[#This Row],[P3]]+Tabla[[#This Row],[P2]]+Tabla[[#This Row],[P1]]</f>
        <v>24819</v>
      </c>
      <c r="AD528" s="34" t="n">
        <f aca="false">+W528-AC528</f>
        <v>0</v>
      </c>
      <c r="AE528" s="21" t="str">
        <f aca="false">IF(AB528&lt;1,"PAGADA","PENDIENTE")</f>
        <v>PAGADA</v>
      </c>
      <c r="AF528" s="21"/>
      <c r="AG528" s="29"/>
      <c r="AH528" s="40"/>
      <c r="AI528" s="40" t="n">
        <f aca="false">+IF(Tabla[[#This Row],[FECHA PAGO / ABONO]]&lt;1,0,(MONTH(Tabla[[#This Row],[FECHA PAGO / ABONO]])))</f>
        <v>0</v>
      </c>
      <c r="AJ528" s="40" t="n">
        <f aca="false">+IF(Tabla[[#This Row],[FECHA PAGO / ABONO]]&lt;1,0,(YEAR(Tabla[[#This Row],[FECHA PAGO / ABONO]])))</f>
        <v>0</v>
      </c>
      <c r="AK528" s="41"/>
    </row>
    <row r="529" customFormat="false" ht="14.25" hidden="false" customHeight="false" outlineLevel="0" collapsed="false">
      <c r="A529" s="58" t="s">
        <v>101</v>
      </c>
      <c r="B529" s="21" t="s">
        <v>102</v>
      </c>
      <c r="C529" s="21" t="s">
        <v>69</v>
      </c>
      <c r="D529" s="21" t="n">
        <v>29854480</v>
      </c>
      <c r="E529" s="43" t="str">
        <f aca="false">+CONCATENATE(Tabla[[#This Row],[RUT]],Tabla[[#This Row],[PROVEEDOR]],Tabla[[#This Row],[FACTURA]])</f>
        <v>97006000-6BANCO DE CREDITO E INVERSIONES29854480</v>
      </c>
      <c r="F529" s="30" t="n">
        <v>46121</v>
      </c>
      <c r="G529" s="31" t="n">
        <f aca="false">+F529+30</f>
        <v>46151</v>
      </c>
      <c r="H529" s="29" t="n">
        <f aca="true">+IF(AE529="PAGADA",0,TODAY()-G529)</f>
        <v>0</v>
      </c>
      <c r="I529" s="29" t="str">
        <f aca="false">+IF(H529&gt;180,"Atrasada",IF(H529&gt;150,"150 dias",IF(H529&gt;120,"120 dias",IF(H529&gt;90,"90 dias",IF(H529&gt;60,"60 dias",IF(H529&gt;30,"30 dias","Al Día"))))))</f>
        <v>Al Día</v>
      </c>
      <c r="J529" s="59" t="s">
        <v>31</v>
      </c>
      <c r="K529" s="60" t="s">
        <v>81</v>
      </c>
      <c r="L529" s="61" t="s">
        <v>309</v>
      </c>
      <c r="M529" s="29" t="n">
        <f aca="false">+YEAR(F529)</f>
        <v>2026</v>
      </c>
      <c r="N529" s="62" t="n">
        <v>2026</v>
      </c>
      <c r="O529" s="63" t="n">
        <v>3</v>
      </c>
      <c r="P529" s="29" t="str">
        <f aca="false">+CONCATENATE(Tabla[[#This Row],[MES CAMPAÑA]],"/",Tabla[[#This Row],[AÑO CAMPAÑA]])</f>
        <v>3/2026</v>
      </c>
      <c r="Q529" s="60" t="s">
        <v>73</v>
      </c>
      <c r="R529" s="29"/>
      <c r="S529" s="64" t="n">
        <v>0</v>
      </c>
      <c r="T529" s="64" t="n">
        <v>119731</v>
      </c>
      <c r="U529" s="64" t="n">
        <v>22749</v>
      </c>
      <c r="V529" s="29"/>
      <c r="W529" s="24" t="n">
        <v>142480</v>
      </c>
      <c r="X529" s="36" t="n">
        <f aca="false">+Tabla[[#This Row],[TOTAL]]</f>
        <v>142480</v>
      </c>
      <c r="Y529" s="37"/>
      <c r="Z529" s="37"/>
      <c r="AA529" s="37"/>
      <c r="AB529" s="38" t="n">
        <f aca="false">+W529-AC529</f>
        <v>0</v>
      </c>
      <c r="AC529" s="34" t="n">
        <f aca="false">+Tabla[[#This Row],[P4]]+Tabla[[#This Row],[P3]]+Tabla[[#This Row],[P2]]+Tabla[[#This Row],[P1]]</f>
        <v>142480</v>
      </c>
      <c r="AD529" s="34" t="n">
        <f aca="false">+W529-AC529</f>
        <v>0</v>
      </c>
      <c r="AE529" s="21" t="str">
        <f aca="false">IF(AB529&lt;1,"PAGADA","PENDIENTE")</f>
        <v>PAGADA</v>
      </c>
      <c r="AF529" s="21"/>
      <c r="AG529" s="29"/>
      <c r="AH529" s="40"/>
      <c r="AI529" s="40" t="n">
        <f aca="false">+IF(Tabla[[#This Row],[FECHA PAGO / ABONO]]&lt;1,0,(MONTH(Tabla[[#This Row],[FECHA PAGO / ABONO]])))</f>
        <v>0</v>
      </c>
      <c r="AJ529" s="40" t="n">
        <f aca="false">+IF(Tabla[[#This Row],[FECHA PAGO / ABONO]]&lt;1,0,(YEAR(Tabla[[#This Row],[FECHA PAGO / ABONO]])))</f>
        <v>0</v>
      </c>
      <c r="AK529" s="41"/>
    </row>
    <row r="530" customFormat="false" ht="14.25" hidden="false" customHeight="false" outlineLevel="0" collapsed="false">
      <c r="A530" s="58" t="s">
        <v>101</v>
      </c>
      <c r="B530" s="21" t="s">
        <v>102</v>
      </c>
      <c r="C530" s="21" t="s">
        <v>69</v>
      </c>
      <c r="D530" s="21" t="n">
        <v>29854481</v>
      </c>
      <c r="E530" s="43" t="str">
        <f aca="false">+CONCATENATE(Tabla[[#This Row],[RUT]],Tabla[[#This Row],[PROVEEDOR]],Tabla[[#This Row],[FACTURA]])</f>
        <v>97006000-6BANCO DE CREDITO E INVERSIONES29854481</v>
      </c>
      <c r="F530" s="30" t="n">
        <v>46121</v>
      </c>
      <c r="G530" s="31" t="n">
        <f aca="false">+F530+30</f>
        <v>46151</v>
      </c>
      <c r="H530" s="29" t="n">
        <f aca="true">+IF(AE530="PAGADA",0,TODAY()-G530)</f>
        <v>0</v>
      </c>
      <c r="I530" s="29" t="str">
        <f aca="false">+IF(H530&gt;180,"Atrasada",IF(H530&gt;150,"150 dias",IF(H530&gt;120,"120 dias",IF(H530&gt;90,"90 dias",IF(H530&gt;60,"60 dias",IF(H530&gt;30,"30 dias","Al Día"))))))</f>
        <v>Al Día</v>
      </c>
      <c r="J530" s="59" t="s">
        <v>31</v>
      </c>
      <c r="K530" s="60" t="s">
        <v>81</v>
      </c>
      <c r="L530" s="61" t="s">
        <v>309</v>
      </c>
      <c r="M530" s="29" t="n">
        <f aca="false">+YEAR(F530)</f>
        <v>2026</v>
      </c>
      <c r="N530" s="62" t="n">
        <v>2026</v>
      </c>
      <c r="O530" s="63" t="n">
        <v>3</v>
      </c>
      <c r="P530" s="29" t="str">
        <f aca="false">+CONCATENATE(Tabla[[#This Row],[MES CAMPAÑA]],"/",Tabla[[#This Row],[AÑO CAMPAÑA]])</f>
        <v>3/2026</v>
      </c>
      <c r="Q530" s="60" t="s">
        <v>73</v>
      </c>
      <c r="R530" s="29"/>
      <c r="S530" s="64" t="n">
        <v>0</v>
      </c>
      <c r="T530" s="64" t="n">
        <v>1686</v>
      </c>
      <c r="U530" s="64" t="n">
        <v>320</v>
      </c>
      <c r="V530" s="29"/>
      <c r="W530" s="24" t="n">
        <v>2006</v>
      </c>
      <c r="X530" s="36" t="n">
        <f aca="false">+Tabla[[#This Row],[TOTAL]]</f>
        <v>2006</v>
      </c>
      <c r="Y530" s="37"/>
      <c r="Z530" s="37"/>
      <c r="AA530" s="37"/>
      <c r="AB530" s="38" t="n">
        <f aca="false">+W530-AC530</f>
        <v>0</v>
      </c>
      <c r="AC530" s="34" t="n">
        <f aca="false">+Tabla[[#This Row],[P4]]+Tabla[[#This Row],[P3]]+Tabla[[#This Row],[P2]]+Tabla[[#This Row],[P1]]</f>
        <v>2006</v>
      </c>
      <c r="AD530" s="34" t="n">
        <f aca="false">+W530-AC530</f>
        <v>0</v>
      </c>
      <c r="AE530" s="21" t="str">
        <f aca="false">IF(AB530&lt;1,"PAGADA","PENDIENTE")</f>
        <v>PAGADA</v>
      </c>
      <c r="AF530" s="21"/>
      <c r="AG530" s="29"/>
      <c r="AH530" s="40"/>
      <c r="AI530" s="40" t="n">
        <f aca="false">+IF(Tabla[[#This Row],[FECHA PAGO / ABONO]]&lt;1,0,(MONTH(Tabla[[#This Row],[FECHA PAGO / ABONO]])))</f>
        <v>0</v>
      </c>
      <c r="AJ530" s="40" t="n">
        <f aca="false">+IF(Tabla[[#This Row],[FECHA PAGO / ABONO]]&lt;1,0,(YEAR(Tabla[[#This Row],[FECHA PAGO / ABONO]])))</f>
        <v>0</v>
      </c>
      <c r="AK530" s="41"/>
    </row>
    <row r="531" customFormat="false" ht="14.25" hidden="false" customHeight="false" outlineLevel="0" collapsed="false">
      <c r="A531" s="58" t="s">
        <v>101</v>
      </c>
      <c r="B531" s="21" t="s">
        <v>102</v>
      </c>
      <c r="C531" s="21" t="s">
        <v>69</v>
      </c>
      <c r="D531" s="21" t="n">
        <v>29854482</v>
      </c>
      <c r="E531" s="43" t="str">
        <f aca="false">+CONCATENATE(Tabla[[#This Row],[RUT]],Tabla[[#This Row],[PROVEEDOR]],Tabla[[#This Row],[FACTURA]])</f>
        <v>97006000-6BANCO DE CREDITO E INVERSIONES29854482</v>
      </c>
      <c r="F531" s="30" t="n">
        <v>46121</v>
      </c>
      <c r="G531" s="31" t="n">
        <f aca="false">+F531+30</f>
        <v>46151</v>
      </c>
      <c r="H531" s="29" t="n">
        <f aca="true">+IF(AE531="PAGADA",0,TODAY()-G531)</f>
        <v>0</v>
      </c>
      <c r="I531" s="29" t="str">
        <f aca="false">+IF(H531&gt;180,"Atrasada",IF(H531&gt;150,"150 dias",IF(H531&gt;120,"120 dias",IF(H531&gt;90,"90 dias",IF(H531&gt;60,"60 dias",IF(H531&gt;30,"30 dias","Al Día"))))))</f>
        <v>Al Día</v>
      </c>
      <c r="J531" s="59" t="s">
        <v>31</v>
      </c>
      <c r="K531" s="60" t="s">
        <v>81</v>
      </c>
      <c r="L531" s="61" t="s">
        <v>309</v>
      </c>
      <c r="M531" s="29" t="n">
        <f aca="false">+YEAR(F531)</f>
        <v>2026</v>
      </c>
      <c r="N531" s="62" t="n">
        <v>2026</v>
      </c>
      <c r="O531" s="63" t="n">
        <v>3</v>
      </c>
      <c r="P531" s="29" t="str">
        <f aca="false">+CONCATENATE(Tabla[[#This Row],[MES CAMPAÑA]],"/",Tabla[[#This Row],[AÑO CAMPAÑA]])</f>
        <v>3/2026</v>
      </c>
      <c r="Q531" s="60" t="s">
        <v>73</v>
      </c>
      <c r="R531" s="29"/>
      <c r="S531" s="64" t="n">
        <v>0</v>
      </c>
      <c r="T531" s="64" t="n">
        <v>1662</v>
      </c>
      <c r="U531" s="64" t="n">
        <v>316</v>
      </c>
      <c r="V531" s="29"/>
      <c r="W531" s="24" t="n">
        <v>1978</v>
      </c>
      <c r="X531" s="36" t="n">
        <f aca="false">+Tabla[[#This Row],[TOTAL]]</f>
        <v>1978</v>
      </c>
      <c r="Y531" s="37"/>
      <c r="Z531" s="37"/>
      <c r="AA531" s="37"/>
      <c r="AB531" s="38" t="n">
        <f aca="false">+W531-AC531</f>
        <v>0</v>
      </c>
      <c r="AC531" s="34" t="n">
        <f aca="false">+Tabla[[#This Row],[P4]]+Tabla[[#This Row],[P3]]+Tabla[[#This Row],[P2]]+Tabla[[#This Row],[P1]]</f>
        <v>1978</v>
      </c>
      <c r="AD531" s="34" t="n">
        <f aca="false">+W531-AC531</f>
        <v>0</v>
      </c>
      <c r="AE531" s="21" t="str">
        <f aca="false">IF(AB531&lt;1,"PAGADA","PENDIENTE")</f>
        <v>PAGADA</v>
      </c>
      <c r="AF531" s="21"/>
      <c r="AG531" s="29"/>
      <c r="AH531" s="40"/>
      <c r="AI531" s="40" t="n">
        <f aca="false">+IF(Tabla[[#This Row],[FECHA PAGO / ABONO]]&lt;1,0,(MONTH(Tabla[[#This Row],[FECHA PAGO / ABONO]])))</f>
        <v>0</v>
      </c>
      <c r="AJ531" s="40" t="n">
        <f aca="false">+IF(Tabla[[#This Row],[FECHA PAGO / ABONO]]&lt;1,0,(YEAR(Tabla[[#This Row],[FECHA PAGO / ABONO]])))</f>
        <v>0</v>
      </c>
      <c r="AK531" s="41"/>
    </row>
    <row r="532" customFormat="false" ht="14.25" hidden="false" customHeight="false" outlineLevel="0" collapsed="false">
      <c r="A532" s="58" t="s">
        <v>101</v>
      </c>
      <c r="B532" s="21" t="s">
        <v>102</v>
      </c>
      <c r="C532" s="21" t="s">
        <v>69</v>
      </c>
      <c r="D532" s="21" t="n">
        <v>29854483</v>
      </c>
      <c r="E532" s="43" t="str">
        <f aca="false">+CONCATENATE(Tabla[[#This Row],[RUT]],Tabla[[#This Row],[PROVEEDOR]],Tabla[[#This Row],[FACTURA]])</f>
        <v>97006000-6BANCO DE CREDITO E INVERSIONES29854483</v>
      </c>
      <c r="F532" s="30" t="n">
        <v>46121</v>
      </c>
      <c r="G532" s="31" t="n">
        <f aca="false">+F532+30</f>
        <v>46151</v>
      </c>
      <c r="H532" s="29" t="n">
        <f aca="true">+IF(AE532="PAGADA",0,TODAY()-G532)</f>
        <v>0</v>
      </c>
      <c r="I532" s="29" t="str">
        <f aca="false">+IF(H532&gt;180,"Atrasada",IF(H532&gt;150,"150 dias",IF(H532&gt;120,"120 dias",IF(H532&gt;90,"90 dias",IF(H532&gt;60,"60 dias",IF(H532&gt;30,"30 dias","Al Día"))))))</f>
        <v>Al Día</v>
      </c>
      <c r="J532" s="59" t="s">
        <v>31</v>
      </c>
      <c r="K532" s="60" t="s">
        <v>81</v>
      </c>
      <c r="L532" s="61" t="s">
        <v>309</v>
      </c>
      <c r="M532" s="29" t="n">
        <f aca="false">+YEAR(F532)</f>
        <v>2026</v>
      </c>
      <c r="N532" s="62" t="n">
        <v>2026</v>
      </c>
      <c r="O532" s="63" t="n">
        <v>3</v>
      </c>
      <c r="P532" s="29" t="str">
        <f aca="false">+CONCATENATE(Tabla[[#This Row],[MES CAMPAÑA]],"/",Tabla[[#This Row],[AÑO CAMPAÑA]])</f>
        <v>3/2026</v>
      </c>
      <c r="Q532" s="60" t="s">
        <v>73</v>
      </c>
      <c r="R532" s="29"/>
      <c r="S532" s="64" t="n">
        <v>0</v>
      </c>
      <c r="T532" s="64" t="n">
        <v>193194</v>
      </c>
      <c r="U532" s="64" t="n">
        <v>36706</v>
      </c>
      <c r="V532" s="29"/>
      <c r="W532" s="24" t="n">
        <v>229900</v>
      </c>
      <c r="X532" s="36" t="n">
        <f aca="false">+Tabla[[#This Row],[TOTAL]]</f>
        <v>229900</v>
      </c>
      <c r="Y532" s="37"/>
      <c r="Z532" s="37"/>
      <c r="AA532" s="37"/>
      <c r="AB532" s="38" t="n">
        <f aca="false">+W532-AC532</f>
        <v>0</v>
      </c>
      <c r="AC532" s="34" t="n">
        <f aca="false">+Tabla[[#This Row],[P4]]+Tabla[[#This Row],[P3]]+Tabla[[#This Row],[P2]]+Tabla[[#This Row],[P1]]</f>
        <v>229900</v>
      </c>
      <c r="AD532" s="34" t="n">
        <f aca="false">+W532-AC532</f>
        <v>0</v>
      </c>
      <c r="AE532" s="21" t="str">
        <f aca="false">IF(AB532&lt;1,"PAGADA","PENDIENTE")</f>
        <v>PAGADA</v>
      </c>
      <c r="AF532" s="21"/>
      <c r="AG532" s="29"/>
      <c r="AH532" s="40"/>
      <c r="AI532" s="40" t="n">
        <f aca="false">+IF(Tabla[[#This Row],[FECHA PAGO / ABONO]]&lt;1,0,(MONTH(Tabla[[#This Row],[FECHA PAGO / ABONO]])))</f>
        <v>0</v>
      </c>
      <c r="AJ532" s="40" t="n">
        <f aca="false">+IF(Tabla[[#This Row],[FECHA PAGO / ABONO]]&lt;1,0,(YEAR(Tabla[[#This Row],[FECHA PAGO / ABONO]])))</f>
        <v>0</v>
      </c>
      <c r="AK532" s="41"/>
    </row>
    <row r="533" customFormat="false" ht="14.25" hidden="false" customHeight="false" outlineLevel="0" collapsed="false">
      <c r="A533" s="58" t="s">
        <v>101</v>
      </c>
      <c r="B533" s="21" t="s">
        <v>102</v>
      </c>
      <c r="C533" s="21" t="s">
        <v>69</v>
      </c>
      <c r="D533" s="21" t="n">
        <v>29854484</v>
      </c>
      <c r="E533" s="43" t="str">
        <f aca="false">+CONCATENATE(Tabla[[#This Row],[RUT]],Tabla[[#This Row],[PROVEEDOR]],Tabla[[#This Row],[FACTURA]])</f>
        <v>97006000-6BANCO DE CREDITO E INVERSIONES29854484</v>
      </c>
      <c r="F533" s="30" t="n">
        <v>46121</v>
      </c>
      <c r="G533" s="31" t="n">
        <f aca="false">+F533+30</f>
        <v>46151</v>
      </c>
      <c r="H533" s="29" t="n">
        <f aca="true">+IF(AE533="PAGADA",0,TODAY()-G533)</f>
        <v>0</v>
      </c>
      <c r="I533" s="29" t="str">
        <f aca="false">+IF(H533&gt;180,"Atrasada",IF(H533&gt;150,"150 dias",IF(H533&gt;120,"120 dias",IF(H533&gt;90,"90 dias",IF(H533&gt;60,"60 dias",IF(H533&gt;30,"30 dias","Al Día"))))))</f>
        <v>Al Día</v>
      </c>
      <c r="J533" s="59" t="s">
        <v>31</v>
      </c>
      <c r="K533" s="60" t="s">
        <v>81</v>
      </c>
      <c r="L533" s="61" t="s">
        <v>309</v>
      </c>
      <c r="M533" s="29" t="n">
        <f aca="false">+YEAR(F533)</f>
        <v>2026</v>
      </c>
      <c r="N533" s="62" t="n">
        <v>2026</v>
      </c>
      <c r="O533" s="63" t="n">
        <v>3</v>
      </c>
      <c r="P533" s="29" t="str">
        <f aca="false">+CONCATENATE(Tabla[[#This Row],[MES CAMPAÑA]],"/",Tabla[[#This Row],[AÑO CAMPAÑA]])</f>
        <v>3/2026</v>
      </c>
      <c r="Q533" s="60" t="s">
        <v>73</v>
      </c>
      <c r="R533" s="29"/>
      <c r="S533" s="64" t="n">
        <v>0</v>
      </c>
      <c r="T533" s="64" t="n">
        <v>1681</v>
      </c>
      <c r="U533" s="64" t="n">
        <v>319</v>
      </c>
      <c r="V533" s="29"/>
      <c r="W533" s="24" t="n">
        <v>2000</v>
      </c>
      <c r="X533" s="36" t="n">
        <f aca="false">+Tabla[[#This Row],[TOTAL]]</f>
        <v>2000</v>
      </c>
      <c r="Y533" s="37"/>
      <c r="Z533" s="37"/>
      <c r="AA533" s="37"/>
      <c r="AB533" s="38" t="n">
        <f aca="false">+W533-AC533</f>
        <v>0</v>
      </c>
      <c r="AC533" s="34" t="n">
        <f aca="false">+Tabla[[#This Row],[P4]]+Tabla[[#This Row],[P3]]+Tabla[[#This Row],[P2]]+Tabla[[#This Row],[P1]]</f>
        <v>2000</v>
      </c>
      <c r="AD533" s="34" t="n">
        <f aca="false">+W533-AC533</f>
        <v>0</v>
      </c>
      <c r="AE533" s="21" t="str">
        <f aca="false">IF(AB533&lt;1,"PAGADA","PENDIENTE")</f>
        <v>PAGADA</v>
      </c>
      <c r="AF533" s="21"/>
      <c r="AG533" s="29"/>
      <c r="AH533" s="40"/>
      <c r="AI533" s="40" t="n">
        <f aca="false">+IF(Tabla[[#This Row],[FECHA PAGO / ABONO]]&lt;1,0,(MONTH(Tabla[[#This Row],[FECHA PAGO / ABONO]])))</f>
        <v>0</v>
      </c>
      <c r="AJ533" s="40" t="n">
        <f aca="false">+IF(Tabla[[#This Row],[FECHA PAGO / ABONO]]&lt;1,0,(YEAR(Tabla[[#This Row],[FECHA PAGO / ABONO]])))</f>
        <v>0</v>
      </c>
      <c r="AK533" s="41"/>
    </row>
    <row r="534" customFormat="false" ht="14.25" hidden="false" customHeight="false" outlineLevel="0" collapsed="false">
      <c r="A534" s="58" t="s">
        <v>101</v>
      </c>
      <c r="B534" s="21" t="s">
        <v>102</v>
      </c>
      <c r="C534" s="21" t="s">
        <v>69</v>
      </c>
      <c r="D534" s="21" t="n">
        <v>29854485</v>
      </c>
      <c r="E534" s="43" t="str">
        <f aca="false">+CONCATENATE(Tabla[[#This Row],[RUT]],Tabla[[#This Row],[PROVEEDOR]],Tabla[[#This Row],[FACTURA]])</f>
        <v>97006000-6BANCO DE CREDITO E INVERSIONES29854485</v>
      </c>
      <c r="F534" s="30" t="n">
        <v>46121</v>
      </c>
      <c r="G534" s="31" t="n">
        <f aca="false">+F534+30</f>
        <v>46151</v>
      </c>
      <c r="H534" s="29" t="n">
        <f aca="true">+IF(AE534="PAGADA",0,TODAY()-G534)</f>
        <v>0</v>
      </c>
      <c r="I534" s="29" t="str">
        <f aca="false">+IF(H534&gt;180,"Atrasada",IF(H534&gt;150,"150 dias",IF(H534&gt;120,"120 dias",IF(H534&gt;90,"90 dias",IF(H534&gt;60,"60 dias",IF(H534&gt;30,"30 dias","Al Día"))))))</f>
        <v>Al Día</v>
      </c>
      <c r="J534" s="59" t="s">
        <v>31</v>
      </c>
      <c r="K534" s="60" t="s">
        <v>81</v>
      </c>
      <c r="L534" s="61" t="s">
        <v>309</v>
      </c>
      <c r="M534" s="29" t="n">
        <f aca="false">+YEAR(F534)</f>
        <v>2026</v>
      </c>
      <c r="N534" s="62" t="n">
        <v>2026</v>
      </c>
      <c r="O534" s="63" t="n">
        <v>3</v>
      </c>
      <c r="P534" s="29" t="str">
        <f aca="false">+CONCATENATE(Tabla[[#This Row],[MES CAMPAÑA]],"/",Tabla[[#This Row],[AÑO CAMPAÑA]])</f>
        <v>3/2026</v>
      </c>
      <c r="Q534" s="60" t="s">
        <v>73</v>
      </c>
      <c r="R534" s="29"/>
      <c r="S534" s="64" t="n">
        <v>0</v>
      </c>
      <c r="T534" s="64" t="n">
        <v>2134</v>
      </c>
      <c r="U534" s="64" t="n">
        <v>406</v>
      </c>
      <c r="V534" s="29"/>
      <c r="W534" s="24" t="n">
        <v>2540</v>
      </c>
      <c r="X534" s="36" t="n">
        <f aca="false">+Tabla[[#This Row],[TOTAL]]</f>
        <v>2540</v>
      </c>
      <c r="Y534" s="37"/>
      <c r="Z534" s="37"/>
      <c r="AA534" s="37"/>
      <c r="AB534" s="38" t="n">
        <f aca="false">+W534-AC534</f>
        <v>0</v>
      </c>
      <c r="AC534" s="34" t="n">
        <f aca="false">+Tabla[[#This Row],[P4]]+Tabla[[#This Row],[P3]]+Tabla[[#This Row],[P2]]+Tabla[[#This Row],[P1]]</f>
        <v>2540</v>
      </c>
      <c r="AD534" s="34" t="n">
        <f aca="false">+W534-AC534</f>
        <v>0</v>
      </c>
      <c r="AE534" s="21" t="str">
        <f aca="false">IF(AB534&lt;1,"PAGADA","PENDIENTE")</f>
        <v>PAGADA</v>
      </c>
      <c r="AF534" s="21"/>
      <c r="AG534" s="29"/>
      <c r="AH534" s="40"/>
      <c r="AI534" s="40" t="n">
        <f aca="false">+IF(Tabla[[#This Row],[FECHA PAGO / ABONO]]&lt;1,0,(MONTH(Tabla[[#This Row],[FECHA PAGO / ABONO]])))</f>
        <v>0</v>
      </c>
      <c r="AJ534" s="40" t="n">
        <f aca="false">+IF(Tabla[[#This Row],[FECHA PAGO / ABONO]]&lt;1,0,(YEAR(Tabla[[#This Row],[FECHA PAGO / ABONO]])))</f>
        <v>0</v>
      </c>
      <c r="AK534" s="41"/>
    </row>
    <row r="535" customFormat="false" ht="14.25" hidden="false" customHeight="false" outlineLevel="0" collapsed="false">
      <c r="A535" s="58" t="s">
        <v>101</v>
      </c>
      <c r="B535" s="21" t="s">
        <v>102</v>
      </c>
      <c r="C535" s="21" t="s">
        <v>69</v>
      </c>
      <c r="D535" s="21" t="n">
        <v>29854486</v>
      </c>
      <c r="E535" s="43" t="str">
        <f aca="false">+CONCATENATE(Tabla[[#This Row],[RUT]],Tabla[[#This Row],[PROVEEDOR]],Tabla[[#This Row],[FACTURA]])</f>
        <v>97006000-6BANCO DE CREDITO E INVERSIONES29854486</v>
      </c>
      <c r="F535" s="30" t="n">
        <v>46121</v>
      </c>
      <c r="G535" s="31" t="n">
        <f aca="false">+F535+30</f>
        <v>46151</v>
      </c>
      <c r="H535" s="29" t="n">
        <f aca="true">+IF(AE535="PAGADA",0,TODAY()-G535)</f>
        <v>0</v>
      </c>
      <c r="I535" s="29" t="str">
        <f aca="false">+IF(H535&gt;180,"Atrasada",IF(H535&gt;150,"150 dias",IF(H535&gt;120,"120 dias",IF(H535&gt;90,"90 dias",IF(H535&gt;60,"60 dias",IF(H535&gt;30,"30 dias","Al Día"))))))</f>
        <v>Al Día</v>
      </c>
      <c r="J535" s="59" t="s">
        <v>31</v>
      </c>
      <c r="K535" s="60" t="s">
        <v>81</v>
      </c>
      <c r="L535" s="61" t="s">
        <v>309</v>
      </c>
      <c r="M535" s="29" t="n">
        <f aca="false">+YEAR(F535)</f>
        <v>2026</v>
      </c>
      <c r="N535" s="62" t="n">
        <v>2026</v>
      </c>
      <c r="O535" s="63" t="n">
        <v>3</v>
      </c>
      <c r="P535" s="29" t="str">
        <f aca="false">+CONCATENATE(Tabla[[#This Row],[MES CAMPAÑA]],"/",Tabla[[#This Row],[AÑO CAMPAÑA]])</f>
        <v>3/2026</v>
      </c>
      <c r="Q535" s="60" t="s">
        <v>73</v>
      </c>
      <c r="R535" s="29"/>
      <c r="S535" s="64" t="n">
        <v>0</v>
      </c>
      <c r="T535" s="64" t="n">
        <v>1667</v>
      </c>
      <c r="U535" s="64" t="n">
        <v>317</v>
      </c>
      <c r="V535" s="29"/>
      <c r="W535" s="24" t="n">
        <v>1984</v>
      </c>
      <c r="X535" s="36" t="n">
        <f aca="false">+Tabla[[#This Row],[TOTAL]]</f>
        <v>1984</v>
      </c>
      <c r="Y535" s="37"/>
      <c r="Z535" s="37"/>
      <c r="AA535" s="37"/>
      <c r="AB535" s="38" t="n">
        <f aca="false">+W535-AC535</f>
        <v>0</v>
      </c>
      <c r="AC535" s="34" t="n">
        <f aca="false">+Tabla[[#This Row],[P4]]+Tabla[[#This Row],[P3]]+Tabla[[#This Row],[P2]]+Tabla[[#This Row],[P1]]</f>
        <v>1984</v>
      </c>
      <c r="AD535" s="34" t="n">
        <f aca="false">+W535-AC535</f>
        <v>0</v>
      </c>
      <c r="AE535" s="21" t="str">
        <f aca="false">IF(AB535&lt;1,"PAGADA","PENDIENTE")</f>
        <v>PAGADA</v>
      </c>
      <c r="AF535" s="21"/>
      <c r="AG535" s="29"/>
      <c r="AH535" s="40"/>
      <c r="AI535" s="40" t="n">
        <f aca="false">+IF(Tabla[[#This Row],[FECHA PAGO / ABONO]]&lt;1,0,(MONTH(Tabla[[#This Row],[FECHA PAGO / ABONO]])))</f>
        <v>0</v>
      </c>
      <c r="AJ535" s="40" t="n">
        <f aca="false">+IF(Tabla[[#This Row],[FECHA PAGO / ABONO]]&lt;1,0,(YEAR(Tabla[[#This Row],[FECHA PAGO / ABONO]])))</f>
        <v>0</v>
      </c>
      <c r="AK535" s="41"/>
    </row>
    <row r="536" customFormat="false" ht="14.25" hidden="false" customHeight="false" outlineLevel="0" collapsed="false">
      <c r="A536" s="58" t="s">
        <v>101</v>
      </c>
      <c r="B536" s="21" t="s">
        <v>102</v>
      </c>
      <c r="C536" s="21" t="s">
        <v>69</v>
      </c>
      <c r="D536" s="21" t="n">
        <v>29854487</v>
      </c>
      <c r="E536" s="43" t="str">
        <f aca="false">+CONCATENATE(Tabla[[#This Row],[RUT]],Tabla[[#This Row],[PROVEEDOR]],Tabla[[#This Row],[FACTURA]])</f>
        <v>97006000-6BANCO DE CREDITO E INVERSIONES29854487</v>
      </c>
      <c r="F536" s="30" t="n">
        <v>46121</v>
      </c>
      <c r="G536" s="31" t="n">
        <f aca="false">+F536+30</f>
        <v>46151</v>
      </c>
      <c r="H536" s="29" t="n">
        <f aca="true">+IF(AE536="PAGADA",0,TODAY()-G536)</f>
        <v>0</v>
      </c>
      <c r="I536" s="29" t="str">
        <f aca="false">+IF(H536&gt;180,"Atrasada",IF(H536&gt;150,"150 dias",IF(H536&gt;120,"120 dias",IF(H536&gt;90,"90 dias",IF(H536&gt;60,"60 dias",IF(H536&gt;30,"30 dias","Al Día"))))))</f>
        <v>Al Día</v>
      </c>
      <c r="J536" s="59" t="s">
        <v>31</v>
      </c>
      <c r="K536" s="60" t="s">
        <v>81</v>
      </c>
      <c r="L536" s="61" t="s">
        <v>309</v>
      </c>
      <c r="M536" s="29" t="n">
        <f aca="false">+YEAR(F536)</f>
        <v>2026</v>
      </c>
      <c r="N536" s="62" t="n">
        <v>2026</v>
      </c>
      <c r="O536" s="63" t="n">
        <v>3</v>
      </c>
      <c r="P536" s="29" t="str">
        <f aca="false">+CONCATENATE(Tabla[[#This Row],[MES CAMPAÑA]],"/",Tabla[[#This Row],[AÑO CAMPAÑA]])</f>
        <v>3/2026</v>
      </c>
      <c r="Q536" s="60" t="s">
        <v>73</v>
      </c>
      <c r="R536" s="29"/>
      <c r="S536" s="64" t="n">
        <v>0</v>
      </c>
      <c r="T536" s="64" t="n">
        <v>1622</v>
      </c>
      <c r="U536" s="64" t="n">
        <v>308</v>
      </c>
      <c r="V536" s="29"/>
      <c r="W536" s="24" t="n">
        <v>1930</v>
      </c>
      <c r="X536" s="36" t="n">
        <f aca="false">+Tabla[[#This Row],[TOTAL]]</f>
        <v>1930</v>
      </c>
      <c r="Y536" s="37"/>
      <c r="Z536" s="37"/>
      <c r="AA536" s="37"/>
      <c r="AB536" s="38" t="n">
        <f aca="false">+W536-AC536</f>
        <v>0</v>
      </c>
      <c r="AC536" s="34" t="n">
        <f aca="false">+Tabla[[#This Row],[P4]]+Tabla[[#This Row],[P3]]+Tabla[[#This Row],[P2]]+Tabla[[#This Row],[P1]]</f>
        <v>1930</v>
      </c>
      <c r="AD536" s="34" t="n">
        <f aca="false">+W536-AC536</f>
        <v>0</v>
      </c>
      <c r="AE536" s="21" t="str">
        <f aca="false">IF(AB536&lt;1,"PAGADA","PENDIENTE")</f>
        <v>PAGADA</v>
      </c>
      <c r="AF536" s="21"/>
      <c r="AG536" s="29"/>
      <c r="AH536" s="40"/>
      <c r="AI536" s="40" t="n">
        <f aca="false">+IF(Tabla[[#This Row],[FECHA PAGO / ABONO]]&lt;1,0,(MONTH(Tabla[[#This Row],[FECHA PAGO / ABONO]])))</f>
        <v>0</v>
      </c>
      <c r="AJ536" s="40" t="n">
        <f aca="false">+IF(Tabla[[#This Row],[FECHA PAGO / ABONO]]&lt;1,0,(YEAR(Tabla[[#This Row],[FECHA PAGO / ABONO]])))</f>
        <v>0</v>
      </c>
      <c r="AK536" s="41"/>
    </row>
    <row r="537" customFormat="false" ht="14.25" hidden="false" customHeight="false" outlineLevel="0" collapsed="false">
      <c r="A537" s="58" t="s">
        <v>310</v>
      </c>
      <c r="B537" s="21" t="s">
        <v>311</v>
      </c>
      <c r="C537" s="21" t="s">
        <v>69</v>
      </c>
      <c r="D537" s="21" t="n">
        <v>7369</v>
      </c>
      <c r="E537" s="43" t="str">
        <f aca="false">+CONCATENATE(Tabla[[#This Row],[RUT]],Tabla[[#This Row],[PROVEEDOR]],Tabla[[#This Row],[FACTURA]])</f>
        <v>77199330-3ARMSTRONG Y ASOCIADOS SA7369</v>
      </c>
      <c r="F537" s="30" t="n">
        <v>46128</v>
      </c>
      <c r="G537" s="31" t="n">
        <f aca="false">+F537+30</f>
        <v>46158</v>
      </c>
      <c r="H537" s="29" t="n">
        <f aca="true">+IF(AE537="PAGADA",0,TODAY()-G537)</f>
        <v>0</v>
      </c>
      <c r="I537" s="29" t="str">
        <f aca="false">+IF(H537&gt;180,"Atrasada",IF(H537&gt;150,"150 dias",IF(H537&gt;120,"120 dias",IF(H537&gt;90,"90 dias",IF(H537&gt;60,"60 dias",IF(H537&gt;30,"30 dias","Al Día"))))))</f>
        <v>Al Día</v>
      </c>
      <c r="J537" s="59" t="s">
        <v>31</v>
      </c>
      <c r="K537" s="60" t="s">
        <v>81</v>
      </c>
      <c r="L537" s="61" t="s">
        <v>309</v>
      </c>
      <c r="M537" s="29" t="n">
        <f aca="false">+YEAR(F537)</f>
        <v>2026</v>
      </c>
      <c r="N537" s="62" t="n">
        <v>2026</v>
      </c>
      <c r="O537" s="63" t="n">
        <v>4</v>
      </c>
      <c r="P537" s="29" t="str">
        <f aca="false">+CONCATENATE(Tabla[[#This Row],[MES CAMPAÑA]],"/",Tabla[[#This Row],[AÑO CAMPAÑA]])</f>
        <v>4/2026</v>
      </c>
      <c r="Q537" s="60" t="s">
        <v>73</v>
      </c>
      <c r="R537" s="29"/>
      <c r="S537" s="64" t="n">
        <v>0</v>
      </c>
      <c r="T537" s="64" t="n">
        <v>2940742</v>
      </c>
      <c r="U537" s="64" t="n">
        <v>558741</v>
      </c>
      <c r="V537" s="29"/>
      <c r="W537" s="24" t="n">
        <v>3499483</v>
      </c>
      <c r="X537" s="36" t="n">
        <f aca="false">+Tabla[[#This Row],[TOTAL]]</f>
        <v>3499483</v>
      </c>
      <c r="Y537" s="37"/>
      <c r="Z537" s="37"/>
      <c r="AA537" s="37"/>
      <c r="AB537" s="38" t="n">
        <f aca="false">+W537-AC537</f>
        <v>0</v>
      </c>
      <c r="AC537" s="34" t="n">
        <f aca="false">+Tabla[[#This Row],[P4]]+Tabla[[#This Row],[P3]]+Tabla[[#This Row],[P2]]+Tabla[[#This Row],[P1]]</f>
        <v>3499483</v>
      </c>
      <c r="AD537" s="34" t="n">
        <f aca="false">+W537-AC537</f>
        <v>0</v>
      </c>
      <c r="AE537" s="21" t="str">
        <f aca="false">IF(AB537&lt;1,"PAGADA","PENDIENTE")</f>
        <v>PAGADA</v>
      </c>
      <c r="AF537" s="21"/>
      <c r="AG537" s="29" t="s">
        <v>77</v>
      </c>
      <c r="AH537" s="39" t="n">
        <v>46181</v>
      </c>
      <c r="AI537" s="40" t="n">
        <f aca="false">+IF(Tabla[[#This Row],[FECHA PAGO / ABONO]]&lt;1,0,(MONTH(Tabla[[#This Row],[FECHA PAGO / ABONO]])))</f>
        <v>6</v>
      </c>
      <c r="AJ537" s="40" t="n">
        <f aca="false">+IF(Tabla[[#This Row],[FECHA PAGO / ABONO]]&lt;1,0,(YEAR(Tabla[[#This Row],[FECHA PAGO / ABONO]])))</f>
        <v>2026</v>
      </c>
      <c r="AK537" s="41"/>
    </row>
    <row r="538" customFormat="false" ht="14.25" hidden="false" customHeight="false" outlineLevel="0" collapsed="false">
      <c r="A538" s="58" t="s">
        <v>177</v>
      </c>
      <c r="B538" s="21" t="s">
        <v>178</v>
      </c>
      <c r="C538" s="21" t="s">
        <v>69</v>
      </c>
      <c r="D538" s="21" t="n">
        <v>38431</v>
      </c>
      <c r="E538" s="43" t="str">
        <f aca="false">+CONCATENATE(Tabla[[#This Row],[RUT]],Tabla[[#This Row],[PROVEEDOR]],Tabla[[#This Row],[FACTURA]])</f>
        <v>84383200-8GLOBAL MEDIA SPA38431</v>
      </c>
      <c r="F538" s="30" t="n">
        <v>46128</v>
      </c>
      <c r="G538" s="31" t="n">
        <f aca="false">+F538+30</f>
        <v>46158</v>
      </c>
      <c r="H538" s="29" t="n">
        <f aca="true">+IF(AE538="PAGADA",0,TODAY()-G538)</f>
        <v>46</v>
      </c>
      <c r="I538" s="29" t="str">
        <f aca="false">+IF(H538&gt;180,"Atrasada",IF(H538&gt;150,"150 dias",IF(H538&gt;120,"120 dias",IF(H538&gt;90,"90 dias",IF(H538&gt;60,"60 dias",IF(H538&gt;30,"30 dias","Al Día"))))))</f>
        <v>30 dias</v>
      </c>
      <c r="J538" s="59" t="s">
        <v>80</v>
      </c>
      <c r="K538" s="60" t="s">
        <v>81</v>
      </c>
      <c r="L538" s="61" t="s">
        <v>309</v>
      </c>
      <c r="M538" s="29" t="n">
        <f aca="false">+YEAR(F538)</f>
        <v>2026</v>
      </c>
      <c r="N538" s="62" t="n">
        <v>2026</v>
      </c>
      <c r="O538" s="63" t="n">
        <v>2</v>
      </c>
      <c r="P538" s="29" t="str">
        <f aca="false">+CONCATENATE(Tabla[[#This Row],[MES CAMPAÑA]],"/",Tabla[[#This Row],[AÑO CAMPAÑA]])</f>
        <v>2/2026</v>
      </c>
      <c r="Q538" s="60" t="s">
        <v>265</v>
      </c>
      <c r="R538" s="29"/>
      <c r="S538" s="64" t="n">
        <v>0</v>
      </c>
      <c r="T538" s="64" t="n">
        <v>800000</v>
      </c>
      <c r="U538" s="64" t="n">
        <v>152000</v>
      </c>
      <c r="V538" s="29"/>
      <c r="W538" s="24" t="n">
        <v>952000</v>
      </c>
      <c r="X538" s="36"/>
      <c r="Y538" s="37"/>
      <c r="Z538" s="37"/>
      <c r="AA538" s="37"/>
      <c r="AB538" s="38" t="n">
        <f aca="false">+W538-AC538</f>
        <v>952000</v>
      </c>
      <c r="AC538" s="34" t="n">
        <f aca="false">+Tabla[[#This Row],[P4]]+Tabla[[#This Row],[P3]]+Tabla[[#This Row],[P2]]+Tabla[[#This Row],[P1]]</f>
        <v>0</v>
      </c>
      <c r="AD538" s="34" t="n">
        <f aca="false">+W538-AC538</f>
        <v>952000</v>
      </c>
      <c r="AE538" s="21" t="str">
        <f aca="false">IF(AB538&lt;1,"PAGADA","PENDIENTE")</f>
        <v>PENDIENTE</v>
      </c>
      <c r="AF538" s="21"/>
      <c r="AG538" s="29"/>
      <c r="AH538" s="40"/>
      <c r="AI538" s="40" t="n">
        <f aca="false">+IF(Tabla[[#This Row],[FECHA PAGO / ABONO]]&lt;1,0,(MONTH(Tabla[[#This Row],[FECHA PAGO / ABONO]])))</f>
        <v>0</v>
      </c>
      <c r="AJ538" s="40" t="n">
        <f aca="false">+IF(Tabla[[#This Row],[FECHA PAGO / ABONO]]&lt;1,0,(YEAR(Tabla[[#This Row],[FECHA PAGO / ABONO]])))</f>
        <v>0</v>
      </c>
      <c r="AK538" s="41"/>
    </row>
    <row r="539" customFormat="false" ht="14.25" hidden="false" customHeight="false" outlineLevel="0" collapsed="false">
      <c r="A539" s="58" t="s">
        <v>177</v>
      </c>
      <c r="B539" s="21" t="s">
        <v>178</v>
      </c>
      <c r="C539" s="21" t="s">
        <v>69</v>
      </c>
      <c r="D539" s="21" t="n">
        <v>38433</v>
      </c>
      <c r="E539" s="43" t="str">
        <f aca="false">+CONCATENATE(Tabla[[#This Row],[RUT]],Tabla[[#This Row],[PROVEEDOR]],Tabla[[#This Row],[FACTURA]])</f>
        <v>84383200-8GLOBAL MEDIA SPA38433</v>
      </c>
      <c r="F539" s="30" t="n">
        <v>46128</v>
      </c>
      <c r="G539" s="31" t="n">
        <f aca="false">+F539+30</f>
        <v>46158</v>
      </c>
      <c r="H539" s="29" t="n">
        <f aca="true">+IF(AE539="PAGADA",0,TODAY()-G539)</f>
        <v>46</v>
      </c>
      <c r="I539" s="29" t="str">
        <f aca="false">+IF(H539&gt;180,"Atrasada",IF(H539&gt;150,"150 dias",IF(H539&gt;120,"120 dias",IF(H539&gt;90,"90 dias",IF(H539&gt;60,"60 dias",IF(H539&gt;30,"30 dias","Al Día"))))))</f>
        <v>30 dias</v>
      </c>
      <c r="J539" s="59" t="s">
        <v>80</v>
      </c>
      <c r="K539" s="60" t="s">
        <v>81</v>
      </c>
      <c r="L539" s="61" t="s">
        <v>309</v>
      </c>
      <c r="M539" s="29" t="n">
        <f aca="false">+YEAR(F539)</f>
        <v>2026</v>
      </c>
      <c r="N539" s="62" t="n">
        <v>2026</v>
      </c>
      <c r="O539" s="63" t="n">
        <v>2</v>
      </c>
      <c r="P539" s="29" t="str">
        <f aca="false">+CONCATENATE(Tabla[[#This Row],[MES CAMPAÑA]],"/",Tabla[[#This Row],[AÑO CAMPAÑA]])</f>
        <v>2/2026</v>
      </c>
      <c r="Q539" s="60" t="s">
        <v>92</v>
      </c>
      <c r="R539" s="29"/>
      <c r="S539" s="64" t="n">
        <v>0</v>
      </c>
      <c r="T539" s="64" t="n">
        <v>626861</v>
      </c>
      <c r="U539" s="64" t="n">
        <v>119104</v>
      </c>
      <c r="V539" s="29"/>
      <c r="W539" s="24" t="n">
        <v>745965</v>
      </c>
      <c r="X539" s="36"/>
      <c r="Y539" s="37"/>
      <c r="Z539" s="37"/>
      <c r="AA539" s="37"/>
      <c r="AB539" s="38" t="n">
        <f aca="false">+W539-AC539</f>
        <v>745965</v>
      </c>
      <c r="AC539" s="34" t="n">
        <f aca="false">+Tabla[[#This Row],[P4]]+Tabla[[#This Row],[P3]]+Tabla[[#This Row],[P2]]+Tabla[[#This Row],[P1]]</f>
        <v>0</v>
      </c>
      <c r="AD539" s="34" t="n">
        <f aca="false">+W539-AC539</f>
        <v>745965</v>
      </c>
      <c r="AE539" s="21" t="str">
        <f aca="false">IF(AB539&lt;1,"PAGADA","PENDIENTE")</f>
        <v>PENDIENTE</v>
      </c>
      <c r="AF539" s="21"/>
      <c r="AG539" s="29"/>
      <c r="AH539" s="40"/>
      <c r="AI539" s="40" t="n">
        <f aca="false">+IF(Tabla[[#This Row],[FECHA PAGO / ABONO]]&lt;1,0,(MONTH(Tabla[[#This Row],[FECHA PAGO / ABONO]])))</f>
        <v>0</v>
      </c>
      <c r="AJ539" s="40" t="n">
        <f aca="false">+IF(Tabla[[#This Row],[FECHA PAGO / ABONO]]&lt;1,0,(YEAR(Tabla[[#This Row],[FECHA PAGO / ABONO]])))</f>
        <v>0</v>
      </c>
      <c r="AK539" s="41"/>
    </row>
    <row r="540" customFormat="false" ht="14.25" hidden="false" customHeight="false" outlineLevel="0" collapsed="false">
      <c r="A540" s="58" t="s">
        <v>177</v>
      </c>
      <c r="B540" s="21" t="s">
        <v>178</v>
      </c>
      <c r="C540" s="21" t="s">
        <v>69</v>
      </c>
      <c r="D540" s="21" t="n">
        <v>38435</v>
      </c>
      <c r="E540" s="43" t="str">
        <f aca="false">+CONCATENATE(Tabla[[#This Row],[RUT]],Tabla[[#This Row],[PROVEEDOR]],Tabla[[#This Row],[FACTURA]])</f>
        <v>84383200-8GLOBAL MEDIA SPA38435</v>
      </c>
      <c r="F540" s="30" t="n">
        <v>46128</v>
      </c>
      <c r="G540" s="31" t="n">
        <f aca="false">+F540+30</f>
        <v>46158</v>
      </c>
      <c r="H540" s="29" t="n">
        <f aca="true">+IF(AE540="PAGADA",0,TODAY()-G540)</f>
        <v>46</v>
      </c>
      <c r="I540" s="29" t="str">
        <f aca="false">+IF(H540&gt;180,"Atrasada",IF(H540&gt;150,"150 dias",IF(H540&gt;120,"120 dias",IF(H540&gt;90,"90 dias",IF(H540&gt;60,"60 dias",IF(H540&gt;30,"30 dias","Al Día"))))))</f>
        <v>30 dias</v>
      </c>
      <c r="J540" s="59" t="s">
        <v>80</v>
      </c>
      <c r="K540" s="60" t="s">
        <v>81</v>
      </c>
      <c r="L540" s="61" t="s">
        <v>309</v>
      </c>
      <c r="M540" s="29" t="n">
        <f aca="false">+YEAR(F540)</f>
        <v>2026</v>
      </c>
      <c r="N540" s="62" t="n">
        <v>2026</v>
      </c>
      <c r="O540" s="63" t="n">
        <v>2</v>
      </c>
      <c r="P540" s="29" t="str">
        <f aca="false">+CONCATENATE(Tabla[[#This Row],[MES CAMPAÑA]],"/",Tabla[[#This Row],[AÑO CAMPAÑA]])</f>
        <v>2/2026</v>
      </c>
      <c r="Q540" s="60" t="s">
        <v>130</v>
      </c>
      <c r="R540" s="29"/>
      <c r="S540" s="64" t="n">
        <v>0</v>
      </c>
      <c r="T540" s="64" t="n">
        <v>800000</v>
      </c>
      <c r="U540" s="64" t="n">
        <v>152000</v>
      </c>
      <c r="V540" s="29"/>
      <c r="W540" s="24" t="n">
        <v>952000</v>
      </c>
      <c r="X540" s="36"/>
      <c r="Y540" s="37"/>
      <c r="Z540" s="37"/>
      <c r="AA540" s="37"/>
      <c r="AB540" s="38" t="n">
        <f aca="false">+W540-AC540</f>
        <v>952000</v>
      </c>
      <c r="AC540" s="34" t="n">
        <f aca="false">+Tabla[[#This Row],[P4]]+Tabla[[#This Row],[P3]]+Tabla[[#This Row],[P2]]+Tabla[[#This Row],[P1]]</f>
        <v>0</v>
      </c>
      <c r="AD540" s="34" t="n">
        <f aca="false">+W540-AC540</f>
        <v>952000</v>
      </c>
      <c r="AE540" s="21" t="str">
        <f aca="false">IF(AB540&lt;1,"PAGADA","PENDIENTE")</f>
        <v>PENDIENTE</v>
      </c>
      <c r="AF540" s="21"/>
      <c r="AG540" s="29"/>
      <c r="AH540" s="40"/>
      <c r="AI540" s="40" t="n">
        <f aca="false">+IF(Tabla[[#This Row],[FECHA PAGO / ABONO]]&lt;1,0,(MONTH(Tabla[[#This Row],[FECHA PAGO / ABONO]])))</f>
        <v>0</v>
      </c>
      <c r="AJ540" s="40" t="n">
        <f aca="false">+IF(Tabla[[#This Row],[FECHA PAGO / ABONO]]&lt;1,0,(YEAR(Tabla[[#This Row],[FECHA PAGO / ABONO]])))</f>
        <v>0</v>
      </c>
      <c r="AK540" s="41"/>
    </row>
    <row r="541" customFormat="false" ht="14.25" hidden="false" customHeight="false" outlineLevel="0" collapsed="false">
      <c r="A541" s="58" t="s">
        <v>131</v>
      </c>
      <c r="B541" s="21" t="s">
        <v>132</v>
      </c>
      <c r="C541" s="21" t="s">
        <v>69</v>
      </c>
      <c r="D541" s="21" t="n">
        <v>17865285</v>
      </c>
      <c r="E541" s="43" t="str">
        <f aca="false">+CONCATENATE(Tabla[[#This Row],[RUT]],Tabla[[#This Row],[PROVEEDOR]],Tabla[[#This Row],[FACTURA]])</f>
        <v>78921690-8WOM S.A.17865285</v>
      </c>
      <c r="F541" s="30" t="n">
        <v>46128</v>
      </c>
      <c r="G541" s="31" t="n">
        <f aca="false">+F541+30</f>
        <v>46158</v>
      </c>
      <c r="H541" s="29" t="n">
        <f aca="true">+IF(AE541="PAGADA",0,TODAY()-G541)</f>
        <v>0</v>
      </c>
      <c r="I541" s="29" t="str">
        <f aca="false">+IF(H541&gt;180,"Atrasada",IF(H541&gt;150,"150 dias",IF(H541&gt;120,"120 dias",IF(H541&gt;90,"90 dias",IF(H541&gt;60,"60 dias",IF(H541&gt;30,"30 dias","Al Día"))))))</f>
        <v>Al Día</v>
      </c>
      <c r="J541" s="59" t="s">
        <v>31</v>
      </c>
      <c r="K541" s="60" t="s">
        <v>81</v>
      </c>
      <c r="L541" s="61" t="s">
        <v>309</v>
      </c>
      <c r="M541" s="29" t="n">
        <f aca="false">+YEAR(F541)</f>
        <v>2026</v>
      </c>
      <c r="N541" s="62" t="n">
        <v>2026</v>
      </c>
      <c r="O541" s="63" t="n">
        <v>3</v>
      </c>
      <c r="P541" s="29" t="str">
        <f aca="false">+CONCATENATE(Tabla[[#This Row],[MES CAMPAÑA]],"/",Tabla[[#This Row],[AÑO CAMPAÑA]])</f>
        <v>3/2026</v>
      </c>
      <c r="Q541" s="60" t="s">
        <v>73</v>
      </c>
      <c r="R541" s="29"/>
      <c r="S541" s="64" t="n">
        <v>0</v>
      </c>
      <c r="T541" s="64" t="n">
        <v>13104</v>
      </c>
      <c r="U541" s="64" t="n">
        <v>2490</v>
      </c>
      <c r="V541" s="29"/>
      <c r="W541" s="24" t="n">
        <v>15594</v>
      </c>
      <c r="X541" s="36" t="n">
        <f aca="false">+Tabla[[#This Row],[TOTAL]]</f>
        <v>15594</v>
      </c>
      <c r="Y541" s="37"/>
      <c r="Z541" s="37"/>
      <c r="AA541" s="37"/>
      <c r="AB541" s="38" t="n">
        <f aca="false">+W541-AC541</f>
        <v>0</v>
      </c>
      <c r="AC541" s="34" t="n">
        <f aca="false">+Tabla[[#This Row],[P4]]+Tabla[[#This Row],[P3]]+Tabla[[#This Row],[P2]]+Tabla[[#This Row],[P1]]</f>
        <v>15594</v>
      </c>
      <c r="AD541" s="34" t="n">
        <f aca="false">+W541-AC541</f>
        <v>0</v>
      </c>
      <c r="AE541" s="21" t="str">
        <f aca="false">IF(AB541&lt;1,"PAGADA","PENDIENTE")</f>
        <v>PAGADA</v>
      </c>
      <c r="AF541" s="21"/>
      <c r="AG541" s="29"/>
      <c r="AH541" s="40"/>
      <c r="AI541" s="40" t="n">
        <f aca="false">+IF(Tabla[[#This Row],[FECHA PAGO / ABONO]]&lt;1,0,(MONTH(Tabla[[#This Row],[FECHA PAGO / ABONO]])))</f>
        <v>0</v>
      </c>
      <c r="AJ541" s="40" t="n">
        <f aca="false">+IF(Tabla[[#This Row],[FECHA PAGO / ABONO]]&lt;1,0,(YEAR(Tabla[[#This Row],[FECHA PAGO / ABONO]])))</f>
        <v>0</v>
      </c>
      <c r="AK541" s="41"/>
    </row>
    <row r="542" customFormat="false" ht="14.25" hidden="false" customHeight="false" outlineLevel="0" collapsed="false">
      <c r="A542" s="58" t="s">
        <v>197</v>
      </c>
      <c r="B542" s="21" t="s">
        <v>198</v>
      </c>
      <c r="C542" s="21" t="s">
        <v>69</v>
      </c>
      <c r="D542" s="21" t="n">
        <v>34456839</v>
      </c>
      <c r="E542" s="43" t="str">
        <f aca="false">+CONCATENATE(Tabla[[#This Row],[RUT]],Tabla[[#This Row],[PROVEEDOR]],Tabla[[#This Row],[FACTURA]])</f>
        <v>96800570-7ENEL DISTRIBUCIÃ“N CHILE S.A34456839</v>
      </c>
      <c r="F542" s="30" t="n">
        <v>46132</v>
      </c>
      <c r="G542" s="31" t="n">
        <f aca="false">+F542+30</f>
        <v>46162</v>
      </c>
      <c r="H542" s="29" t="n">
        <f aca="true">+IF(AE542="PAGADA",0,TODAY()-G542)</f>
        <v>0</v>
      </c>
      <c r="I542" s="29" t="str">
        <f aca="false">+IF(H542&gt;180,"Atrasada",IF(H542&gt;150,"150 dias",IF(H542&gt;120,"120 dias",IF(H542&gt;90,"90 dias",IF(H542&gt;60,"60 dias",IF(H542&gt;30,"30 dias","Al Día"))))))</f>
        <v>Al Día</v>
      </c>
      <c r="J542" s="59" t="s">
        <v>31</v>
      </c>
      <c r="K542" s="60" t="s">
        <v>81</v>
      </c>
      <c r="L542" s="61" t="s">
        <v>309</v>
      </c>
      <c r="M542" s="29" t="n">
        <f aca="false">+YEAR(F542)</f>
        <v>2026</v>
      </c>
      <c r="N542" s="62" t="n">
        <v>2026</v>
      </c>
      <c r="O542" s="63" t="n">
        <v>3</v>
      </c>
      <c r="P542" s="29" t="str">
        <f aca="false">+CONCATENATE(Tabla[[#This Row],[MES CAMPAÑA]],"/",Tabla[[#This Row],[AÑO CAMPAÑA]])</f>
        <v>3/2026</v>
      </c>
      <c r="Q542" s="60" t="s">
        <v>73</v>
      </c>
      <c r="R542" s="29"/>
      <c r="S542" s="64" t="n">
        <v>1509</v>
      </c>
      <c r="T542" s="64" t="n">
        <v>105221</v>
      </c>
      <c r="U542" s="64" t="n">
        <v>19992</v>
      </c>
      <c r="V542" s="29"/>
      <c r="W542" s="24" t="n">
        <v>126722</v>
      </c>
      <c r="X542" s="36" t="n">
        <f aca="false">+Tabla[[#This Row],[TOTAL]]</f>
        <v>126722</v>
      </c>
      <c r="Y542" s="37"/>
      <c r="Z542" s="37"/>
      <c r="AA542" s="37"/>
      <c r="AB542" s="38" t="n">
        <f aca="false">+W542-AC542</f>
        <v>0</v>
      </c>
      <c r="AC542" s="34" t="n">
        <f aca="false">+Tabla[[#This Row],[P4]]+Tabla[[#This Row],[P3]]+Tabla[[#This Row],[P2]]+Tabla[[#This Row],[P1]]</f>
        <v>126722</v>
      </c>
      <c r="AD542" s="34" t="n">
        <f aca="false">+W542-AC542</f>
        <v>0</v>
      </c>
      <c r="AE542" s="21" t="str">
        <f aca="false">IF(AB542&lt;1,"PAGADA","PENDIENTE")</f>
        <v>PAGADA</v>
      </c>
      <c r="AF542" s="21"/>
      <c r="AG542" s="29"/>
      <c r="AH542" s="40"/>
      <c r="AI542" s="40" t="n">
        <f aca="false">+IF(Tabla[[#This Row],[FECHA PAGO / ABONO]]&lt;1,0,(MONTH(Tabla[[#This Row],[FECHA PAGO / ABONO]])))</f>
        <v>0</v>
      </c>
      <c r="AJ542" s="40" t="n">
        <f aca="false">+IF(Tabla[[#This Row],[FECHA PAGO / ABONO]]&lt;1,0,(YEAR(Tabla[[#This Row],[FECHA PAGO / ABONO]])))</f>
        <v>0</v>
      </c>
      <c r="AK542" s="41"/>
    </row>
    <row r="543" customFormat="false" ht="14.25" hidden="false" customHeight="false" outlineLevel="0" collapsed="false">
      <c r="A543" s="58" t="s">
        <v>197</v>
      </c>
      <c r="B543" s="21" t="s">
        <v>198</v>
      </c>
      <c r="C543" s="21" t="s">
        <v>69</v>
      </c>
      <c r="D543" s="21" t="n">
        <v>34491680</v>
      </c>
      <c r="E543" s="43" t="str">
        <f aca="false">+CONCATENATE(Tabla[[#This Row],[RUT]],Tabla[[#This Row],[PROVEEDOR]],Tabla[[#This Row],[FACTURA]])</f>
        <v>96800570-7ENEL DISTRIBUCIÃ“N CHILE S.A34491680</v>
      </c>
      <c r="F543" s="30" t="n">
        <v>46133</v>
      </c>
      <c r="G543" s="31" t="n">
        <f aca="false">+F543+30</f>
        <v>46163</v>
      </c>
      <c r="H543" s="29" t="n">
        <f aca="true">+IF(AE543="PAGADA",0,TODAY()-G543)</f>
        <v>0</v>
      </c>
      <c r="I543" s="29" t="str">
        <f aca="false">+IF(H543&gt;180,"Atrasada",IF(H543&gt;150,"150 dias",IF(H543&gt;120,"120 dias",IF(H543&gt;90,"90 dias",IF(H543&gt;60,"60 dias",IF(H543&gt;30,"30 dias","Al Día"))))))</f>
        <v>Al Día</v>
      </c>
      <c r="J543" s="59" t="s">
        <v>31</v>
      </c>
      <c r="K543" s="60" t="s">
        <v>81</v>
      </c>
      <c r="L543" s="61" t="s">
        <v>309</v>
      </c>
      <c r="M543" s="29" t="n">
        <f aca="false">+YEAR(F543)</f>
        <v>2026</v>
      </c>
      <c r="N543" s="62" t="n">
        <v>2026</v>
      </c>
      <c r="O543" s="63" t="n">
        <v>4</v>
      </c>
      <c r="P543" s="29" t="str">
        <f aca="false">+CONCATENATE(Tabla[[#This Row],[MES CAMPAÑA]],"/",Tabla[[#This Row],[AÑO CAMPAÑA]])</f>
        <v>4/2026</v>
      </c>
      <c r="Q543" s="60" t="s">
        <v>73</v>
      </c>
      <c r="R543" s="29"/>
      <c r="S543" s="64" t="n">
        <v>0</v>
      </c>
      <c r="T543" s="64" t="n">
        <v>597</v>
      </c>
      <c r="U543" s="64" t="n">
        <v>113</v>
      </c>
      <c r="V543" s="29"/>
      <c r="W543" s="24" t="n">
        <v>710</v>
      </c>
      <c r="X543" s="36" t="n">
        <f aca="false">+Tabla[[#This Row],[TOTAL]]</f>
        <v>710</v>
      </c>
      <c r="Y543" s="37"/>
      <c r="Z543" s="37"/>
      <c r="AA543" s="37"/>
      <c r="AB543" s="38" t="n">
        <f aca="false">+W543-AC543</f>
        <v>0</v>
      </c>
      <c r="AC543" s="34" t="n">
        <f aca="false">+Tabla[[#This Row],[P4]]+Tabla[[#This Row],[P3]]+Tabla[[#This Row],[P2]]+Tabla[[#This Row],[P1]]</f>
        <v>710</v>
      </c>
      <c r="AD543" s="34" t="n">
        <f aca="false">+W543-AC543</f>
        <v>0</v>
      </c>
      <c r="AE543" s="21" t="str">
        <f aca="false">IF(AB543&lt;1,"PAGADA","PENDIENTE")</f>
        <v>PAGADA</v>
      </c>
      <c r="AF543" s="21"/>
      <c r="AG543" s="29"/>
      <c r="AH543" s="40"/>
      <c r="AI543" s="40" t="n">
        <f aca="false">+IF(Tabla[[#This Row],[FECHA PAGO / ABONO]]&lt;1,0,(MONTH(Tabla[[#This Row],[FECHA PAGO / ABONO]])))</f>
        <v>0</v>
      </c>
      <c r="AJ543" s="40" t="n">
        <f aca="false">+IF(Tabla[[#This Row],[FECHA PAGO / ABONO]]&lt;1,0,(YEAR(Tabla[[#This Row],[FECHA PAGO / ABONO]])))</f>
        <v>0</v>
      </c>
      <c r="AK543" s="41"/>
    </row>
    <row r="544" customFormat="false" ht="14.25" hidden="false" customHeight="false" outlineLevel="0" collapsed="false">
      <c r="A544" s="58" t="s">
        <v>139</v>
      </c>
      <c r="B544" s="21" t="s">
        <v>140</v>
      </c>
      <c r="C544" s="21" t="s">
        <v>69</v>
      </c>
      <c r="D544" s="21" t="n">
        <v>2643</v>
      </c>
      <c r="E544" s="43" t="str">
        <f aca="false">+CONCATENATE(Tabla[[#This Row],[RUT]],Tabla[[#This Row],[PROVEEDOR]],Tabla[[#This Row],[FACTURA]])</f>
        <v>76126782-5VISUAL MEDIA LTDA.2643</v>
      </c>
      <c r="F544" s="30" t="n">
        <v>46133</v>
      </c>
      <c r="G544" s="31" t="n">
        <f aca="false">+F544+30</f>
        <v>46163</v>
      </c>
      <c r="H544" s="29" t="n">
        <f aca="true">+IF(AE544="PAGADA",0,TODAY()-G544)</f>
        <v>41</v>
      </c>
      <c r="I544" s="29" t="str">
        <f aca="false">+IF(H544&gt;180,"Atrasada",IF(H544&gt;150,"150 dias",IF(H544&gt;120,"120 dias",IF(H544&gt;90,"90 dias",IF(H544&gt;60,"60 dias",IF(H544&gt;30,"30 dias","Al Día"))))))</f>
        <v>30 dias</v>
      </c>
      <c r="J544" s="59" t="s">
        <v>80</v>
      </c>
      <c r="K544" s="29" t="s">
        <v>81</v>
      </c>
      <c r="L544" s="33" t="s">
        <v>309</v>
      </c>
      <c r="M544" s="29" t="n">
        <f aca="false">+YEAR(F544)</f>
        <v>2026</v>
      </c>
      <c r="N544" s="29" t="n">
        <v>2026</v>
      </c>
      <c r="O544" s="63" t="n">
        <v>3</v>
      </c>
      <c r="P544" s="29" t="str">
        <f aca="false">+CONCATENATE(Tabla[[#This Row],[MES CAMPAÑA]],"/",Tabla[[#This Row],[AÑO CAMPAÑA]])</f>
        <v>3/2026</v>
      </c>
      <c r="Q544" s="60" t="s">
        <v>92</v>
      </c>
      <c r="R544" s="29"/>
      <c r="S544" s="64" t="n">
        <v>0</v>
      </c>
      <c r="T544" s="64" t="n">
        <v>350000</v>
      </c>
      <c r="U544" s="64" t="n">
        <v>66500</v>
      </c>
      <c r="V544" s="29"/>
      <c r="W544" s="24" t="n">
        <v>416500</v>
      </c>
      <c r="X544" s="36"/>
      <c r="Y544" s="37"/>
      <c r="Z544" s="37"/>
      <c r="AA544" s="37"/>
      <c r="AB544" s="38" t="n">
        <f aca="false">+W544-AC544</f>
        <v>416500</v>
      </c>
      <c r="AC544" s="34" t="n">
        <f aca="false">+Tabla[[#This Row],[P4]]+Tabla[[#This Row],[P3]]+Tabla[[#This Row],[P2]]+Tabla[[#This Row],[P1]]</f>
        <v>0</v>
      </c>
      <c r="AD544" s="34" t="n">
        <f aca="false">+W544-AC544</f>
        <v>416500</v>
      </c>
      <c r="AE544" s="21" t="str">
        <f aca="false">IF(AB544&lt;1,"PAGADA","PENDIENTE")</f>
        <v>PENDIENTE</v>
      </c>
      <c r="AF544" s="21"/>
      <c r="AG544" s="29"/>
      <c r="AH544" s="40"/>
      <c r="AI544" s="40" t="n">
        <f aca="false">+IF(Tabla[[#This Row],[FECHA PAGO / ABONO]]&lt;1,0,(MONTH(Tabla[[#This Row],[FECHA PAGO / ABONO]])))</f>
        <v>0</v>
      </c>
      <c r="AJ544" s="40" t="n">
        <f aca="false">+IF(Tabla[[#This Row],[FECHA PAGO / ABONO]]&lt;1,0,(YEAR(Tabla[[#This Row],[FECHA PAGO / ABONO]])))</f>
        <v>0</v>
      </c>
      <c r="AK544" s="41"/>
    </row>
    <row r="545" customFormat="false" ht="14.25" hidden="false" customHeight="false" outlineLevel="0" collapsed="false">
      <c r="A545" s="58" t="s">
        <v>157</v>
      </c>
      <c r="B545" s="21" t="s">
        <v>158</v>
      </c>
      <c r="C545" s="21" t="s">
        <v>69</v>
      </c>
      <c r="D545" s="21" t="n">
        <v>4378</v>
      </c>
      <c r="E545" s="43" t="str">
        <f aca="false">+CONCATENATE(Tabla[[#This Row],[RUT]],Tabla[[#This Row],[PROVEEDOR]],Tabla[[#This Row],[FACTURA]])</f>
        <v>76617260-1IMPORTADORA Y COMERCIALIZADORA GREPSA LTDA4378</v>
      </c>
      <c r="F545" s="30" t="n">
        <v>46133</v>
      </c>
      <c r="G545" s="31" t="n">
        <f aca="false">+F545+30</f>
        <v>46163</v>
      </c>
      <c r="H545" s="29" t="n">
        <f aca="true">+IF(AE545="PAGADA",0,TODAY()-G545)</f>
        <v>0</v>
      </c>
      <c r="I545" s="29" t="str">
        <f aca="false">+IF(H545&gt;180,"Atrasada",IF(H545&gt;150,"150 dias",IF(H545&gt;120,"120 dias",IF(H545&gt;90,"90 dias",IF(H545&gt;60,"60 dias",IF(H545&gt;30,"30 dias","Al Día"))))))</f>
        <v>Al Día</v>
      </c>
      <c r="J545" s="59" t="s">
        <v>80</v>
      </c>
      <c r="K545" s="60" t="s">
        <v>81</v>
      </c>
      <c r="L545" s="61" t="s">
        <v>309</v>
      </c>
      <c r="M545" s="29" t="n">
        <f aca="false">+YEAR(F545)</f>
        <v>2026</v>
      </c>
      <c r="N545" s="62" t="n">
        <v>2026</v>
      </c>
      <c r="O545" s="63" t="n">
        <v>3</v>
      </c>
      <c r="P545" s="29" t="str">
        <f aca="false">+CONCATENATE(Tabla[[#This Row],[MES CAMPAÑA]],"/",Tabla[[#This Row],[AÑO CAMPAÑA]])</f>
        <v>3/2026</v>
      </c>
      <c r="Q545" s="60" t="s">
        <v>92</v>
      </c>
      <c r="R545" s="29"/>
      <c r="S545" s="64" t="n">
        <v>0</v>
      </c>
      <c r="T545" s="64" t="n">
        <v>790000</v>
      </c>
      <c r="U545" s="64" t="n">
        <v>150100</v>
      </c>
      <c r="V545" s="29"/>
      <c r="W545" s="24" t="n">
        <v>940100</v>
      </c>
      <c r="X545" s="36" t="n">
        <f aca="false">+Tabla[[#This Row],[TOTAL]]</f>
        <v>940100</v>
      </c>
      <c r="Y545" s="37"/>
      <c r="Z545" s="37"/>
      <c r="AA545" s="37"/>
      <c r="AB545" s="38" t="n">
        <f aca="false">+W545-AC545</f>
        <v>0</v>
      </c>
      <c r="AC545" s="34" t="n">
        <f aca="false">+Tabla[[#This Row],[P4]]+Tabla[[#This Row],[P3]]+Tabla[[#This Row],[P2]]+Tabla[[#This Row],[P1]]</f>
        <v>940100</v>
      </c>
      <c r="AD545" s="34" t="n">
        <f aca="false">+W545-AC545</f>
        <v>0</v>
      </c>
      <c r="AE545" s="21" t="str">
        <f aca="false">IF(AB545&lt;1,"PAGADA","PENDIENTE")</f>
        <v>PAGADA</v>
      </c>
      <c r="AF545" s="21"/>
      <c r="AG545" s="29" t="s">
        <v>77</v>
      </c>
      <c r="AH545" s="40"/>
      <c r="AI545" s="40" t="n">
        <f aca="false">+IF(Tabla[[#This Row],[FECHA PAGO / ABONO]]&lt;1,0,(MONTH(Tabla[[#This Row],[FECHA PAGO / ABONO]])))</f>
        <v>0</v>
      </c>
      <c r="AJ545" s="40" t="n">
        <f aca="false">+IF(Tabla[[#This Row],[FECHA PAGO / ABONO]]&lt;1,0,(YEAR(Tabla[[#This Row],[FECHA PAGO / ABONO]])))</f>
        <v>0</v>
      </c>
      <c r="AK545" s="41"/>
    </row>
    <row r="546" customFormat="false" ht="14.25" hidden="false" customHeight="false" outlineLevel="0" collapsed="false">
      <c r="A546" s="58" t="s">
        <v>242</v>
      </c>
      <c r="B546" s="21" t="s">
        <v>243</v>
      </c>
      <c r="C546" s="21" t="s">
        <v>125</v>
      </c>
      <c r="D546" s="21" t="n">
        <v>4186983</v>
      </c>
      <c r="E546" s="43" t="str">
        <f aca="false">+CONCATENATE(Tabla[[#This Row],[RUT]],Tabla[[#This Row],[PROVEEDOR]],Tabla[[#This Row],[FACTURA]])</f>
        <v>90193000-7Empresa El Mercurio S.A.P.4186983</v>
      </c>
      <c r="F546" s="30" t="n">
        <v>46133</v>
      </c>
      <c r="G546" s="31" t="n">
        <f aca="false">+F546+30</f>
        <v>46163</v>
      </c>
      <c r="H546" s="29" t="n">
        <f aca="true">+IF(AE546="PAGADA",0,TODAY()-G546)</f>
        <v>0</v>
      </c>
      <c r="I546" s="29" t="str">
        <f aca="false">+IF(H546&gt;180,"Atrasada",IF(H546&gt;150,"150 dias",IF(H546&gt;120,"120 dias",IF(H546&gt;90,"90 dias",IF(H546&gt;60,"60 dias",IF(H546&gt;30,"30 dias","Al Día"))))))</f>
        <v>Al Día</v>
      </c>
      <c r="J546" s="59" t="s">
        <v>80</v>
      </c>
      <c r="K546" s="60" t="s">
        <v>126</v>
      </c>
      <c r="L546" s="61" t="s">
        <v>312</v>
      </c>
      <c r="M546" s="29" t="n">
        <f aca="false">+YEAR(F546)</f>
        <v>2026</v>
      </c>
      <c r="N546" s="62" t="n">
        <v>2025</v>
      </c>
      <c r="O546" s="63" t="n">
        <v>10</v>
      </c>
      <c r="P546" s="29" t="str">
        <f aca="false">+CONCATENATE(Tabla[[#This Row],[MES CAMPAÑA]],"/",Tabla[[#This Row],[AÑO CAMPAÑA]])</f>
        <v>10/2025</v>
      </c>
      <c r="Q546" s="60" t="s">
        <v>247</v>
      </c>
      <c r="R546" s="29"/>
      <c r="S546" s="64" t="n">
        <v>0</v>
      </c>
      <c r="T546" s="64" t="n">
        <v>50580</v>
      </c>
      <c r="U546" s="64" t="n">
        <v>9610</v>
      </c>
      <c r="V546" s="29"/>
      <c r="W546" s="24" t="n">
        <v>60190</v>
      </c>
      <c r="X546" s="36" t="n">
        <f aca="false">+Tabla[[#This Row],[TOTAL]]</f>
        <v>60190</v>
      </c>
      <c r="Y546" s="37"/>
      <c r="Z546" s="37"/>
      <c r="AA546" s="37"/>
      <c r="AB546" s="38" t="n">
        <f aca="false">+W546-AC546</f>
        <v>0</v>
      </c>
      <c r="AC546" s="34" t="n">
        <f aca="false">+Tabla[[#This Row],[P4]]+Tabla[[#This Row],[P3]]+Tabla[[#This Row],[P2]]+Tabla[[#This Row],[P1]]</f>
        <v>60190</v>
      </c>
      <c r="AD546" s="34" t="n">
        <f aca="false">+W546-AC546</f>
        <v>0</v>
      </c>
      <c r="AE546" s="21" t="str">
        <f aca="false">IF(AB546&lt;1,"PAGADA","PENDIENTE")</f>
        <v>PAGADA</v>
      </c>
      <c r="AF546" s="21"/>
      <c r="AG546" s="29" t="str">
        <f aca="false">+Tabla[[#This Row],[ESTADO]]</f>
        <v>ANULA</v>
      </c>
      <c r="AH546" s="40"/>
      <c r="AI546" s="40" t="n">
        <f aca="false">+IF(Tabla[[#This Row],[FECHA PAGO / ABONO]]&lt;1,0,(MONTH(Tabla[[#This Row],[FECHA PAGO / ABONO]])))</f>
        <v>0</v>
      </c>
      <c r="AJ546" s="40" t="n">
        <f aca="false">+IF(Tabla[[#This Row],[FECHA PAGO / ABONO]]&lt;1,0,(YEAR(Tabla[[#This Row],[FECHA PAGO / ABONO]])))</f>
        <v>0</v>
      </c>
      <c r="AK546" s="41"/>
    </row>
    <row r="547" customFormat="false" ht="14.25" hidden="false" customHeight="false" outlineLevel="0" collapsed="false">
      <c r="A547" s="58" t="s">
        <v>242</v>
      </c>
      <c r="B547" s="21" t="s">
        <v>243</v>
      </c>
      <c r="C547" s="21" t="s">
        <v>69</v>
      </c>
      <c r="D547" s="21" t="n">
        <v>15732631</v>
      </c>
      <c r="E547" s="43" t="str">
        <f aca="false">+CONCATENATE(Tabla[[#This Row],[RUT]],Tabla[[#This Row],[PROVEEDOR]],Tabla[[#This Row],[FACTURA]])</f>
        <v>90193000-7Empresa El Mercurio S.A.P.15732631</v>
      </c>
      <c r="F547" s="30" t="n">
        <v>46133</v>
      </c>
      <c r="G547" s="31" t="n">
        <f aca="false">+F547+30</f>
        <v>46163</v>
      </c>
      <c r="H547" s="29" t="n">
        <f aca="true">+IF(AE547="PAGADA",0,TODAY()-G547)</f>
        <v>41</v>
      </c>
      <c r="I547" s="29" t="str">
        <f aca="false">+IF(H547&gt;180,"Atrasada",IF(H547&gt;150,"150 dias",IF(H547&gt;120,"120 dias",IF(H547&gt;90,"90 dias",IF(H547&gt;60,"60 dias",IF(H547&gt;30,"30 dias","Al Día"))))))</f>
        <v>30 dias</v>
      </c>
      <c r="J547" s="59" t="s">
        <v>80</v>
      </c>
      <c r="K547" s="60" t="s">
        <v>81</v>
      </c>
      <c r="L547" s="61" t="s">
        <v>309</v>
      </c>
      <c r="M547" s="29" t="n">
        <f aca="false">+YEAR(F547)</f>
        <v>2026</v>
      </c>
      <c r="N547" s="62" t="n">
        <v>2025</v>
      </c>
      <c r="O547" s="63" t="n">
        <v>10</v>
      </c>
      <c r="P547" s="29" t="str">
        <f aca="false">+CONCATENATE(Tabla[[#This Row],[MES CAMPAÑA]],"/",Tabla[[#This Row],[AÑO CAMPAÑA]])</f>
        <v>10/2025</v>
      </c>
      <c r="Q547" s="60" t="s">
        <v>247</v>
      </c>
      <c r="R547" s="29"/>
      <c r="S547" s="64" t="n">
        <v>0</v>
      </c>
      <c r="T547" s="64" t="n">
        <v>50580</v>
      </c>
      <c r="U547" s="64" t="n">
        <v>9610</v>
      </c>
      <c r="V547" s="29"/>
      <c r="W547" s="24" t="n">
        <v>60190</v>
      </c>
      <c r="X547" s="36"/>
      <c r="Y547" s="37"/>
      <c r="Z547" s="37"/>
      <c r="AA547" s="37"/>
      <c r="AB547" s="38" t="n">
        <f aca="false">+W547-AC547</f>
        <v>60190</v>
      </c>
      <c r="AC547" s="34" t="n">
        <f aca="false">+Tabla[[#This Row],[P4]]+Tabla[[#This Row],[P3]]+Tabla[[#This Row],[P2]]+Tabla[[#This Row],[P1]]</f>
        <v>0</v>
      </c>
      <c r="AD547" s="34" t="n">
        <f aca="false">+W547-AC547</f>
        <v>60190</v>
      </c>
      <c r="AE547" s="21" t="str">
        <f aca="false">IF(AB547&lt;1,"PAGADA","PENDIENTE")</f>
        <v>PENDIENTE</v>
      </c>
      <c r="AF547" s="21" t="s">
        <v>246</v>
      </c>
      <c r="AG547" s="29"/>
      <c r="AH547" s="40"/>
      <c r="AI547" s="40" t="n">
        <f aca="false">+IF(Tabla[[#This Row],[FECHA PAGO / ABONO]]&lt;1,0,(MONTH(Tabla[[#This Row],[FECHA PAGO / ABONO]])))</f>
        <v>0</v>
      </c>
      <c r="AJ547" s="40" t="n">
        <f aca="false">+IF(Tabla[[#This Row],[FECHA PAGO / ABONO]]&lt;1,0,(YEAR(Tabla[[#This Row],[FECHA PAGO / ABONO]])))</f>
        <v>0</v>
      </c>
      <c r="AK547" s="41"/>
    </row>
    <row r="548" customFormat="false" ht="14.25" hidden="false" customHeight="false" outlineLevel="0" collapsed="false">
      <c r="A548" s="58" t="s">
        <v>201</v>
      </c>
      <c r="B548" s="21" t="s">
        <v>202</v>
      </c>
      <c r="C548" s="21" t="s">
        <v>69</v>
      </c>
      <c r="D548" s="21" t="n">
        <v>6774</v>
      </c>
      <c r="E548" s="43" t="str">
        <f aca="false">+CONCATENATE(Tabla[[#This Row],[RUT]],Tabla[[#This Row],[PROVEEDOR]],Tabla[[#This Row],[FACTURA]])</f>
        <v>76394590-1SERVICIOS PUBLICITARIOS PUBLIVISION LIMITADA6774</v>
      </c>
      <c r="F548" s="30" t="n">
        <v>46133</v>
      </c>
      <c r="G548" s="31" t="n">
        <f aca="false">+F548+30</f>
        <v>46163</v>
      </c>
      <c r="H548" s="29" t="n">
        <f aca="true">+IF(AE548="PAGADA",0,TODAY()-G548)</f>
        <v>41</v>
      </c>
      <c r="I548" s="29" t="str">
        <f aca="false">+IF(H548&gt;180,"Atrasada",IF(H548&gt;150,"150 dias",IF(H548&gt;120,"120 dias",IF(H548&gt;90,"90 dias",IF(H548&gt;60,"60 dias",IF(H548&gt;30,"30 dias","Al Día"))))))</f>
        <v>30 dias</v>
      </c>
      <c r="J548" s="59" t="s">
        <v>80</v>
      </c>
      <c r="K548" s="60" t="s">
        <v>81</v>
      </c>
      <c r="L548" s="61" t="s">
        <v>309</v>
      </c>
      <c r="M548" s="29" t="n">
        <f aca="false">+YEAR(F548)</f>
        <v>2026</v>
      </c>
      <c r="N548" s="62" t="n">
        <v>2026</v>
      </c>
      <c r="O548" s="63" t="n">
        <v>3</v>
      </c>
      <c r="P548" s="29" t="str">
        <f aca="false">+CONCATENATE(Tabla[[#This Row],[MES CAMPAÑA]],"/",Tabla[[#This Row],[AÑO CAMPAÑA]])</f>
        <v>3/2026</v>
      </c>
      <c r="Q548" s="60" t="s">
        <v>92</v>
      </c>
      <c r="R548" s="29"/>
      <c r="S548" s="64" t="n">
        <v>0</v>
      </c>
      <c r="T548" s="64" t="n">
        <v>386552</v>
      </c>
      <c r="U548" s="64" t="n">
        <v>73445</v>
      </c>
      <c r="V548" s="29"/>
      <c r="W548" s="24" t="n">
        <v>459997</v>
      </c>
      <c r="X548" s="36"/>
      <c r="Y548" s="37"/>
      <c r="Z548" s="37"/>
      <c r="AA548" s="37"/>
      <c r="AB548" s="38" t="n">
        <f aca="false">+W548-AC548</f>
        <v>459997</v>
      </c>
      <c r="AC548" s="34" t="n">
        <f aca="false">+Tabla[[#This Row],[P4]]+Tabla[[#This Row],[P3]]+Tabla[[#This Row],[P2]]+Tabla[[#This Row],[P1]]</f>
        <v>0</v>
      </c>
      <c r="AD548" s="34" t="n">
        <f aca="false">+W548-AC548</f>
        <v>459997</v>
      </c>
      <c r="AE548" s="21" t="str">
        <f aca="false">IF(AB548&lt;1,"PAGADA","PENDIENTE")</f>
        <v>PENDIENTE</v>
      </c>
      <c r="AF548" s="21"/>
      <c r="AG548" s="29"/>
      <c r="AH548" s="40"/>
      <c r="AI548" s="40" t="n">
        <f aca="false">+IF(Tabla[[#This Row],[FECHA PAGO / ABONO]]&lt;1,0,(MONTH(Tabla[[#This Row],[FECHA PAGO / ABONO]])))</f>
        <v>0</v>
      </c>
      <c r="AJ548" s="40" t="n">
        <f aca="false">+IF(Tabla[[#This Row],[FECHA PAGO / ABONO]]&lt;1,0,(YEAR(Tabla[[#This Row],[FECHA PAGO / ABONO]])))</f>
        <v>0</v>
      </c>
      <c r="AK548" s="41"/>
    </row>
    <row r="549" customFormat="false" ht="14.25" hidden="false" customHeight="false" outlineLevel="0" collapsed="false">
      <c r="A549" s="58" t="s">
        <v>201</v>
      </c>
      <c r="B549" s="21" t="s">
        <v>202</v>
      </c>
      <c r="C549" s="21" t="s">
        <v>69</v>
      </c>
      <c r="D549" s="21" t="n">
        <v>6775</v>
      </c>
      <c r="E549" s="43" t="str">
        <f aca="false">+CONCATENATE(Tabla[[#This Row],[RUT]],Tabla[[#This Row],[PROVEEDOR]],Tabla[[#This Row],[FACTURA]])</f>
        <v>76394590-1SERVICIOS PUBLICITARIOS PUBLIVISION LIMITADA6775</v>
      </c>
      <c r="F549" s="30" t="n">
        <v>46133</v>
      </c>
      <c r="G549" s="31" t="n">
        <f aca="false">+F549+30</f>
        <v>46163</v>
      </c>
      <c r="H549" s="29" t="n">
        <f aca="true">+IF(AE549="PAGADA",0,TODAY()-G549)</f>
        <v>41</v>
      </c>
      <c r="I549" s="29" t="str">
        <f aca="false">+IF(H549&gt;180,"Atrasada",IF(H549&gt;150,"150 dias",IF(H549&gt;120,"120 dias",IF(H549&gt;90,"90 dias",IF(H549&gt;60,"60 dias",IF(H549&gt;30,"30 dias","Al Día"))))))</f>
        <v>30 dias</v>
      </c>
      <c r="J549" s="59" t="s">
        <v>80</v>
      </c>
      <c r="K549" s="60" t="s">
        <v>81</v>
      </c>
      <c r="L549" s="61" t="s">
        <v>309</v>
      </c>
      <c r="M549" s="29" t="n">
        <f aca="false">+YEAR(F549)</f>
        <v>2026</v>
      </c>
      <c r="N549" s="62" t="n">
        <v>2026</v>
      </c>
      <c r="O549" s="63" t="n">
        <v>3</v>
      </c>
      <c r="P549" s="29" t="str">
        <f aca="false">+CONCATENATE(Tabla[[#This Row],[MES CAMPAÑA]],"/",Tabla[[#This Row],[AÑO CAMPAÑA]])</f>
        <v>3/2026</v>
      </c>
      <c r="Q549" s="60" t="s">
        <v>92</v>
      </c>
      <c r="R549" s="29"/>
      <c r="S549" s="64" t="n">
        <v>0</v>
      </c>
      <c r="T549" s="64" t="n">
        <v>386552</v>
      </c>
      <c r="U549" s="64" t="n">
        <v>73445</v>
      </c>
      <c r="V549" s="29"/>
      <c r="W549" s="24" t="n">
        <v>459997</v>
      </c>
      <c r="X549" s="36"/>
      <c r="Y549" s="37"/>
      <c r="Z549" s="37"/>
      <c r="AA549" s="37"/>
      <c r="AB549" s="38" t="n">
        <f aca="false">+W549-AC549</f>
        <v>459997</v>
      </c>
      <c r="AC549" s="34" t="n">
        <f aca="false">+Tabla[[#This Row],[P4]]+Tabla[[#This Row],[P3]]+Tabla[[#This Row],[P2]]+Tabla[[#This Row],[P1]]</f>
        <v>0</v>
      </c>
      <c r="AD549" s="34" t="n">
        <f aca="false">+W549-AC549</f>
        <v>459997</v>
      </c>
      <c r="AE549" s="21" t="str">
        <f aca="false">IF(AB549&lt;1,"PAGADA","PENDIENTE")</f>
        <v>PENDIENTE</v>
      </c>
      <c r="AF549" s="21"/>
      <c r="AG549" s="29"/>
      <c r="AH549" s="40"/>
      <c r="AI549" s="40" t="n">
        <f aca="false">+IF(Tabla[[#This Row],[FECHA PAGO / ABONO]]&lt;1,0,(MONTH(Tabla[[#This Row],[FECHA PAGO / ABONO]])))</f>
        <v>0</v>
      </c>
      <c r="AJ549" s="40" t="n">
        <f aca="false">+IF(Tabla[[#This Row],[FECHA PAGO / ABONO]]&lt;1,0,(YEAR(Tabla[[#This Row],[FECHA PAGO / ABONO]])))</f>
        <v>0</v>
      </c>
      <c r="AK549" s="41"/>
    </row>
    <row r="550" customFormat="false" ht="14.25" hidden="false" customHeight="false" outlineLevel="0" collapsed="false">
      <c r="A550" s="58" t="s">
        <v>201</v>
      </c>
      <c r="B550" s="21" t="s">
        <v>202</v>
      </c>
      <c r="C550" s="21" t="s">
        <v>69</v>
      </c>
      <c r="D550" s="21" t="n">
        <v>6776</v>
      </c>
      <c r="E550" s="43" t="str">
        <f aca="false">+CONCATENATE(Tabla[[#This Row],[RUT]],Tabla[[#This Row],[PROVEEDOR]],Tabla[[#This Row],[FACTURA]])</f>
        <v>76394590-1SERVICIOS PUBLICITARIOS PUBLIVISION LIMITADA6776</v>
      </c>
      <c r="F550" s="30" t="n">
        <v>46133</v>
      </c>
      <c r="G550" s="31" t="n">
        <f aca="false">+F550+30</f>
        <v>46163</v>
      </c>
      <c r="H550" s="29" t="n">
        <f aca="true">+IF(AE550="PAGADA",0,TODAY()-G550)</f>
        <v>41</v>
      </c>
      <c r="I550" s="29" t="str">
        <f aca="false">+IF(H550&gt;180,"Atrasada",IF(H550&gt;150,"150 dias",IF(H550&gt;120,"120 dias",IF(H550&gt;90,"90 dias",IF(H550&gt;60,"60 dias",IF(H550&gt;30,"30 dias","Al Día"))))))</f>
        <v>30 dias</v>
      </c>
      <c r="J550" s="59" t="s">
        <v>80</v>
      </c>
      <c r="K550" s="60" t="s">
        <v>81</v>
      </c>
      <c r="L550" s="61" t="s">
        <v>309</v>
      </c>
      <c r="M550" s="29" t="n">
        <f aca="false">+YEAR(F550)</f>
        <v>2026</v>
      </c>
      <c r="N550" s="62" t="n">
        <v>2026</v>
      </c>
      <c r="O550" s="63" t="n">
        <v>3</v>
      </c>
      <c r="P550" s="29" t="str">
        <f aca="false">+CONCATENATE(Tabla[[#This Row],[MES CAMPAÑA]],"/",Tabla[[#This Row],[AÑO CAMPAÑA]])</f>
        <v>3/2026</v>
      </c>
      <c r="Q550" s="60" t="s">
        <v>92</v>
      </c>
      <c r="R550" s="29"/>
      <c r="S550" s="64" t="n">
        <v>0</v>
      </c>
      <c r="T550" s="64" t="n">
        <v>386552</v>
      </c>
      <c r="U550" s="64" t="n">
        <v>73445</v>
      </c>
      <c r="V550" s="29"/>
      <c r="W550" s="24" t="n">
        <v>459997</v>
      </c>
      <c r="X550" s="36"/>
      <c r="Y550" s="37"/>
      <c r="Z550" s="37"/>
      <c r="AA550" s="37"/>
      <c r="AB550" s="38" t="n">
        <f aca="false">+W550-AC550</f>
        <v>459997</v>
      </c>
      <c r="AC550" s="34" t="n">
        <f aca="false">+Tabla[[#This Row],[P4]]+Tabla[[#This Row],[P3]]+Tabla[[#This Row],[P2]]+Tabla[[#This Row],[P1]]</f>
        <v>0</v>
      </c>
      <c r="AD550" s="34" t="n">
        <f aca="false">+W550-AC550</f>
        <v>459997</v>
      </c>
      <c r="AE550" s="21" t="str">
        <f aca="false">IF(AB550&lt;1,"PAGADA","PENDIENTE")</f>
        <v>PENDIENTE</v>
      </c>
      <c r="AF550" s="21"/>
      <c r="AG550" s="29"/>
      <c r="AH550" s="40"/>
      <c r="AI550" s="40" t="n">
        <f aca="false">+IF(Tabla[[#This Row],[FECHA PAGO / ABONO]]&lt;1,0,(MONTH(Tabla[[#This Row],[FECHA PAGO / ABONO]])))</f>
        <v>0</v>
      </c>
      <c r="AJ550" s="40" t="n">
        <f aca="false">+IF(Tabla[[#This Row],[FECHA PAGO / ABONO]]&lt;1,0,(YEAR(Tabla[[#This Row],[FECHA PAGO / ABONO]])))</f>
        <v>0</v>
      </c>
      <c r="AK550" s="41"/>
    </row>
    <row r="551" customFormat="false" ht="14.25" hidden="false" customHeight="false" outlineLevel="0" collapsed="false">
      <c r="A551" s="58" t="s">
        <v>201</v>
      </c>
      <c r="B551" s="21" t="s">
        <v>202</v>
      </c>
      <c r="C551" s="21" t="s">
        <v>69</v>
      </c>
      <c r="D551" s="21" t="n">
        <v>6777</v>
      </c>
      <c r="E551" s="43" t="str">
        <f aca="false">+CONCATENATE(Tabla[[#This Row],[RUT]],Tabla[[#This Row],[PROVEEDOR]],Tabla[[#This Row],[FACTURA]])</f>
        <v>76394590-1SERVICIOS PUBLICITARIOS PUBLIVISION LIMITADA6777</v>
      </c>
      <c r="F551" s="30" t="n">
        <v>46133</v>
      </c>
      <c r="G551" s="31" t="n">
        <f aca="false">+F551+30</f>
        <v>46163</v>
      </c>
      <c r="H551" s="29" t="n">
        <f aca="true">+IF(AE551="PAGADA",0,TODAY()-G551)</f>
        <v>41</v>
      </c>
      <c r="I551" s="29" t="str">
        <f aca="false">+IF(H551&gt;180,"Atrasada",IF(H551&gt;150,"150 dias",IF(H551&gt;120,"120 dias",IF(H551&gt;90,"90 dias",IF(H551&gt;60,"60 dias",IF(H551&gt;30,"30 dias","Al Día"))))))</f>
        <v>30 dias</v>
      </c>
      <c r="J551" s="59" t="s">
        <v>80</v>
      </c>
      <c r="K551" s="60" t="s">
        <v>81</v>
      </c>
      <c r="L551" s="61" t="s">
        <v>309</v>
      </c>
      <c r="M551" s="29" t="n">
        <f aca="false">+YEAR(F551)</f>
        <v>2026</v>
      </c>
      <c r="N551" s="62" t="n">
        <v>2026</v>
      </c>
      <c r="O551" s="63" t="n">
        <v>3</v>
      </c>
      <c r="P551" s="29" t="str">
        <f aca="false">+CONCATENATE(Tabla[[#This Row],[MES CAMPAÑA]],"/",Tabla[[#This Row],[AÑO CAMPAÑA]])</f>
        <v>3/2026</v>
      </c>
      <c r="Q551" s="60" t="s">
        <v>92</v>
      </c>
      <c r="R551" s="29"/>
      <c r="S551" s="64" t="n">
        <v>0</v>
      </c>
      <c r="T551" s="64" t="n">
        <v>212332</v>
      </c>
      <c r="U551" s="64" t="n">
        <v>40343</v>
      </c>
      <c r="V551" s="29"/>
      <c r="W551" s="24" t="n">
        <v>252675</v>
      </c>
      <c r="X551" s="36"/>
      <c r="Y551" s="37"/>
      <c r="Z551" s="37"/>
      <c r="AA551" s="37"/>
      <c r="AB551" s="38" t="n">
        <f aca="false">+W551-AC551</f>
        <v>252675</v>
      </c>
      <c r="AC551" s="34" t="n">
        <f aca="false">+Tabla[[#This Row],[P4]]+Tabla[[#This Row],[P3]]+Tabla[[#This Row],[P2]]+Tabla[[#This Row],[P1]]</f>
        <v>0</v>
      </c>
      <c r="AD551" s="34" t="n">
        <f aca="false">+W551-AC551</f>
        <v>252675</v>
      </c>
      <c r="AE551" s="21" t="str">
        <f aca="false">IF(AB551&lt;1,"PAGADA","PENDIENTE")</f>
        <v>PENDIENTE</v>
      </c>
      <c r="AF551" s="21"/>
      <c r="AG551" s="29"/>
      <c r="AH551" s="40"/>
      <c r="AI551" s="40" t="n">
        <f aca="false">+IF(Tabla[[#This Row],[FECHA PAGO / ABONO]]&lt;1,0,(MONTH(Tabla[[#This Row],[FECHA PAGO / ABONO]])))</f>
        <v>0</v>
      </c>
      <c r="AJ551" s="40" t="n">
        <f aca="false">+IF(Tabla[[#This Row],[FECHA PAGO / ABONO]]&lt;1,0,(YEAR(Tabla[[#This Row],[FECHA PAGO / ABONO]])))</f>
        <v>0</v>
      </c>
      <c r="AK551" s="41"/>
    </row>
    <row r="552" customFormat="false" ht="14.25" hidden="false" customHeight="false" outlineLevel="0" collapsed="false">
      <c r="A552" s="58" t="s">
        <v>201</v>
      </c>
      <c r="B552" s="21" t="s">
        <v>202</v>
      </c>
      <c r="C552" s="21" t="s">
        <v>69</v>
      </c>
      <c r="D552" s="21" t="n">
        <v>6778</v>
      </c>
      <c r="E552" s="43" t="str">
        <f aca="false">+CONCATENATE(Tabla[[#This Row],[RUT]],Tabla[[#This Row],[PROVEEDOR]],Tabla[[#This Row],[FACTURA]])</f>
        <v>76394590-1SERVICIOS PUBLICITARIOS PUBLIVISION LIMITADA6778</v>
      </c>
      <c r="F552" s="30" t="n">
        <v>46133</v>
      </c>
      <c r="G552" s="31" t="n">
        <f aca="false">+F552+30</f>
        <v>46163</v>
      </c>
      <c r="H552" s="29" t="n">
        <f aca="true">+IF(AE552="PAGADA",0,TODAY()-G552)</f>
        <v>41</v>
      </c>
      <c r="I552" s="29" t="str">
        <f aca="false">+IF(H552&gt;180,"Atrasada",IF(H552&gt;150,"150 dias",IF(H552&gt;120,"120 dias",IF(H552&gt;90,"90 dias",IF(H552&gt;60,"60 dias",IF(H552&gt;30,"30 dias","Al Día"))))))</f>
        <v>30 dias</v>
      </c>
      <c r="J552" s="59" t="s">
        <v>80</v>
      </c>
      <c r="K552" s="60" t="s">
        <v>81</v>
      </c>
      <c r="L552" s="61" t="s">
        <v>309</v>
      </c>
      <c r="M552" s="29" t="n">
        <f aca="false">+YEAR(F552)</f>
        <v>2026</v>
      </c>
      <c r="N552" s="62" t="n">
        <v>2026</v>
      </c>
      <c r="O552" s="63" t="n">
        <v>3</v>
      </c>
      <c r="P552" s="29" t="str">
        <f aca="false">+CONCATENATE(Tabla[[#This Row],[MES CAMPAÑA]],"/",Tabla[[#This Row],[AÑO CAMPAÑA]])</f>
        <v>3/2026</v>
      </c>
      <c r="Q552" s="60" t="s">
        <v>92</v>
      </c>
      <c r="R552" s="29"/>
      <c r="S552" s="64" t="n">
        <v>0</v>
      </c>
      <c r="T552" s="64" t="n">
        <v>212332</v>
      </c>
      <c r="U552" s="64" t="n">
        <v>40343</v>
      </c>
      <c r="V552" s="29"/>
      <c r="W552" s="24" t="n">
        <v>252675</v>
      </c>
      <c r="X552" s="36"/>
      <c r="Y552" s="37"/>
      <c r="Z552" s="37"/>
      <c r="AA552" s="37"/>
      <c r="AB552" s="38" t="n">
        <f aca="false">+W552-AC552</f>
        <v>252675</v>
      </c>
      <c r="AC552" s="34" t="n">
        <f aca="false">+Tabla[[#This Row],[P4]]+Tabla[[#This Row],[P3]]+Tabla[[#This Row],[P2]]+Tabla[[#This Row],[P1]]</f>
        <v>0</v>
      </c>
      <c r="AD552" s="34" t="n">
        <f aca="false">+W552-AC552</f>
        <v>252675</v>
      </c>
      <c r="AE552" s="21" t="str">
        <f aca="false">IF(AB552&lt;1,"PAGADA","PENDIENTE")</f>
        <v>PENDIENTE</v>
      </c>
      <c r="AF552" s="21"/>
      <c r="AG552" s="29"/>
      <c r="AH552" s="40"/>
      <c r="AI552" s="40" t="n">
        <f aca="false">+IF(Tabla[[#This Row],[FECHA PAGO / ABONO]]&lt;1,0,(MONTH(Tabla[[#This Row],[FECHA PAGO / ABONO]])))</f>
        <v>0</v>
      </c>
      <c r="AJ552" s="40" t="n">
        <f aca="false">+IF(Tabla[[#This Row],[FECHA PAGO / ABONO]]&lt;1,0,(YEAR(Tabla[[#This Row],[FECHA PAGO / ABONO]])))</f>
        <v>0</v>
      </c>
      <c r="AK552" s="41"/>
    </row>
    <row r="553" customFormat="false" ht="14.25" hidden="false" customHeight="false" outlineLevel="0" collapsed="false">
      <c r="A553" s="58" t="s">
        <v>201</v>
      </c>
      <c r="B553" s="21" t="s">
        <v>202</v>
      </c>
      <c r="C553" s="21" t="s">
        <v>69</v>
      </c>
      <c r="D553" s="21" t="n">
        <v>6779</v>
      </c>
      <c r="E553" s="43" t="str">
        <f aca="false">+CONCATENATE(Tabla[[#This Row],[RUT]],Tabla[[#This Row],[PROVEEDOR]],Tabla[[#This Row],[FACTURA]])</f>
        <v>76394590-1SERVICIOS PUBLICITARIOS PUBLIVISION LIMITADA6779</v>
      </c>
      <c r="F553" s="30" t="n">
        <v>46133</v>
      </c>
      <c r="G553" s="31" t="n">
        <f aca="false">+F553+30</f>
        <v>46163</v>
      </c>
      <c r="H553" s="29" t="n">
        <f aca="true">+IF(AE553="PAGADA",0,TODAY()-G553)</f>
        <v>41</v>
      </c>
      <c r="I553" s="29" t="str">
        <f aca="false">+IF(H553&gt;180,"Atrasada",IF(H553&gt;150,"150 dias",IF(H553&gt;120,"120 dias",IF(H553&gt;90,"90 dias",IF(H553&gt;60,"60 dias",IF(H553&gt;30,"30 dias","Al Día"))))))</f>
        <v>30 dias</v>
      </c>
      <c r="J553" s="59" t="s">
        <v>80</v>
      </c>
      <c r="K553" s="60" t="s">
        <v>81</v>
      </c>
      <c r="L553" s="61" t="s">
        <v>309</v>
      </c>
      <c r="M553" s="29" t="n">
        <f aca="false">+YEAR(F553)</f>
        <v>2026</v>
      </c>
      <c r="N553" s="62" t="n">
        <v>2026</v>
      </c>
      <c r="O553" s="63" t="n">
        <v>3</v>
      </c>
      <c r="P553" s="29" t="str">
        <f aca="false">+CONCATENATE(Tabla[[#This Row],[MES CAMPAÑA]],"/",Tabla[[#This Row],[AÑO CAMPAÑA]])</f>
        <v>3/2026</v>
      </c>
      <c r="Q553" s="60" t="s">
        <v>92</v>
      </c>
      <c r="R553" s="29"/>
      <c r="S553" s="64" t="n">
        <v>0</v>
      </c>
      <c r="T553" s="64" t="n">
        <v>386552</v>
      </c>
      <c r="U553" s="64" t="n">
        <v>73445</v>
      </c>
      <c r="V553" s="29"/>
      <c r="W553" s="24" t="n">
        <v>459997</v>
      </c>
      <c r="X553" s="36"/>
      <c r="Y553" s="37"/>
      <c r="Z553" s="37"/>
      <c r="AA553" s="37"/>
      <c r="AB553" s="38" t="n">
        <f aca="false">+W553-AC553</f>
        <v>459997</v>
      </c>
      <c r="AC553" s="34" t="n">
        <f aca="false">+Tabla[[#This Row],[P4]]+Tabla[[#This Row],[P3]]+Tabla[[#This Row],[P2]]+Tabla[[#This Row],[P1]]</f>
        <v>0</v>
      </c>
      <c r="AD553" s="34" t="n">
        <f aca="false">+W553-AC553</f>
        <v>459997</v>
      </c>
      <c r="AE553" s="21" t="str">
        <f aca="false">IF(AB553&lt;1,"PAGADA","PENDIENTE")</f>
        <v>PENDIENTE</v>
      </c>
      <c r="AF553" s="21"/>
      <c r="AG553" s="29"/>
      <c r="AH553" s="40"/>
      <c r="AI553" s="40" t="n">
        <f aca="false">+IF(Tabla[[#This Row],[FECHA PAGO / ABONO]]&lt;1,0,(MONTH(Tabla[[#This Row],[FECHA PAGO / ABONO]])))</f>
        <v>0</v>
      </c>
      <c r="AJ553" s="40" t="n">
        <f aca="false">+IF(Tabla[[#This Row],[FECHA PAGO / ABONO]]&lt;1,0,(YEAR(Tabla[[#This Row],[FECHA PAGO / ABONO]])))</f>
        <v>0</v>
      </c>
      <c r="AK553" s="41"/>
    </row>
    <row r="554" customFormat="false" ht="14.25" hidden="false" customHeight="false" outlineLevel="0" collapsed="false">
      <c r="A554" s="58" t="s">
        <v>313</v>
      </c>
      <c r="B554" s="21" t="s">
        <v>314</v>
      </c>
      <c r="C554" s="21" t="s">
        <v>69</v>
      </c>
      <c r="D554" s="21" t="n">
        <v>645</v>
      </c>
      <c r="E554" s="43" t="str">
        <f aca="false">+CONCATENATE(Tabla[[#This Row],[RUT]],Tabla[[#This Row],[PROVEEDOR]],Tabla[[#This Row],[FACTURA]])</f>
        <v>76857696-3POWER ID DIGITAL SPA645</v>
      </c>
      <c r="F554" s="30" t="n">
        <v>46133</v>
      </c>
      <c r="G554" s="31" t="n">
        <f aca="false">+F554+30</f>
        <v>46163</v>
      </c>
      <c r="H554" s="29" t="n">
        <f aca="true">+IF(AE554="PAGADA",0,TODAY()-G554)</f>
        <v>41</v>
      </c>
      <c r="I554" s="29" t="str">
        <f aca="false">+IF(H554&gt;180,"Atrasada",IF(H554&gt;150,"150 dias",IF(H554&gt;120,"120 dias",IF(H554&gt;90,"90 dias",IF(H554&gt;60,"60 dias",IF(H554&gt;30,"30 dias","Al Día"))))))</f>
        <v>30 dias</v>
      </c>
      <c r="J554" s="59" t="s">
        <v>80</v>
      </c>
      <c r="K554" s="60" t="s">
        <v>81</v>
      </c>
      <c r="L554" s="61" t="s">
        <v>309</v>
      </c>
      <c r="M554" s="29" t="n">
        <f aca="false">+YEAR(F554)</f>
        <v>2026</v>
      </c>
      <c r="N554" s="62" t="n">
        <v>2026</v>
      </c>
      <c r="O554" s="63" t="n">
        <v>3</v>
      </c>
      <c r="P554" s="29" t="str">
        <f aca="false">+CONCATENATE(Tabla[[#This Row],[MES CAMPAÑA]],"/",Tabla[[#This Row],[AÑO CAMPAÑA]])</f>
        <v>3/2026</v>
      </c>
      <c r="Q554" s="60" t="s">
        <v>105</v>
      </c>
      <c r="R554" s="29"/>
      <c r="S554" s="64" t="n">
        <v>0</v>
      </c>
      <c r="T554" s="64" t="n">
        <v>2062500</v>
      </c>
      <c r="U554" s="64" t="n">
        <v>391875</v>
      </c>
      <c r="V554" s="29"/>
      <c r="W554" s="24" t="n">
        <v>2454375</v>
      </c>
      <c r="X554" s="36"/>
      <c r="Y554" s="37"/>
      <c r="Z554" s="37"/>
      <c r="AA554" s="37"/>
      <c r="AB554" s="38" t="n">
        <f aca="false">+W554-AC554</f>
        <v>2454375</v>
      </c>
      <c r="AC554" s="34" t="n">
        <f aca="false">+Tabla[[#This Row],[P4]]+Tabla[[#This Row],[P3]]+Tabla[[#This Row],[P2]]+Tabla[[#This Row],[P1]]</f>
        <v>0</v>
      </c>
      <c r="AD554" s="34" t="n">
        <f aca="false">+W554-AC554</f>
        <v>2454375</v>
      </c>
      <c r="AE554" s="21" t="str">
        <f aca="false">IF(AB554&lt;1,"PAGADA","PENDIENTE")</f>
        <v>PENDIENTE</v>
      </c>
      <c r="AF554" s="21"/>
      <c r="AG554" s="29"/>
      <c r="AH554" s="40"/>
      <c r="AI554" s="40" t="n">
        <f aca="false">+IF(Tabla[[#This Row],[FECHA PAGO / ABONO]]&lt;1,0,(MONTH(Tabla[[#This Row],[FECHA PAGO / ABONO]])))</f>
        <v>0</v>
      </c>
      <c r="AJ554" s="40" t="n">
        <f aca="false">+IF(Tabla[[#This Row],[FECHA PAGO / ABONO]]&lt;1,0,(YEAR(Tabla[[#This Row],[FECHA PAGO / ABONO]])))</f>
        <v>0</v>
      </c>
      <c r="AK554" s="41"/>
    </row>
    <row r="555" customFormat="false" ht="14.25" hidden="false" customHeight="false" outlineLevel="0" collapsed="false">
      <c r="A555" s="58" t="s">
        <v>78</v>
      </c>
      <c r="B555" s="21" t="s">
        <v>79</v>
      </c>
      <c r="C555" s="21" t="s">
        <v>69</v>
      </c>
      <c r="D555" s="21" t="n">
        <v>109783</v>
      </c>
      <c r="E555" s="43" t="str">
        <f aca="false">+CONCATENATE(Tabla[[#This Row],[RUT]],Tabla[[#This Row],[PROVEEDOR]],Tabla[[#This Row],[FACTURA]])</f>
        <v>96516560-6BIO BIO COMUNICACIONES S.A.109783</v>
      </c>
      <c r="F555" s="30" t="n">
        <v>46133</v>
      </c>
      <c r="G555" s="31" t="n">
        <f aca="false">+F555+30</f>
        <v>46163</v>
      </c>
      <c r="H555" s="29" t="n">
        <f aca="true">+IF(AE555="PAGADA",0,TODAY()-G555)</f>
        <v>41</v>
      </c>
      <c r="I555" s="29" t="str">
        <f aca="false">+IF(H555&gt;180,"Atrasada",IF(H555&gt;150,"150 dias",IF(H555&gt;120,"120 dias",IF(H555&gt;90,"90 dias",IF(H555&gt;60,"60 dias",IF(H555&gt;30,"30 dias","Al Día"))))))</f>
        <v>30 dias</v>
      </c>
      <c r="J555" s="59" t="s">
        <v>80</v>
      </c>
      <c r="K555" s="60" t="s">
        <v>81</v>
      </c>
      <c r="L555" s="61" t="s">
        <v>309</v>
      </c>
      <c r="M555" s="29" t="n">
        <f aca="false">+YEAR(F555)</f>
        <v>2026</v>
      </c>
      <c r="N555" s="62" t="n">
        <v>2026</v>
      </c>
      <c r="O555" s="63" t="n">
        <v>3</v>
      </c>
      <c r="P555" s="29" t="str">
        <f aca="false">+CONCATENATE(Tabla[[#This Row],[MES CAMPAÑA]],"/",Tabla[[#This Row],[AÑO CAMPAÑA]])</f>
        <v>3/2026</v>
      </c>
      <c r="Q555" s="60" t="s">
        <v>105</v>
      </c>
      <c r="R555" s="29"/>
      <c r="S555" s="64" t="n">
        <v>0</v>
      </c>
      <c r="T555" s="64" t="n">
        <v>5580000</v>
      </c>
      <c r="U555" s="64" t="n">
        <v>1060200</v>
      </c>
      <c r="V555" s="29"/>
      <c r="W555" s="24" t="n">
        <v>6640200</v>
      </c>
      <c r="X555" s="36"/>
      <c r="Y555" s="37"/>
      <c r="Z555" s="37"/>
      <c r="AA555" s="37"/>
      <c r="AB555" s="38" t="n">
        <f aca="false">+W555-AC555</f>
        <v>6640200</v>
      </c>
      <c r="AC555" s="34" t="n">
        <f aca="false">+Tabla[[#This Row],[P4]]+Tabla[[#This Row],[P3]]+Tabla[[#This Row],[P2]]+Tabla[[#This Row],[P1]]</f>
        <v>0</v>
      </c>
      <c r="AD555" s="34" t="n">
        <f aca="false">+W555-AC555</f>
        <v>6640200</v>
      </c>
      <c r="AE555" s="21" t="str">
        <f aca="false">IF(AB555&lt;1,"PAGADA","PENDIENTE")</f>
        <v>PENDIENTE</v>
      </c>
      <c r="AF555" s="21"/>
      <c r="AG555" s="29"/>
      <c r="AH555" s="40"/>
      <c r="AI555" s="40" t="n">
        <f aca="false">+IF(Tabla[[#This Row],[FECHA PAGO / ABONO]]&lt;1,0,(MONTH(Tabla[[#This Row],[FECHA PAGO / ABONO]])))</f>
        <v>0</v>
      </c>
      <c r="AJ555" s="40" t="n">
        <f aca="false">+IF(Tabla[[#This Row],[FECHA PAGO / ABONO]]&lt;1,0,(YEAR(Tabla[[#This Row],[FECHA PAGO / ABONO]])))</f>
        <v>0</v>
      </c>
      <c r="AK555" s="41"/>
    </row>
    <row r="556" customFormat="false" ht="14.25" hidden="false" customHeight="false" outlineLevel="0" collapsed="false">
      <c r="A556" s="58" t="s">
        <v>78</v>
      </c>
      <c r="B556" s="21" t="s">
        <v>79</v>
      </c>
      <c r="C556" s="21" t="s">
        <v>69</v>
      </c>
      <c r="D556" s="21" t="n">
        <v>109786</v>
      </c>
      <c r="E556" s="43" t="str">
        <f aca="false">+CONCATENATE(Tabla[[#This Row],[RUT]],Tabla[[#This Row],[PROVEEDOR]],Tabla[[#This Row],[FACTURA]])</f>
        <v>96516560-6BIO BIO COMUNICACIONES S.A.109786</v>
      </c>
      <c r="F556" s="30" t="n">
        <v>46133</v>
      </c>
      <c r="G556" s="31" t="n">
        <f aca="false">+F556+30</f>
        <v>46163</v>
      </c>
      <c r="H556" s="29" t="n">
        <f aca="true">+IF(AE556="PAGADA",0,TODAY()-G556)</f>
        <v>41</v>
      </c>
      <c r="I556" s="29" t="str">
        <f aca="false">+IF(H556&gt;180,"Atrasada",IF(H556&gt;150,"150 dias",IF(H556&gt;120,"120 dias",IF(H556&gt;90,"90 dias",IF(H556&gt;60,"60 dias",IF(H556&gt;30,"30 dias","Al Día"))))))</f>
        <v>30 dias</v>
      </c>
      <c r="J556" s="59" t="s">
        <v>80</v>
      </c>
      <c r="K556" s="60" t="s">
        <v>81</v>
      </c>
      <c r="L556" s="61" t="s">
        <v>309</v>
      </c>
      <c r="M556" s="29" t="n">
        <f aca="false">+YEAR(F556)</f>
        <v>2026</v>
      </c>
      <c r="N556" s="62" t="n">
        <v>2026</v>
      </c>
      <c r="O556" s="63" t="n">
        <v>3</v>
      </c>
      <c r="P556" s="29" t="str">
        <f aca="false">+CONCATENATE(Tabla[[#This Row],[MES CAMPAÑA]],"/",Tabla[[#This Row],[AÑO CAMPAÑA]])</f>
        <v>3/2026</v>
      </c>
      <c r="Q556" s="60" t="s">
        <v>265</v>
      </c>
      <c r="R556" s="29"/>
      <c r="S556" s="64" t="n">
        <v>0</v>
      </c>
      <c r="T556" s="64" t="n">
        <v>264600</v>
      </c>
      <c r="U556" s="64" t="n">
        <v>50274</v>
      </c>
      <c r="V556" s="29"/>
      <c r="W556" s="24" t="n">
        <v>314874</v>
      </c>
      <c r="X556" s="36"/>
      <c r="Y556" s="37"/>
      <c r="Z556" s="37"/>
      <c r="AA556" s="37"/>
      <c r="AB556" s="38" t="n">
        <f aca="false">+W556-AC556</f>
        <v>314874</v>
      </c>
      <c r="AC556" s="34" t="n">
        <f aca="false">+Tabla[[#This Row],[P4]]+Tabla[[#This Row],[P3]]+Tabla[[#This Row],[P2]]+Tabla[[#This Row],[P1]]</f>
        <v>0</v>
      </c>
      <c r="AD556" s="34" t="n">
        <f aca="false">+W556-AC556</f>
        <v>314874</v>
      </c>
      <c r="AE556" s="21" t="str">
        <f aca="false">IF(AB556&lt;1,"PAGADA","PENDIENTE")</f>
        <v>PENDIENTE</v>
      </c>
      <c r="AF556" s="21"/>
      <c r="AG556" s="29"/>
      <c r="AH556" s="40"/>
      <c r="AI556" s="40" t="n">
        <f aca="false">+IF(Tabla[[#This Row],[FECHA PAGO / ABONO]]&lt;1,0,(MONTH(Tabla[[#This Row],[FECHA PAGO / ABONO]])))</f>
        <v>0</v>
      </c>
      <c r="AJ556" s="40" t="n">
        <f aca="false">+IF(Tabla[[#This Row],[FECHA PAGO / ABONO]]&lt;1,0,(YEAR(Tabla[[#This Row],[FECHA PAGO / ABONO]])))</f>
        <v>0</v>
      </c>
      <c r="AK556" s="41"/>
    </row>
    <row r="557" customFormat="false" ht="14.25" hidden="false" customHeight="false" outlineLevel="0" collapsed="false">
      <c r="A557" s="58" t="s">
        <v>78</v>
      </c>
      <c r="B557" s="21" t="s">
        <v>79</v>
      </c>
      <c r="C557" s="21" t="s">
        <v>69</v>
      </c>
      <c r="D557" s="21" t="n">
        <v>109787</v>
      </c>
      <c r="E557" s="43" t="str">
        <f aca="false">+CONCATENATE(Tabla[[#This Row],[RUT]],Tabla[[#This Row],[PROVEEDOR]],Tabla[[#This Row],[FACTURA]])</f>
        <v>96516560-6BIO BIO COMUNICACIONES S.A.109787</v>
      </c>
      <c r="F557" s="30" t="n">
        <v>46133</v>
      </c>
      <c r="G557" s="31" t="n">
        <f aca="false">+F557+30</f>
        <v>46163</v>
      </c>
      <c r="H557" s="29" t="n">
        <f aca="true">+IF(AE557="PAGADA",0,TODAY()-G557)</f>
        <v>41</v>
      </c>
      <c r="I557" s="29" t="str">
        <f aca="false">+IF(H557&gt;180,"Atrasada",IF(H557&gt;150,"150 dias",IF(H557&gt;120,"120 dias",IF(H557&gt;90,"90 dias",IF(H557&gt;60,"60 dias",IF(H557&gt;30,"30 dias","Al Día"))))))</f>
        <v>30 dias</v>
      </c>
      <c r="J557" s="59" t="s">
        <v>80</v>
      </c>
      <c r="K557" s="60" t="s">
        <v>81</v>
      </c>
      <c r="L557" s="61" t="s">
        <v>309</v>
      </c>
      <c r="M557" s="29" t="n">
        <f aca="false">+YEAR(F557)</f>
        <v>2026</v>
      </c>
      <c r="N557" s="62" t="n">
        <v>2026</v>
      </c>
      <c r="O557" s="63" t="n">
        <v>3</v>
      </c>
      <c r="P557" s="29" t="str">
        <f aca="false">+CONCATENATE(Tabla[[#This Row],[MES CAMPAÑA]],"/",Tabla[[#This Row],[AÑO CAMPAÑA]])</f>
        <v>3/2026</v>
      </c>
      <c r="Q557" s="60" t="s">
        <v>265</v>
      </c>
      <c r="R557" s="29"/>
      <c r="S557" s="64" t="n">
        <v>0</v>
      </c>
      <c r="T557" s="64" t="n">
        <v>543200</v>
      </c>
      <c r="U557" s="64" t="n">
        <v>103208</v>
      </c>
      <c r="V557" s="29"/>
      <c r="W557" s="24" t="n">
        <v>646408</v>
      </c>
      <c r="X557" s="36"/>
      <c r="Y557" s="37"/>
      <c r="Z557" s="37"/>
      <c r="AA557" s="37"/>
      <c r="AB557" s="38" t="n">
        <f aca="false">+W557-AC557</f>
        <v>646408</v>
      </c>
      <c r="AC557" s="34" t="n">
        <f aca="false">+Tabla[[#This Row],[P4]]+Tabla[[#This Row],[P3]]+Tabla[[#This Row],[P2]]+Tabla[[#This Row],[P1]]</f>
        <v>0</v>
      </c>
      <c r="AD557" s="34" t="n">
        <f aca="false">+W557-AC557</f>
        <v>646408</v>
      </c>
      <c r="AE557" s="21" t="str">
        <f aca="false">IF(AB557&lt;1,"PAGADA","PENDIENTE")</f>
        <v>PENDIENTE</v>
      </c>
      <c r="AF557" s="21"/>
      <c r="AG557" s="29"/>
      <c r="AH557" s="40"/>
      <c r="AI557" s="40" t="n">
        <f aca="false">+IF(Tabla[[#This Row],[FECHA PAGO / ABONO]]&lt;1,0,(MONTH(Tabla[[#This Row],[FECHA PAGO / ABONO]])))</f>
        <v>0</v>
      </c>
      <c r="AJ557" s="40" t="n">
        <f aca="false">+IF(Tabla[[#This Row],[FECHA PAGO / ABONO]]&lt;1,0,(YEAR(Tabla[[#This Row],[FECHA PAGO / ABONO]])))</f>
        <v>0</v>
      </c>
      <c r="AK557" s="41"/>
    </row>
    <row r="558" customFormat="false" ht="14.25" hidden="false" customHeight="false" outlineLevel="0" collapsed="false">
      <c r="A558" s="58" t="s">
        <v>78</v>
      </c>
      <c r="B558" s="21" t="s">
        <v>79</v>
      </c>
      <c r="C558" s="21" t="s">
        <v>69</v>
      </c>
      <c r="D558" s="21" t="n">
        <v>109788</v>
      </c>
      <c r="E558" s="43" t="str">
        <f aca="false">+CONCATENATE(Tabla[[#This Row],[RUT]],Tabla[[#This Row],[PROVEEDOR]],Tabla[[#This Row],[FACTURA]])</f>
        <v>96516560-6BIO BIO COMUNICACIONES S.A.109788</v>
      </c>
      <c r="F558" s="30" t="n">
        <v>46133</v>
      </c>
      <c r="G558" s="31" t="n">
        <f aca="false">+F558+30</f>
        <v>46163</v>
      </c>
      <c r="H558" s="29" t="n">
        <f aca="true">+IF(AE558="PAGADA",0,TODAY()-G558)</f>
        <v>41</v>
      </c>
      <c r="I558" s="29" t="str">
        <f aca="false">+IF(H558&gt;180,"Atrasada",IF(H558&gt;150,"150 dias",IF(H558&gt;120,"120 dias",IF(H558&gt;90,"90 dias",IF(H558&gt;60,"60 dias",IF(H558&gt;30,"30 dias","Al Día"))))))</f>
        <v>30 dias</v>
      </c>
      <c r="J558" s="59" t="s">
        <v>80</v>
      </c>
      <c r="K558" s="60" t="s">
        <v>81</v>
      </c>
      <c r="L558" s="61" t="s">
        <v>309</v>
      </c>
      <c r="M558" s="29" t="n">
        <f aca="false">+YEAR(F558)</f>
        <v>2026</v>
      </c>
      <c r="N558" s="62" t="n">
        <v>2026</v>
      </c>
      <c r="O558" s="63" t="n">
        <v>3</v>
      </c>
      <c r="P558" s="29" t="str">
        <f aca="false">+CONCATENATE(Tabla[[#This Row],[MES CAMPAÑA]],"/",Tabla[[#This Row],[AÑO CAMPAÑA]])</f>
        <v>3/2026</v>
      </c>
      <c r="Q558" s="60" t="s">
        <v>265</v>
      </c>
      <c r="R558" s="29"/>
      <c r="S558" s="64" t="n">
        <v>0</v>
      </c>
      <c r="T558" s="64" t="n">
        <v>224924</v>
      </c>
      <c r="U558" s="64" t="n">
        <v>42736</v>
      </c>
      <c r="V558" s="29"/>
      <c r="W558" s="24" t="n">
        <v>267660</v>
      </c>
      <c r="X558" s="36"/>
      <c r="Y558" s="37"/>
      <c r="Z558" s="37"/>
      <c r="AA558" s="37"/>
      <c r="AB558" s="38" t="n">
        <f aca="false">+W558-AC558</f>
        <v>267660</v>
      </c>
      <c r="AC558" s="34" t="n">
        <f aca="false">+Tabla[[#This Row],[P4]]+Tabla[[#This Row],[P3]]+Tabla[[#This Row],[P2]]+Tabla[[#This Row],[P1]]</f>
        <v>0</v>
      </c>
      <c r="AD558" s="34" t="n">
        <f aca="false">+W558-AC558</f>
        <v>267660</v>
      </c>
      <c r="AE558" s="21" t="str">
        <f aca="false">IF(AB558&lt;1,"PAGADA","PENDIENTE")</f>
        <v>PENDIENTE</v>
      </c>
      <c r="AF558" s="21"/>
      <c r="AG558" s="29"/>
      <c r="AH558" s="40"/>
      <c r="AI558" s="40" t="n">
        <f aca="false">+IF(Tabla[[#This Row],[FECHA PAGO / ABONO]]&lt;1,0,(MONTH(Tabla[[#This Row],[FECHA PAGO / ABONO]])))</f>
        <v>0</v>
      </c>
      <c r="AJ558" s="40" t="n">
        <f aca="false">+IF(Tabla[[#This Row],[FECHA PAGO / ABONO]]&lt;1,0,(YEAR(Tabla[[#This Row],[FECHA PAGO / ABONO]])))</f>
        <v>0</v>
      </c>
      <c r="AK558" s="41"/>
    </row>
    <row r="559" customFormat="false" ht="14.25" hidden="false" customHeight="false" outlineLevel="0" collapsed="false">
      <c r="A559" s="58" t="s">
        <v>78</v>
      </c>
      <c r="B559" s="21" t="s">
        <v>79</v>
      </c>
      <c r="C559" s="21" t="s">
        <v>69</v>
      </c>
      <c r="D559" s="21" t="n">
        <v>109789</v>
      </c>
      <c r="E559" s="43" t="str">
        <f aca="false">+CONCATENATE(Tabla[[#This Row],[RUT]],Tabla[[#This Row],[PROVEEDOR]],Tabla[[#This Row],[FACTURA]])</f>
        <v>96516560-6BIO BIO COMUNICACIONES S.A.109789</v>
      </c>
      <c r="F559" s="30" t="n">
        <v>46133</v>
      </c>
      <c r="G559" s="31" t="n">
        <f aca="false">+F559+30</f>
        <v>46163</v>
      </c>
      <c r="H559" s="29" t="n">
        <f aca="true">+IF(AE559="PAGADA",0,TODAY()-G559)</f>
        <v>41</v>
      </c>
      <c r="I559" s="29" t="str">
        <f aca="false">+IF(H559&gt;180,"Atrasada",IF(H559&gt;150,"150 dias",IF(H559&gt;120,"120 dias",IF(H559&gt;90,"90 dias",IF(H559&gt;60,"60 dias",IF(H559&gt;30,"30 dias","Al Día"))))))</f>
        <v>30 dias</v>
      </c>
      <c r="J559" s="59" t="s">
        <v>80</v>
      </c>
      <c r="K559" s="60" t="s">
        <v>81</v>
      </c>
      <c r="L559" s="61" t="s">
        <v>309</v>
      </c>
      <c r="M559" s="29" t="n">
        <f aca="false">+YEAR(F559)</f>
        <v>2026</v>
      </c>
      <c r="N559" s="62" t="n">
        <v>2026</v>
      </c>
      <c r="O559" s="63" t="n">
        <v>3</v>
      </c>
      <c r="P559" s="29" t="str">
        <f aca="false">+CONCATENATE(Tabla[[#This Row],[MES CAMPAÑA]],"/",Tabla[[#This Row],[AÑO CAMPAÑA]])</f>
        <v>3/2026</v>
      </c>
      <c r="Q559" s="60" t="s">
        <v>265</v>
      </c>
      <c r="R559" s="29"/>
      <c r="S559" s="64" t="n">
        <v>0</v>
      </c>
      <c r="T559" s="64" t="n">
        <v>418068</v>
      </c>
      <c r="U559" s="64" t="n">
        <v>79433</v>
      </c>
      <c r="V559" s="29"/>
      <c r="W559" s="24" t="n">
        <v>497501</v>
      </c>
      <c r="X559" s="36"/>
      <c r="Y559" s="37"/>
      <c r="Z559" s="37"/>
      <c r="AA559" s="37"/>
      <c r="AB559" s="38" t="n">
        <f aca="false">+W559-AC559</f>
        <v>497501</v>
      </c>
      <c r="AC559" s="34" t="n">
        <f aca="false">+Tabla[[#This Row],[P4]]+Tabla[[#This Row],[P3]]+Tabla[[#This Row],[P2]]+Tabla[[#This Row],[P1]]</f>
        <v>0</v>
      </c>
      <c r="AD559" s="34" t="n">
        <f aca="false">+W559-AC559</f>
        <v>497501</v>
      </c>
      <c r="AE559" s="21" t="str">
        <f aca="false">IF(AB559&lt;1,"PAGADA","PENDIENTE")</f>
        <v>PENDIENTE</v>
      </c>
      <c r="AF559" s="21"/>
      <c r="AG559" s="29"/>
      <c r="AH559" s="40"/>
      <c r="AI559" s="40" t="n">
        <f aca="false">+IF(Tabla[[#This Row],[FECHA PAGO / ABONO]]&lt;1,0,(MONTH(Tabla[[#This Row],[FECHA PAGO / ABONO]])))</f>
        <v>0</v>
      </c>
      <c r="AJ559" s="40" t="n">
        <f aca="false">+IF(Tabla[[#This Row],[FECHA PAGO / ABONO]]&lt;1,0,(YEAR(Tabla[[#This Row],[FECHA PAGO / ABONO]])))</f>
        <v>0</v>
      </c>
      <c r="AK559" s="41"/>
    </row>
    <row r="560" customFormat="false" ht="14.25" hidden="false" customHeight="false" outlineLevel="0" collapsed="false">
      <c r="A560" s="58" t="s">
        <v>78</v>
      </c>
      <c r="B560" s="21" t="s">
        <v>79</v>
      </c>
      <c r="C560" s="21" t="s">
        <v>69</v>
      </c>
      <c r="D560" s="21" t="n">
        <v>109790</v>
      </c>
      <c r="E560" s="43" t="str">
        <f aca="false">+CONCATENATE(Tabla[[#This Row],[RUT]],Tabla[[#This Row],[PROVEEDOR]],Tabla[[#This Row],[FACTURA]])</f>
        <v>96516560-6BIO BIO COMUNICACIONES S.A.109790</v>
      </c>
      <c r="F560" s="30" t="n">
        <v>46133</v>
      </c>
      <c r="G560" s="31" t="n">
        <f aca="false">+F560+30</f>
        <v>46163</v>
      </c>
      <c r="H560" s="29" t="n">
        <f aca="true">+IF(AE560="PAGADA",0,TODAY()-G560)</f>
        <v>41</v>
      </c>
      <c r="I560" s="29" t="str">
        <f aca="false">+IF(H560&gt;180,"Atrasada",IF(H560&gt;150,"150 dias",IF(H560&gt;120,"120 dias",IF(H560&gt;90,"90 dias",IF(H560&gt;60,"60 dias",IF(H560&gt;30,"30 dias","Al Día"))))))</f>
        <v>30 dias</v>
      </c>
      <c r="J560" s="59" t="s">
        <v>80</v>
      </c>
      <c r="K560" s="60" t="s">
        <v>81</v>
      </c>
      <c r="L560" s="61" t="s">
        <v>309</v>
      </c>
      <c r="M560" s="29" t="n">
        <f aca="false">+YEAR(F560)</f>
        <v>2026</v>
      </c>
      <c r="N560" s="62" t="n">
        <v>2026</v>
      </c>
      <c r="O560" s="63" t="n">
        <v>3</v>
      </c>
      <c r="P560" s="29" t="str">
        <f aca="false">+CONCATENATE(Tabla[[#This Row],[MES CAMPAÑA]],"/",Tabla[[#This Row],[AÑO CAMPAÑA]])</f>
        <v>3/2026</v>
      </c>
      <c r="Q560" s="60" t="s">
        <v>296</v>
      </c>
      <c r="R560" s="29"/>
      <c r="S560" s="64" t="n">
        <v>0</v>
      </c>
      <c r="T560" s="64" t="n">
        <v>1600830</v>
      </c>
      <c r="U560" s="64" t="n">
        <v>304158</v>
      </c>
      <c r="V560" s="29"/>
      <c r="W560" s="24" t="n">
        <v>1904988</v>
      </c>
      <c r="X560" s="36"/>
      <c r="Y560" s="37"/>
      <c r="Z560" s="37"/>
      <c r="AA560" s="37"/>
      <c r="AB560" s="38" t="n">
        <f aca="false">+W560-AC560</f>
        <v>1904988</v>
      </c>
      <c r="AC560" s="34" t="n">
        <f aca="false">+Tabla[[#This Row],[P4]]+Tabla[[#This Row],[P3]]+Tabla[[#This Row],[P2]]+Tabla[[#This Row],[P1]]</f>
        <v>0</v>
      </c>
      <c r="AD560" s="34" t="n">
        <f aca="false">+W560-AC560</f>
        <v>1904988</v>
      </c>
      <c r="AE560" s="21" t="str">
        <f aca="false">IF(AB560&lt;1,"PAGADA","PENDIENTE")</f>
        <v>PENDIENTE</v>
      </c>
      <c r="AF560" s="21"/>
      <c r="AG560" s="29"/>
      <c r="AH560" s="40"/>
      <c r="AI560" s="40" t="n">
        <f aca="false">+IF(Tabla[[#This Row],[FECHA PAGO / ABONO]]&lt;1,0,(MONTH(Tabla[[#This Row],[FECHA PAGO / ABONO]])))</f>
        <v>0</v>
      </c>
      <c r="AJ560" s="40" t="n">
        <f aca="false">+IF(Tabla[[#This Row],[FECHA PAGO / ABONO]]&lt;1,0,(YEAR(Tabla[[#This Row],[FECHA PAGO / ABONO]])))</f>
        <v>0</v>
      </c>
      <c r="AK560" s="41"/>
    </row>
    <row r="561" customFormat="false" ht="14.25" hidden="false" customHeight="false" outlineLevel="0" collapsed="false">
      <c r="A561" s="58" t="s">
        <v>219</v>
      </c>
      <c r="B561" s="21" t="s">
        <v>220</v>
      </c>
      <c r="C561" s="21" t="s">
        <v>69</v>
      </c>
      <c r="D561" s="21" t="n">
        <v>119142</v>
      </c>
      <c r="E561" s="43" t="str">
        <f aca="false">+CONCATENATE(Tabla[[#This Row],[RUT]],Tabla[[#This Row],[PROVEEDOR]],Tabla[[#This Row],[FACTURA]])</f>
        <v>76115132-0CANAL 13 SpA.119142</v>
      </c>
      <c r="F561" s="30" t="n">
        <v>46133</v>
      </c>
      <c r="G561" s="31" t="n">
        <f aca="false">+F561+30</f>
        <v>46163</v>
      </c>
      <c r="H561" s="29" t="n">
        <f aca="true">+IF(AE561="PAGADA",0,TODAY()-G561)</f>
        <v>41</v>
      </c>
      <c r="I561" s="29" t="str">
        <f aca="false">+IF(H561&gt;180,"Atrasada",IF(H561&gt;150,"150 dias",IF(H561&gt;120,"120 dias",IF(H561&gt;90,"90 dias",IF(H561&gt;60,"60 dias",IF(H561&gt;30,"30 dias","Al Día"))))))</f>
        <v>30 dias</v>
      </c>
      <c r="J561" s="59" t="s">
        <v>80</v>
      </c>
      <c r="K561" s="60" t="s">
        <v>81</v>
      </c>
      <c r="L561" s="61" t="s">
        <v>309</v>
      </c>
      <c r="M561" s="29" t="n">
        <f aca="false">+YEAR(F561)</f>
        <v>2026</v>
      </c>
      <c r="N561" s="62" t="n">
        <v>2026</v>
      </c>
      <c r="O561" s="63" t="n">
        <v>3</v>
      </c>
      <c r="P561" s="29" t="str">
        <f aca="false">+CONCATENATE(Tabla[[#This Row],[MES CAMPAÑA]],"/",Tabla[[#This Row],[AÑO CAMPAÑA]])</f>
        <v>3/2026</v>
      </c>
      <c r="Q561" s="60" t="s">
        <v>105</v>
      </c>
      <c r="R561" s="29"/>
      <c r="S561" s="64" t="n">
        <v>0</v>
      </c>
      <c r="T561" s="64" t="n">
        <v>24500000</v>
      </c>
      <c r="U561" s="64" t="n">
        <v>4655000</v>
      </c>
      <c r="V561" s="29"/>
      <c r="W561" s="24" t="n">
        <v>29155000</v>
      </c>
      <c r="X561" s="36"/>
      <c r="Y561" s="37"/>
      <c r="Z561" s="37"/>
      <c r="AA561" s="37"/>
      <c r="AB561" s="38" t="n">
        <f aca="false">+W561-AC561</f>
        <v>29155000</v>
      </c>
      <c r="AC561" s="34" t="n">
        <f aca="false">+Tabla[[#This Row],[P4]]+Tabla[[#This Row],[P3]]+Tabla[[#This Row],[P2]]+Tabla[[#This Row],[P1]]</f>
        <v>0</v>
      </c>
      <c r="AD561" s="34" t="n">
        <f aca="false">+W561-AC561</f>
        <v>29155000</v>
      </c>
      <c r="AE561" s="21" t="str">
        <f aca="false">IF(AB561&lt;1,"PAGADA","PENDIENTE")</f>
        <v>PENDIENTE</v>
      </c>
      <c r="AF561" s="21"/>
      <c r="AG561" s="29"/>
      <c r="AH561" s="40"/>
      <c r="AI561" s="40" t="n">
        <f aca="false">+IF(Tabla[[#This Row],[FECHA PAGO / ABONO]]&lt;1,0,(MONTH(Tabla[[#This Row],[FECHA PAGO / ABONO]])))</f>
        <v>0</v>
      </c>
      <c r="AJ561" s="40" t="n">
        <f aca="false">+IF(Tabla[[#This Row],[FECHA PAGO / ABONO]]&lt;1,0,(YEAR(Tabla[[#This Row],[FECHA PAGO / ABONO]])))</f>
        <v>0</v>
      </c>
      <c r="AK561" s="41"/>
    </row>
    <row r="562" customFormat="false" ht="14.25" hidden="false" customHeight="false" outlineLevel="0" collapsed="false">
      <c r="A562" s="58" t="s">
        <v>177</v>
      </c>
      <c r="B562" s="21" t="s">
        <v>178</v>
      </c>
      <c r="C562" s="21" t="s">
        <v>69</v>
      </c>
      <c r="D562" s="21" t="n">
        <v>38549</v>
      </c>
      <c r="E562" s="43" t="str">
        <f aca="false">+CONCATENATE(Tabla[[#This Row],[RUT]],Tabla[[#This Row],[PROVEEDOR]],Tabla[[#This Row],[FACTURA]])</f>
        <v>84383200-8GLOBAL MEDIA SPA38549</v>
      </c>
      <c r="F562" s="30" t="n">
        <v>46133</v>
      </c>
      <c r="G562" s="31" t="n">
        <f aca="false">+F562+30</f>
        <v>46163</v>
      </c>
      <c r="H562" s="29" t="n">
        <f aca="true">+IF(AE562="PAGADA",0,TODAY()-G562)</f>
        <v>41</v>
      </c>
      <c r="I562" s="29" t="str">
        <f aca="false">+IF(H562&gt;180,"Atrasada",IF(H562&gt;150,"150 dias",IF(H562&gt;120,"120 dias",IF(H562&gt;90,"90 dias",IF(H562&gt;60,"60 dias",IF(H562&gt;30,"30 dias","Al Día"))))))</f>
        <v>30 dias</v>
      </c>
      <c r="J562" s="59" t="s">
        <v>80</v>
      </c>
      <c r="K562" s="60" t="s">
        <v>81</v>
      </c>
      <c r="L562" s="61" t="s">
        <v>309</v>
      </c>
      <c r="M562" s="29" t="n">
        <f aca="false">+YEAR(F562)</f>
        <v>2026</v>
      </c>
      <c r="N562" s="62" t="n">
        <v>2026</v>
      </c>
      <c r="O562" s="63" t="n">
        <v>3</v>
      </c>
      <c r="P562" s="29" t="str">
        <f aca="false">+CONCATENATE(Tabla[[#This Row],[MES CAMPAÑA]],"/",Tabla[[#This Row],[AÑO CAMPAÑA]])</f>
        <v>3/2026</v>
      </c>
      <c r="Q562" s="60" t="s">
        <v>92</v>
      </c>
      <c r="R562" s="29"/>
      <c r="S562" s="64" t="n">
        <v>0</v>
      </c>
      <c r="T562" s="64" t="n">
        <v>626861</v>
      </c>
      <c r="U562" s="64" t="n">
        <v>119104</v>
      </c>
      <c r="V562" s="29"/>
      <c r="W562" s="24" t="n">
        <v>745965</v>
      </c>
      <c r="X562" s="36"/>
      <c r="Y562" s="37"/>
      <c r="Z562" s="37"/>
      <c r="AA562" s="37"/>
      <c r="AB562" s="38" t="n">
        <f aca="false">+W562-AC562</f>
        <v>745965</v>
      </c>
      <c r="AC562" s="34" t="n">
        <f aca="false">+Tabla[[#This Row],[P4]]+Tabla[[#This Row],[P3]]+Tabla[[#This Row],[P2]]+Tabla[[#This Row],[P1]]</f>
        <v>0</v>
      </c>
      <c r="AD562" s="34" t="n">
        <f aca="false">+W562-AC562</f>
        <v>745965</v>
      </c>
      <c r="AE562" s="21" t="str">
        <f aca="false">IF(AB562&lt;1,"PAGADA","PENDIENTE")</f>
        <v>PENDIENTE</v>
      </c>
      <c r="AF562" s="21"/>
      <c r="AG562" s="29"/>
      <c r="AH562" s="40"/>
      <c r="AI562" s="40" t="n">
        <f aca="false">+IF(Tabla[[#This Row],[FECHA PAGO / ABONO]]&lt;1,0,(MONTH(Tabla[[#This Row],[FECHA PAGO / ABONO]])))</f>
        <v>0</v>
      </c>
      <c r="AJ562" s="40" t="n">
        <f aca="false">+IF(Tabla[[#This Row],[FECHA PAGO / ABONO]]&lt;1,0,(YEAR(Tabla[[#This Row],[FECHA PAGO / ABONO]])))</f>
        <v>0</v>
      </c>
      <c r="AK562" s="41"/>
    </row>
    <row r="563" customFormat="false" ht="14.25" hidden="false" customHeight="false" outlineLevel="0" collapsed="false">
      <c r="A563" s="58" t="s">
        <v>181</v>
      </c>
      <c r="B563" s="21" t="s">
        <v>182</v>
      </c>
      <c r="C563" s="21" t="s">
        <v>69</v>
      </c>
      <c r="D563" s="21" t="n">
        <v>33013</v>
      </c>
      <c r="E563" s="43" t="str">
        <f aca="false">+CONCATENATE(Tabla[[#This Row],[RUT]],Tabla[[#This Row],[PROVEEDOR]],Tabla[[#This Row],[FACTURA]])</f>
        <v>96810030-0RDF MEDIA SPA33013</v>
      </c>
      <c r="F563" s="30" t="n">
        <v>46133</v>
      </c>
      <c r="G563" s="31" t="n">
        <f aca="false">+F563+30</f>
        <v>46163</v>
      </c>
      <c r="H563" s="29" t="n">
        <f aca="true">+IF(AE563="PAGADA",0,TODAY()-G563)</f>
        <v>41</v>
      </c>
      <c r="I563" s="29" t="str">
        <f aca="false">+IF(H563&gt;180,"Atrasada",IF(H563&gt;150,"150 dias",IF(H563&gt;120,"120 dias",IF(H563&gt;90,"90 dias",IF(H563&gt;60,"60 dias",IF(H563&gt;30,"30 dias","Al Día"))))))</f>
        <v>30 dias</v>
      </c>
      <c r="J563" s="59" t="s">
        <v>80</v>
      </c>
      <c r="K563" s="60" t="s">
        <v>81</v>
      </c>
      <c r="L563" s="61" t="s">
        <v>309</v>
      </c>
      <c r="M563" s="29" t="n">
        <f aca="false">+YEAR(F563)</f>
        <v>2026</v>
      </c>
      <c r="N563" s="62" t="n">
        <v>2026</v>
      </c>
      <c r="O563" s="63" t="n">
        <v>3</v>
      </c>
      <c r="P563" s="29" t="str">
        <f aca="false">+CONCATENATE(Tabla[[#This Row],[MES CAMPAÑA]],"/",Tabla[[#This Row],[AÑO CAMPAÑA]])</f>
        <v>3/2026</v>
      </c>
      <c r="Q563" s="60" t="s">
        <v>244</v>
      </c>
      <c r="R563" s="29"/>
      <c r="S563" s="64" t="n">
        <v>0</v>
      </c>
      <c r="T563" s="64" t="n">
        <v>3100000</v>
      </c>
      <c r="U563" s="64" t="n">
        <v>589000</v>
      </c>
      <c r="V563" s="29"/>
      <c r="W563" s="24" t="n">
        <v>3689000</v>
      </c>
      <c r="X563" s="36"/>
      <c r="Y563" s="37"/>
      <c r="Z563" s="37"/>
      <c r="AA563" s="37"/>
      <c r="AB563" s="38" t="n">
        <f aca="false">+W563-AC563</f>
        <v>3689000</v>
      </c>
      <c r="AC563" s="34" t="n">
        <f aca="false">+Tabla[[#This Row],[P4]]+Tabla[[#This Row],[P3]]+Tabla[[#This Row],[P2]]+Tabla[[#This Row],[P1]]</f>
        <v>0</v>
      </c>
      <c r="AD563" s="34" t="n">
        <f aca="false">+W563-AC563</f>
        <v>3689000</v>
      </c>
      <c r="AE563" s="21" t="str">
        <f aca="false">IF(AB563&lt;1,"PAGADA","PENDIENTE")</f>
        <v>PENDIENTE</v>
      </c>
      <c r="AF563" s="21"/>
      <c r="AG563" s="29"/>
      <c r="AH563" s="40"/>
      <c r="AI563" s="40" t="n">
        <f aca="false">+IF(Tabla[[#This Row],[FECHA PAGO / ABONO]]&lt;1,0,(MONTH(Tabla[[#This Row],[FECHA PAGO / ABONO]])))</f>
        <v>0</v>
      </c>
      <c r="AJ563" s="40" t="n">
        <f aca="false">+IF(Tabla[[#This Row],[FECHA PAGO / ABONO]]&lt;1,0,(YEAR(Tabla[[#This Row],[FECHA PAGO / ABONO]])))</f>
        <v>0</v>
      </c>
      <c r="AK563" s="41"/>
    </row>
    <row r="564" customFormat="false" ht="14.25" hidden="false" customHeight="false" outlineLevel="0" collapsed="false">
      <c r="A564" s="58" t="s">
        <v>294</v>
      </c>
      <c r="B564" s="21" t="s">
        <v>295</v>
      </c>
      <c r="C564" s="21" t="s">
        <v>69</v>
      </c>
      <c r="D564" s="21" t="n">
        <v>102553</v>
      </c>
      <c r="E564" s="43" t="str">
        <f aca="false">+CONCATENATE(Tabla[[#This Row],[RUT]],Tabla[[#This Row],[PROVEEDOR]],Tabla[[#This Row],[FACTURA]])</f>
        <v>82066500-7PRISA MEDIA CORP SpA102553</v>
      </c>
      <c r="F564" s="30" t="n">
        <v>46133</v>
      </c>
      <c r="G564" s="31" t="n">
        <f aca="false">+F564+30</f>
        <v>46163</v>
      </c>
      <c r="H564" s="29" t="n">
        <f aca="true">+IF(AE564="PAGADA",0,TODAY()-G564)</f>
        <v>41</v>
      </c>
      <c r="I564" s="29" t="str">
        <f aca="false">+IF(H564&gt;180,"Atrasada",IF(H564&gt;150,"150 dias",IF(H564&gt;120,"120 dias",IF(H564&gt;90,"90 dias",IF(H564&gt;60,"60 dias",IF(H564&gt;30,"30 dias","Al Día"))))))</f>
        <v>30 dias</v>
      </c>
      <c r="J564" s="59" t="s">
        <v>80</v>
      </c>
      <c r="K564" s="60" t="s">
        <v>81</v>
      </c>
      <c r="L564" s="61" t="s">
        <v>309</v>
      </c>
      <c r="M564" s="29" t="n">
        <f aca="false">+YEAR(F564)</f>
        <v>2026</v>
      </c>
      <c r="N564" s="62" t="n">
        <v>2026</v>
      </c>
      <c r="O564" s="63" t="n">
        <v>3</v>
      </c>
      <c r="P564" s="29" t="str">
        <f aca="false">+CONCATENATE(Tabla[[#This Row],[MES CAMPAÑA]],"/",Tabla[[#This Row],[AÑO CAMPAÑA]])</f>
        <v>3/2026</v>
      </c>
      <c r="Q564" s="60" t="s">
        <v>105</v>
      </c>
      <c r="R564" s="29"/>
      <c r="S564" s="64" t="n">
        <v>0</v>
      </c>
      <c r="T564" s="64" t="n">
        <v>5775000</v>
      </c>
      <c r="U564" s="64" t="n">
        <v>1097250</v>
      </c>
      <c r="V564" s="29"/>
      <c r="W564" s="24" t="n">
        <v>6872250</v>
      </c>
      <c r="X564" s="36"/>
      <c r="Y564" s="37"/>
      <c r="Z564" s="37"/>
      <c r="AA564" s="37"/>
      <c r="AB564" s="38" t="n">
        <f aca="false">+W564-AC564</f>
        <v>6872250</v>
      </c>
      <c r="AC564" s="34" t="n">
        <f aca="false">+Tabla[[#This Row],[P4]]+Tabla[[#This Row],[P3]]+Tabla[[#This Row],[P2]]+Tabla[[#This Row],[P1]]</f>
        <v>0</v>
      </c>
      <c r="AD564" s="34" t="n">
        <f aca="false">+W564-AC564</f>
        <v>6872250</v>
      </c>
      <c r="AE564" s="21" t="str">
        <f aca="false">IF(AB564&lt;1,"PAGADA","PENDIENTE")</f>
        <v>PENDIENTE</v>
      </c>
      <c r="AF564" s="21"/>
      <c r="AG564" s="29"/>
      <c r="AH564" s="40"/>
      <c r="AI564" s="40" t="n">
        <f aca="false">+IF(Tabla[[#This Row],[FECHA PAGO / ABONO]]&lt;1,0,(MONTH(Tabla[[#This Row],[FECHA PAGO / ABONO]])))</f>
        <v>0</v>
      </c>
      <c r="AJ564" s="40" t="n">
        <f aca="false">+IF(Tabla[[#This Row],[FECHA PAGO / ABONO]]&lt;1,0,(YEAR(Tabla[[#This Row],[FECHA PAGO / ABONO]])))</f>
        <v>0</v>
      </c>
      <c r="AK564" s="41"/>
    </row>
    <row r="565" customFormat="false" ht="14.25" hidden="false" customHeight="false" outlineLevel="0" collapsed="false">
      <c r="A565" s="58" t="s">
        <v>294</v>
      </c>
      <c r="B565" s="21" t="s">
        <v>295</v>
      </c>
      <c r="C565" s="21" t="s">
        <v>69</v>
      </c>
      <c r="D565" s="21" t="n">
        <v>102557</v>
      </c>
      <c r="E565" s="43" t="str">
        <f aca="false">+CONCATENATE(Tabla[[#This Row],[RUT]],Tabla[[#This Row],[PROVEEDOR]],Tabla[[#This Row],[FACTURA]])</f>
        <v>82066500-7PRISA MEDIA CORP SpA102557</v>
      </c>
      <c r="F565" s="30" t="n">
        <v>46133</v>
      </c>
      <c r="G565" s="31" t="n">
        <f aca="false">+F565+30</f>
        <v>46163</v>
      </c>
      <c r="H565" s="29" t="n">
        <f aca="true">+IF(AE565="PAGADA",0,TODAY()-G565)</f>
        <v>41</v>
      </c>
      <c r="I565" s="29" t="str">
        <f aca="false">+IF(H565&gt;180,"Atrasada",IF(H565&gt;150,"150 dias",IF(H565&gt;120,"120 dias",IF(H565&gt;90,"90 dias",IF(H565&gt;60,"60 dias",IF(H565&gt;30,"30 dias","Al Día"))))))</f>
        <v>30 dias</v>
      </c>
      <c r="J565" s="59" t="s">
        <v>80</v>
      </c>
      <c r="K565" s="60" t="s">
        <v>81</v>
      </c>
      <c r="L565" s="61" t="s">
        <v>309</v>
      </c>
      <c r="M565" s="29" t="n">
        <f aca="false">+YEAR(F565)</f>
        <v>2026</v>
      </c>
      <c r="N565" s="62" t="n">
        <v>2026</v>
      </c>
      <c r="O565" s="63" t="n">
        <v>3</v>
      </c>
      <c r="P565" s="29" t="str">
        <f aca="false">+CONCATENATE(Tabla[[#This Row],[MES CAMPAÑA]],"/",Tabla[[#This Row],[AÑO CAMPAÑA]])</f>
        <v>3/2026</v>
      </c>
      <c r="Q565" s="60" t="s">
        <v>315</v>
      </c>
      <c r="R565" s="29"/>
      <c r="S565" s="64" t="n">
        <v>0</v>
      </c>
      <c r="T565" s="64" t="n">
        <v>1613925</v>
      </c>
      <c r="U565" s="64" t="n">
        <v>306646</v>
      </c>
      <c r="V565" s="29"/>
      <c r="W565" s="24" t="n">
        <v>1920571</v>
      </c>
      <c r="X565" s="36"/>
      <c r="Y565" s="37"/>
      <c r="Z565" s="37"/>
      <c r="AA565" s="37"/>
      <c r="AB565" s="38" t="n">
        <f aca="false">+W565-AC565</f>
        <v>1920571</v>
      </c>
      <c r="AC565" s="34" t="n">
        <f aca="false">+Tabla[[#This Row],[P4]]+Tabla[[#This Row],[P3]]+Tabla[[#This Row],[P2]]+Tabla[[#This Row],[P1]]</f>
        <v>0</v>
      </c>
      <c r="AD565" s="34" t="n">
        <f aca="false">+W565-AC565</f>
        <v>1920571</v>
      </c>
      <c r="AE565" s="21" t="str">
        <f aca="false">IF(AB565&lt;1,"PAGADA","PENDIENTE")</f>
        <v>PENDIENTE</v>
      </c>
      <c r="AF565" s="21"/>
      <c r="AG565" s="29"/>
      <c r="AH565" s="40"/>
      <c r="AI565" s="40" t="n">
        <f aca="false">+IF(Tabla[[#This Row],[FECHA PAGO / ABONO]]&lt;1,0,(MONTH(Tabla[[#This Row],[FECHA PAGO / ABONO]])))</f>
        <v>0</v>
      </c>
      <c r="AJ565" s="40" t="n">
        <f aca="false">+IF(Tabla[[#This Row],[FECHA PAGO / ABONO]]&lt;1,0,(YEAR(Tabla[[#This Row],[FECHA PAGO / ABONO]])))</f>
        <v>0</v>
      </c>
      <c r="AK565" s="41"/>
    </row>
    <row r="566" customFormat="false" ht="14.25" hidden="false" customHeight="false" outlineLevel="0" collapsed="false">
      <c r="A566" s="58" t="s">
        <v>294</v>
      </c>
      <c r="B566" s="21" t="s">
        <v>295</v>
      </c>
      <c r="C566" s="21" t="s">
        <v>69</v>
      </c>
      <c r="D566" s="21" t="n">
        <v>102558</v>
      </c>
      <c r="E566" s="43" t="str">
        <f aca="false">+CONCATENATE(Tabla[[#This Row],[RUT]],Tabla[[#This Row],[PROVEEDOR]],Tabla[[#This Row],[FACTURA]])</f>
        <v>82066500-7PRISA MEDIA CORP SpA102558</v>
      </c>
      <c r="F566" s="30" t="n">
        <v>46133</v>
      </c>
      <c r="G566" s="31" t="n">
        <f aca="false">+F566+30</f>
        <v>46163</v>
      </c>
      <c r="H566" s="29" t="n">
        <f aca="true">+IF(AE566="PAGADA",0,TODAY()-G566)</f>
        <v>41</v>
      </c>
      <c r="I566" s="29" t="str">
        <f aca="false">+IF(H566&gt;180,"Atrasada",IF(H566&gt;150,"150 dias",IF(H566&gt;120,"120 dias",IF(H566&gt;90,"90 dias",IF(H566&gt;60,"60 dias",IF(H566&gt;30,"30 dias","Al Día"))))))</f>
        <v>30 dias</v>
      </c>
      <c r="J566" s="59" t="s">
        <v>80</v>
      </c>
      <c r="K566" s="60" t="s">
        <v>81</v>
      </c>
      <c r="L566" s="61" t="s">
        <v>309</v>
      </c>
      <c r="M566" s="29" t="n">
        <f aca="false">+YEAR(F566)</f>
        <v>2026</v>
      </c>
      <c r="N566" s="62" t="n">
        <v>2026</v>
      </c>
      <c r="O566" s="63" t="n">
        <v>3</v>
      </c>
      <c r="P566" s="29" t="str">
        <f aca="false">+CONCATENATE(Tabla[[#This Row],[MES CAMPAÑA]],"/",Tabla[[#This Row],[AÑO CAMPAÑA]])</f>
        <v>3/2026</v>
      </c>
      <c r="Q566" s="60" t="s">
        <v>296</v>
      </c>
      <c r="R566" s="29"/>
      <c r="S566" s="64" t="n">
        <v>0</v>
      </c>
      <c r="T566" s="64" t="n">
        <v>1155000</v>
      </c>
      <c r="U566" s="64" t="n">
        <v>219450</v>
      </c>
      <c r="V566" s="29"/>
      <c r="W566" s="24" t="n">
        <v>1374450</v>
      </c>
      <c r="X566" s="36"/>
      <c r="Y566" s="37"/>
      <c r="Z566" s="37"/>
      <c r="AA566" s="37"/>
      <c r="AB566" s="38" t="n">
        <f aca="false">+W566-AC566</f>
        <v>1374450</v>
      </c>
      <c r="AC566" s="34" t="n">
        <f aca="false">+Tabla[[#This Row],[P4]]+Tabla[[#This Row],[P3]]+Tabla[[#This Row],[P2]]+Tabla[[#This Row],[P1]]</f>
        <v>0</v>
      </c>
      <c r="AD566" s="34" t="n">
        <f aca="false">+W566-AC566</f>
        <v>1374450</v>
      </c>
      <c r="AE566" s="21" t="str">
        <f aca="false">IF(AB566&lt;1,"PAGADA","PENDIENTE")</f>
        <v>PENDIENTE</v>
      </c>
      <c r="AF566" s="21"/>
      <c r="AG566" s="29"/>
      <c r="AH566" s="40"/>
      <c r="AI566" s="40" t="n">
        <f aca="false">+IF(Tabla[[#This Row],[FECHA PAGO / ABONO]]&lt;1,0,(MONTH(Tabla[[#This Row],[FECHA PAGO / ABONO]])))</f>
        <v>0</v>
      </c>
      <c r="AJ566" s="40" t="n">
        <f aca="false">+IF(Tabla[[#This Row],[FECHA PAGO / ABONO]]&lt;1,0,(YEAR(Tabla[[#This Row],[FECHA PAGO / ABONO]])))</f>
        <v>0</v>
      </c>
      <c r="AK566" s="41"/>
    </row>
    <row r="567" customFormat="false" ht="14.25" hidden="false" customHeight="false" outlineLevel="0" collapsed="false">
      <c r="A567" s="58" t="s">
        <v>294</v>
      </c>
      <c r="B567" s="21" t="s">
        <v>295</v>
      </c>
      <c r="C567" s="21" t="s">
        <v>69</v>
      </c>
      <c r="D567" s="21" t="n">
        <v>102556</v>
      </c>
      <c r="E567" s="43" t="str">
        <f aca="false">+CONCATENATE(Tabla[[#This Row],[RUT]],Tabla[[#This Row],[PROVEEDOR]],Tabla[[#This Row],[FACTURA]])</f>
        <v>82066500-7PRISA MEDIA CORP SpA102556</v>
      </c>
      <c r="F567" s="30" t="n">
        <v>46133</v>
      </c>
      <c r="G567" s="31" t="n">
        <f aca="false">+F567+30</f>
        <v>46163</v>
      </c>
      <c r="H567" s="29" t="n">
        <f aca="true">+IF(AE567="PAGADA",0,TODAY()-G567)</f>
        <v>41</v>
      </c>
      <c r="I567" s="29" t="str">
        <f aca="false">+IF(H567&gt;180,"Atrasada",IF(H567&gt;150,"150 dias",IF(H567&gt;120,"120 dias",IF(H567&gt;90,"90 dias",IF(H567&gt;60,"60 dias",IF(H567&gt;30,"30 dias","Al Día"))))))</f>
        <v>30 dias</v>
      </c>
      <c r="J567" s="59" t="s">
        <v>80</v>
      </c>
      <c r="K567" s="60" t="s">
        <v>81</v>
      </c>
      <c r="L567" s="61" t="s">
        <v>309</v>
      </c>
      <c r="M567" s="29" t="n">
        <f aca="false">+YEAR(F567)</f>
        <v>2026</v>
      </c>
      <c r="N567" s="62" t="n">
        <v>2026</v>
      </c>
      <c r="O567" s="63" t="n">
        <v>3</v>
      </c>
      <c r="P567" s="29" t="str">
        <f aca="false">+CONCATENATE(Tabla[[#This Row],[MES CAMPAÑA]],"/",Tabla[[#This Row],[AÑO CAMPAÑA]])</f>
        <v>3/2026</v>
      </c>
      <c r="Q567" s="60" t="s">
        <v>315</v>
      </c>
      <c r="R567" s="29"/>
      <c r="S567" s="64" t="n">
        <v>0</v>
      </c>
      <c r="T567" s="64" t="n">
        <v>2373435</v>
      </c>
      <c r="U567" s="64" t="n">
        <v>450953</v>
      </c>
      <c r="V567" s="29"/>
      <c r="W567" s="24" t="n">
        <v>2824388</v>
      </c>
      <c r="X567" s="36"/>
      <c r="Y567" s="37"/>
      <c r="Z567" s="37"/>
      <c r="AA567" s="37"/>
      <c r="AB567" s="38" t="n">
        <f aca="false">+W567-AC567</f>
        <v>2824388</v>
      </c>
      <c r="AC567" s="34" t="n">
        <f aca="false">+Tabla[[#This Row],[P4]]+Tabla[[#This Row],[P3]]+Tabla[[#This Row],[P2]]+Tabla[[#This Row],[P1]]</f>
        <v>0</v>
      </c>
      <c r="AD567" s="34" t="n">
        <f aca="false">+W567-AC567</f>
        <v>2824388</v>
      </c>
      <c r="AE567" s="21" t="str">
        <f aca="false">IF(AB567&lt;1,"PAGADA","PENDIENTE")</f>
        <v>PENDIENTE</v>
      </c>
      <c r="AF567" s="21"/>
      <c r="AG567" s="29"/>
      <c r="AH567" s="40"/>
      <c r="AI567" s="40" t="n">
        <f aca="false">+IF(Tabla[[#This Row],[FECHA PAGO / ABONO]]&lt;1,0,(MONTH(Tabla[[#This Row],[FECHA PAGO / ABONO]])))</f>
        <v>0</v>
      </c>
      <c r="AJ567" s="40" t="n">
        <f aca="false">+IF(Tabla[[#This Row],[FECHA PAGO / ABONO]]&lt;1,0,(YEAR(Tabla[[#This Row],[FECHA PAGO / ABONO]])))</f>
        <v>0</v>
      </c>
      <c r="AK567" s="41"/>
    </row>
    <row r="568" customFormat="false" ht="14.25" hidden="false" customHeight="false" outlineLevel="0" collapsed="false">
      <c r="A568" s="58" t="s">
        <v>121</v>
      </c>
      <c r="B568" s="21" t="s">
        <v>122</v>
      </c>
      <c r="C568" s="21" t="s">
        <v>69</v>
      </c>
      <c r="D568" s="21" t="n">
        <v>11425</v>
      </c>
      <c r="E568" s="43" t="str">
        <f aca="false">+CONCATENATE(Tabla[[#This Row],[RUT]],Tabla[[#This Row],[PROVEEDOR]],Tabla[[#This Row],[FACTURA]])</f>
        <v>76166681-9HS CHILE SPA11425</v>
      </c>
      <c r="F568" s="30" t="n">
        <v>46133</v>
      </c>
      <c r="G568" s="31" t="n">
        <f aca="false">+F568+30</f>
        <v>46163</v>
      </c>
      <c r="H568" s="29" t="n">
        <f aca="true">+IF(AE568="PAGADA",0,TODAY()-G568)</f>
        <v>41</v>
      </c>
      <c r="I568" s="29" t="str">
        <f aca="false">+IF(H568&gt;180,"Atrasada",IF(H568&gt;150,"150 dias",IF(H568&gt;120,"120 dias",IF(H568&gt;90,"90 dias",IF(H568&gt;60,"60 dias",IF(H568&gt;30,"30 dias","Al Día"))))))</f>
        <v>30 dias</v>
      </c>
      <c r="J568" s="59" t="s">
        <v>80</v>
      </c>
      <c r="K568" s="60" t="s">
        <v>81</v>
      </c>
      <c r="L568" s="61" t="s">
        <v>309</v>
      </c>
      <c r="M568" s="29" t="n">
        <f aca="false">+YEAR(F568)</f>
        <v>2026</v>
      </c>
      <c r="N568" s="62" t="n">
        <v>2026</v>
      </c>
      <c r="O568" s="63" t="n">
        <v>3</v>
      </c>
      <c r="P568" s="29" t="str">
        <f aca="false">+CONCATENATE(Tabla[[#This Row],[MES CAMPAÑA]],"/",Tabla[[#This Row],[AÑO CAMPAÑA]])</f>
        <v>3/2026</v>
      </c>
      <c r="Q568" s="60" t="s">
        <v>265</v>
      </c>
      <c r="R568" s="29"/>
      <c r="S568" s="64" t="n">
        <v>0</v>
      </c>
      <c r="T568" s="64" t="n">
        <v>903226</v>
      </c>
      <c r="U568" s="64" t="n">
        <v>171613</v>
      </c>
      <c r="V568" s="29"/>
      <c r="W568" s="24" t="n">
        <v>1074839</v>
      </c>
      <c r="X568" s="36"/>
      <c r="Y568" s="37"/>
      <c r="Z568" s="37"/>
      <c r="AA568" s="37"/>
      <c r="AB568" s="38" t="n">
        <f aca="false">+W568-AC568</f>
        <v>1074839</v>
      </c>
      <c r="AC568" s="34" t="n">
        <f aca="false">+Tabla[[#This Row],[P4]]+Tabla[[#This Row],[P3]]+Tabla[[#This Row],[P2]]+Tabla[[#This Row],[P1]]</f>
        <v>0</v>
      </c>
      <c r="AD568" s="34" t="n">
        <f aca="false">+W568-AC568</f>
        <v>1074839</v>
      </c>
      <c r="AE568" s="21" t="str">
        <f aca="false">IF(AB568&lt;1,"PAGADA","PENDIENTE")</f>
        <v>PENDIENTE</v>
      </c>
      <c r="AF568" s="21"/>
      <c r="AG568" s="29"/>
      <c r="AH568" s="40"/>
      <c r="AI568" s="40" t="n">
        <f aca="false">+IF(Tabla[[#This Row],[FECHA PAGO / ABONO]]&lt;1,0,(MONTH(Tabla[[#This Row],[FECHA PAGO / ABONO]])))</f>
        <v>0</v>
      </c>
      <c r="AJ568" s="40" t="n">
        <f aca="false">+IF(Tabla[[#This Row],[FECHA PAGO / ABONO]]&lt;1,0,(YEAR(Tabla[[#This Row],[FECHA PAGO / ABONO]])))</f>
        <v>0</v>
      </c>
      <c r="AK568" s="41"/>
    </row>
    <row r="569" customFormat="false" ht="14.25" hidden="false" customHeight="false" outlineLevel="0" collapsed="false">
      <c r="A569" s="58" t="s">
        <v>121</v>
      </c>
      <c r="B569" s="21" t="s">
        <v>122</v>
      </c>
      <c r="C569" s="21" t="s">
        <v>69</v>
      </c>
      <c r="D569" s="21" t="n">
        <v>11426</v>
      </c>
      <c r="E569" s="43" t="str">
        <f aca="false">+CONCATENATE(Tabla[[#This Row],[RUT]],Tabla[[#This Row],[PROVEEDOR]],Tabla[[#This Row],[FACTURA]])</f>
        <v>76166681-9HS CHILE SPA11426</v>
      </c>
      <c r="F569" s="30" t="n">
        <v>46133</v>
      </c>
      <c r="G569" s="31" t="n">
        <f aca="false">+F569+30</f>
        <v>46163</v>
      </c>
      <c r="H569" s="29" t="n">
        <f aca="true">+IF(AE569="PAGADA",0,TODAY()-G569)</f>
        <v>41</v>
      </c>
      <c r="I569" s="29" t="str">
        <f aca="false">+IF(H569&gt;180,"Atrasada",IF(H569&gt;150,"150 dias",IF(H569&gt;120,"120 dias",IF(H569&gt;90,"90 dias",IF(H569&gt;60,"60 dias",IF(H569&gt;30,"30 dias","Al Día"))))))</f>
        <v>30 dias</v>
      </c>
      <c r="J569" s="59" t="s">
        <v>80</v>
      </c>
      <c r="K569" s="60" t="s">
        <v>81</v>
      </c>
      <c r="L569" s="61" t="s">
        <v>309</v>
      </c>
      <c r="M569" s="29" t="n">
        <f aca="false">+YEAR(F569)</f>
        <v>2026</v>
      </c>
      <c r="N569" s="62" t="n">
        <v>2026</v>
      </c>
      <c r="O569" s="63" t="n">
        <v>3</v>
      </c>
      <c r="P569" s="29" t="str">
        <f aca="false">+CONCATENATE(Tabla[[#This Row],[MES CAMPAÑA]],"/",Tabla[[#This Row],[AÑO CAMPAÑA]])</f>
        <v>3/2026</v>
      </c>
      <c r="Q569" s="60" t="s">
        <v>265</v>
      </c>
      <c r="R569" s="29"/>
      <c r="S569" s="64" t="n">
        <v>0</v>
      </c>
      <c r="T569" s="64" t="n">
        <v>634676</v>
      </c>
      <c r="U569" s="64" t="n">
        <v>120588</v>
      </c>
      <c r="V569" s="29"/>
      <c r="W569" s="24" t="n">
        <v>755264</v>
      </c>
      <c r="X569" s="36"/>
      <c r="Y569" s="37"/>
      <c r="Z569" s="37"/>
      <c r="AA569" s="37"/>
      <c r="AB569" s="38" t="n">
        <f aca="false">+W569-AC569</f>
        <v>755264</v>
      </c>
      <c r="AC569" s="34" t="n">
        <f aca="false">+Tabla[[#This Row],[P4]]+Tabla[[#This Row],[P3]]+Tabla[[#This Row],[P2]]+Tabla[[#This Row],[P1]]</f>
        <v>0</v>
      </c>
      <c r="AD569" s="34" t="n">
        <f aca="false">+W569-AC569</f>
        <v>755264</v>
      </c>
      <c r="AE569" s="21" t="str">
        <f aca="false">IF(AB569&lt;1,"PAGADA","PENDIENTE")</f>
        <v>PENDIENTE</v>
      </c>
      <c r="AF569" s="21"/>
      <c r="AG569" s="29"/>
      <c r="AH569" s="40"/>
      <c r="AI569" s="40" t="n">
        <f aca="false">+IF(Tabla[[#This Row],[FECHA PAGO / ABONO]]&lt;1,0,(MONTH(Tabla[[#This Row],[FECHA PAGO / ABONO]])))</f>
        <v>0</v>
      </c>
      <c r="AJ569" s="40" t="n">
        <f aca="false">+IF(Tabla[[#This Row],[FECHA PAGO / ABONO]]&lt;1,0,(YEAR(Tabla[[#This Row],[FECHA PAGO / ABONO]])))</f>
        <v>0</v>
      </c>
      <c r="AK569" s="41"/>
    </row>
    <row r="570" customFormat="false" ht="14.25" hidden="false" customHeight="false" outlineLevel="0" collapsed="false">
      <c r="A570" s="58" t="s">
        <v>121</v>
      </c>
      <c r="B570" s="21" t="s">
        <v>122</v>
      </c>
      <c r="C570" s="21" t="s">
        <v>69</v>
      </c>
      <c r="D570" s="21" t="n">
        <v>11427</v>
      </c>
      <c r="E570" s="43" t="str">
        <f aca="false">+CONCATENATE(Tabla[[#This Row],[RUT]],Tabla[[#This Row],[PROVEEDOR]],Tabla[[#This Row],[FACTURA]])</f>
        <v>76166681-9HS CHILE SPA11427</v>
      </c>
      <c r="F570" s="30" t="n">
        <v>46133</v>
      </c>
      <c r="G570" s="31" t="n">
        <f aca="false">+F570+30</f>
        <v>46163</v>
      </c>
      <c r="H570" s="29" t="n">
        <f aca="true">+IF(AE570="PAGADA",0,TODAY()-G570)</f>
        <v>41</v>
      </c>
      <c r="I570" s="29" t="str">
        <f aca="false">+IF(H570&gt;180,"Atrasada",IF(H570&gt;150,"150 dias",IF(H570&gt;120,"120 dias",IF(H570&gt;90,"90 dias",IF(H570&gt;60,"60 dias",IF(H570&gt;30,"30 dias","Al Día"))))))</f>
        <v>30 dias</v>
      </c>
      <c r="J570" s="59" t="s">
        <v>80</v>
      </c>
      <c r="K570" s="60" t="s">
        <v>81</v>
      </c>
      <c r="L570" s="61" t="s">
        <v>309</v>
      </c>
      <c r="M570" s="29" t="n">
        <f aca="false">+YEAR(F570)</f>
        <v>2026</v>
      </c>
      <c r="N570" s="62" t="n">
        <v>2026</v>
      </c>
      <c r="O570" s="63" t="n">
        <v>3</v>
      </c>
      <c r="P570" s="29" t="str">
        <f aca="false">+CONCATENATE(Tabla[[#This Row],[MES CAMPAÑA]],"/",Tabla[[#This Row],[AÑO CAMPAÑA]])</f>
        <v>3/2026</v>
      </c>
      <c r="Q570" s="60" t="s">
        <v>264</v>
      </c>
      <c r="R570" s="29"/>
      <c r="S570" s="64" t="n">
        <v>0</v>
      </c>
      <c r="T570" s="64" t="n">
        <v>682688</v>
      </c>
      <c r="U570" s="64" t="n">
        <v>129711</v>
      </c>
      <c r="V570" s="29"/>
      <c r="W570" s="24" t="n">
        <v>812399</v>
      </c>
      <c r="X570" s="36"/>
      <c r="Y570" s="37"/>
      <c r="Z570" s="37"/>
      <c r="AA570" s="37"/>
      <c r="AB570" s="38" t="n">
        <f aca="false">+W570-AC570</f>
        <v>812399</v>
      </c>
      <c r="AC570" s="34" t="n">
        <f aca="false">+Tabla[[#This Row],[P4]]+Tabla[[#This Row],[P3]]+Tabla[[#This Row],[P2]]+Tabla[[#This Row],[P1]]</f>
        <v>0</v>
      </c>
      <c r="AD570" s="34" t="n">
        <f aca="false">+W570-AC570</f>
        <v>812399</v>
      </c>
      <c r="AE570" s="21" t="str">
        <f aca="false">IF(AB570&lt;1,"PAGADA","PENDIENTE")</f>
        <v>PENDIENTE</v>
      </c>
      <c r="AF570" s="21"/>
      <c r="AG570" s="29"/>
      <c r="AH570" s="40"/>
      <c r="AI570" s="40" t="n">
        <f aca="false">+IF(Tabla[[#This Row],[FECHA PAGO / ABONO]]&lt;1,0,(MONTH(Tabla[[#This Row],[FECHA PAGO / ABONO]])))</f>
        <v>0</v>
      </c>
      <c r="AJ570" s="40" t="n">
        <f aca="false">+IF(Tabla[[#This Row],[FECHA PAGO / ABONO]]&lt;1,0,(YEAR(Tabla[[#This Row],[FECHA PAGO / ABONO]])))</f>
        <v>0</v>
      </c>
      <c r="AK570" s="41"/>
    </row>
    <row r="571" customFormat="false" ht="14.25" hidden="false" customHeight="false" outlineLevel="0" collapsed="false">
      <c r="A571" s="58" t="s">
        <v>121</v>
      </c>
      <c r="B571" s="21" t="s">
        <v>122</v>
      </c>
      <c r="C571" s="21" t="s">
        <v>69</v>
      </c>
      <c r="D571" s="21" t="n">
        <v>11428</v>
      </c>
      <c r="E571" s="43" t="str">
        <f aca="false">+CONCATENATE(Tabla[[#This Row],[RUT]],Tabla[[#This Row],[PROVEEDOR]],Tabla[[#This Row],[FACTURA]])</f>
        <v>76166681-9HS CHILE SPA11428</v>
      </c>
      <c r="F571" s="30" t="n">
        <v>46133</v>
      </c>
      <c r="G571" s="31" t="n">
        <f aca="false">+F571+30</f>
        <v>46163</v>
      </c>
      <c r="H571" s="29" t="n">
        <f aca="true">+IF(AE571="PAGADA",0,TODAY()-G571)</f>
        <v>41</v>
      </c>
      <c r="I571" s="29" t="str">
        <f aca="false">+IF(H571&gt;180,"Atrasada",IF(H571&gt;150,"150 dias",IF(H571&gt;120,"120 dias",IF(H571&gt;90,"90 dias",IF(H571&gt;60,"60 dias",IF(H571&gt;30,"30 dias","Al Día"))))))</f>
        <v>30 dias</v>
      </c>
      <c r="J571" s="59" t="s">
        <v>80</v>
      </c>
      <c r="K571" s="60" t="s">
        <v>81</v>
      </c>
      <c r="L571" s="61" t="s">
        <v>309</v>
      </c>
      <c r="M571" s="29" t="n">
        <f aca="false">+YEAR(F571)</f>
        <v>2026</v>
      </c>
      <c r="N571" s="62" t="n">
        <v>2026</v>
      </c>
      <c r="O571" s="63" t="n">
        <v>3</v>
      </c>
      <c r="P571" s="29" t="str">
        <f aca="false">+CONCATENATE(Tabla[[#This Row],[MES CAMPAÑA]],"/",Tabla[[#This Row],[AÑO CAMPAÑA]])</f>
        <v>3/2026</v>
      </c>
      <c r="Q571" s="60" t="s">
        <v>264</v>
      </c>
      <c r="R571" s="29"/>
      <c r="S571" s="64" t="n">
        <v>0</v>
      </c>
      <c r="T571" s="64" t="n">
        <v>586630</v>
      </c>
      <c r="U571" s="64" t="n">
        <v>111460</v>
      </c>
      <c r="V571" s="29"/>
      <c r="W571" s="24" t="n">
        <v>698090</v>
      </c>
      <c r="X571" s="36"/>
      <c r="Y571" s="37"/>
      <c r="Z571" s="37"/>
      <c r="AA571" s="37"/>
      <c r="AB571" s="38" t="n">
        <f aca="false">+W571-AC571</f>
        <v>698090</v>
      </c>
      <c r="AC571" s="34" t="n">
        <f aca="false">+Tabla[[#This Row],[P4]]+Tabla[[#This Row],[P3]]+Tabla[[#This Row],[P2]]+Tabla[[#This Row],[P1]]</f>
        <v>0</v>
      </c>
      <c r="AD571" s="34" t="n">
        <f aca="false">+W571-AC571</f>
        <v>698090</v>
      </c>
      <c r="AE571" s="21" t="str">
        <f aca="false">IF(AB571&lt;1,"PAGADA","PENDIENTE")</f>
        <v>PENDIENTE</v>
      </c>
      <c r="AF571" s="21"/>
      <c r="AG571" s="29"/>
      <c r="AH571" s="40"/>
      <c r="AI571" s="40" t="n">
        <f aca="false">+IF(Tabla[[#This Row],[FECHA PAGO / ABONO]]&lt;1,0,(MONTH(Tabla[[#This Row],[FECHA PAGO / ABONO]])))</f>
        <v>0</v>
      </c>
      <c r="AJ571" s="40" t="n">
        <f aca="false">+IF(Tabla[[#This Row],[FECHA PAGO / ABONO]]&lt;1,0,(YEAR(Tabla[[#This Row],[FECHA PAGO / ABONO]])))</f>
        <v>0</v>
      </c>
      <c r="AK571" s="41"/>
    </row>
    <row r="572" customFormat="false" ht="14.25" hidden="false" customHeight="false" outlineLevel="0" collapsed="false">
      <c r="A572" s="58" t="s">
        <v>121</v>
      </c>
      <c r="B572" s="21" t="s">
        <v>122</v>
      </c>
      <c r="C572" s="21" t="s">
        <v>69</v>
      </c>
      <c r="D572" s="21" t="n">
        <v>11429</v>
      </c>
      <c r="E572" s="43" t="str">
        <f aca="false">+CONCATENATE(Tabla[[#This Row],[RUT]],Tabla[[#This Row],[PROVEEDOR]],Tabla[[#This Row],[FACTURA]])</f>
        <v>76166681-9HS CHILE SPA11429</v>
      </c>
      <c r="F572" s="30" t="n">
        <v>46133</v>
      </c>
      <c r="G572" s="31" t="n">
        <f aca="false">+F572+30</f>
        <v>46163</v>
      </c>
      <c r="H572" s="29" t="n">
        <f aca="true">+IF(AE572="PAGADA",0,TODAY()-G572)</f>
        <v>41</v>
      </c>
      <c r="I572" s="29" t="str">
        <f aca="false">+IF(H572&gt;180,"Atrasada",IF(H572&gt;150,"150 dias",IF(H572&gt;120,"120 dias",IF(H572&gt;90,"90 dias",IF(H572&gt;60,"60 dias",IF(H572&gt;30,"30 dias","Al Día"))))))</f>
        <v>30 dias</v>
      </c>
      <c r="J572" s="59" t="s">
        <v>80</v>
      </c>
      <c r="K572" s="60" t="s">
        <v>81</v>
      </c>
      <c r="L572" s="61" t="s">
        <v>309</v>
      </c>
      <c r="M572" s="29" t="n">
        <f aca="false">+YEAR(F572)</f>
        <v>2026</v>
      </c>
      <c r="N572" s="62" t="n">
        <v>2026</v>
      </c>
      <c r="O572" s="63" t="n">
        <v>3</v>
      </c>
      <c r="P572" s="29" t="str">
        <f aca="false">+CONCATENATE(Tabla[[#This Row],[MES CAMPAÑA]],"/",Tabla[[#This Row],[AÑO CAMPAÑA]])</f>
        <v>3/2026</v>
      </c>
      <c r="Q572" s="60" t="s">
        <v>264</v>
      </c>
      <c r="R572" s="29"/>
      <c r="S572" s="64" t="n">
        <v>0</v>
      </c>
      <c r="T572" s="64" t="n">
        <v>656640</v>
      </c>
      <c r="U572" s="64" t="n">
        <v>124762</v>
      </c>
      <c r="V572" s="29"/>
      <c r="W572" s="24" t="n">
        <v>781402</v>
      </c>
      <c r="X572" s="36"/>
      <c r="Y572" s="37"/>
      <c r="Z572" s="37"/>
      <c r="AA572" s="37"/>
      <c r="AB572" s="38" t="n">
        <f aca="false">+W572-AC572</f>
        <v>781402</v>
      </c>
      <c r="AC572" s="34" t="n">
        <f aca="false">+Tabla[[#This Row],[P4]]+Tabla[[#This Row],[P3]]+Tabla[[#This Row],[P2]]+Tabla[[#This Row],[P1]]</f>
        <v>0</v>
      </c>
      <c r="AD572" s="34" t="n">
        <f aca="false">+W572-AC572</f>
        <v>781402</v>
      </c>
      <c r="AE572" s="21" t="str">
        <f aca="false">IF(AB572&lt;1,"PAGADA","PENDIENTE")</f>
        <v>PENDIENTE</v>
      </c>
      <c r="AF572" s="21"/>
      <c r="AG572" s="29"/>
      <c r="AH572" s="40"/>
      <c r="AI572" s="40" t="n">
        <f aca="false">+IF(Tabla[[#This Row],[FECHA PAGO / ABONO]]&lt;1,0,(MONTH(Tabla[[#This Row],[FECHA PAGO / ABONO]])))</f>
        <v>0</v>
      </c>
      <c r="AJ572" s="40" t="n">
        <f aca="false">+IF(Tabla[[#This Row],[FECHA PAGO / ABONO]]&lt;1,0,(YEAR(Tabla[[#This Row],[FECHA PAGO / ABONO]])))</f>
        <v>0</v>
      </c>
      <c r="AK572" s="41"/>
    </row>
    <row r="573" customFormat="false" ht="14.25" hidden="false" customHeight="false" outlineLevel="0" collapsed="false">
      <c r="A573" s="58" t="s">
        <v>121</v>
      </c>
      <c r="B573" s="21" t="s">
        <v>122</v>
      </c>
      <c r="C573" s="21" t="s">
        <v>69</v>
      </c>
      <c r="D573" s="21" t="n">
        <v>11430</v>
      </c>
      <c r="E573" s="43" t="str">
        <f aca="false">+CONCATENATE(Tabla[[#This Row],[RUT]],Tabla[[#This Row],[PROVEEDOR]],Tabla[[#This Row],[FACTURA]])</f>
        <v>76166681-9HS CHILE SPA11430</v>
      </c>
      <c r="F573" s="30" t="n">
        <v>46133</v>
      </c>
      <c r="G573" s="31" t="n">
        <f aca="false">+F573+30</f>
        <v>46163</v>
      </c>
      <c r="H573" s="29" t="n">
        <f aca="true">+IF(AE573="PAGADA",0,TODAY()-G573)</f>
        <v>41</v>
      </c>
      <c r="I573" s="29" t="str">
        <f aca="false">+IF(H573&gt;180,"Atrasada",IF(H573&gt;150,"150 dias",IF(H573&gt;120,"120 dias",IF(H573&gt;90,"90 dias",IF(H573&gt;60,"60 dias",IF(H573&gt;30,"30 dias","Al Día"))))))</f>
        <v>30 dias</v>
      </c>
      <c r="J573" s="59" t="s">
        <v>80</v>
      </c>
      <c r="K573" s="60" t="s">
        <v>81</v>
      </c>
      <c r="L573" s="61" t="s">
        <v>309</v>
      </c>
      <c r="M573" s="29" t="n">
        <f aca="false">+YEAR(F573)</f>
        <v>2026</v>
      </c>
      <c r="N573" s="62" t="n">
        <v>2026</v>
      </c>
      <c r="O573" s="63" t="n">
        <v>3</v>
      </c>
      <c r="P573" s="29" t="str">
        <f aca="false">+CONCATENATE(Tabla[[#This Row],[MES CAMPAÑA]],"/",Tabla[[#This Row],[AÑO CAMPAÑA]])</f>
        <v>3/2026</v>
      </c>
      <c r="Q573" s="60" t="s">
        <v>105</v>
      </c>
      <c r="R573" s="29"/>
      <c r="S573" s="64" t="n">
        <v>0</v>
      </c>
      <c r="T573" s="64" t="n">
        <v>1600000</v>
      </c>
      <c r="U573" s="64" t="n">
        <v>304000</v>
      </c>
      <c r="V573" s="29"/>
      <c r="W573" s="24" t="n">
        <v>1904000</v>
      </c>
      <c r="X573" s="36"/>
      <c r="Y573" s="37"/>
      <c r="Z573" s="37"/>
      <c r="AA573" s="37"/>
      <c r="AB573" s="38" t="n">
        <f aca="false">+W573-AC573</f>
        <v>1904000</v>
      </c>
      <c r="AC573" s="34" t="n">
        <f aca="false">+Tabla[[#This Row],[P4]]+Tabla[[#This Row],[P3]]+Tabla[[#This Row],[P2]]+Tabla[[#This Row],[P1]]</f>
        <v>0</v>
      </c>
      <c r="AD573" s="34" t="n">
        <f aca="false">+W573-AC573</f>
        <v>1904000</v>
      </c>
      <c r="AE573" s="21" t="str">
        <f aca="false">IF(AB573&lt;1,"PAGADA","PENDIENTE")</f>
        <v>PENDIENTE</v>
      </c>
      <c r="AF573" s="21"/>
      <c r="AG573" s="29"/>
      <c r="AH573" s="40"/>
      <c r="AI573" s="40" t="n">
        <f aca="false">+IF(Tabla[[#This Row],[FECHA PAGO / ABONO]]&lt;1,0,(MONTH(Tabla[[#This Row],[FECHA PAGO / ABONO]])))</f>
        <v>0</v>
      </c>
      <c r="AJ573" s="40" t="n">
        <f aca="false">+IF(Tabla[[#This Row],[FECHA PAGO / ABONO]]&lt;1,0,(YEAR(Tabla[[#This Row],[FECHA PAGO / ABONO]])))</f>
        <v>0</v>
      </c>
      <c r="AK573" s="41"/>
    </row>
    <row r="574" customFormat="false" ht="14.25" hidden="false" customHeight="false" outlineLevel="0" collapsed="false">
      <c r="A574" s="58" t="s">
        <v>121</v>
      </c>
      <c r="B574" s="21" t="s">
        <v>122</v>
      </c>
      <c r="C574" s="21" t="s">
        <v>69</v>
      </c>
      <c r="D574" s="21" t="n">
        <v>11431</v>
      </c>
      <c r="E574" s="43" t="str">
        <f aca="false">+CONCATENATE(Tabla[[#This Row],[RUT]],Tabla[[#This Row],[PROVEEDOR]],Tabla[[#This Row],[FACTURA]])</f>
        <v>76166681-9HS CHILE SPA11431</v>
      </c>
      <c r="F574" s="30" t="n">
        <v>46133</v>
      </c>
      <c r="G574" s="31" t="n">
        <f aca="false">+F574+30</f>
        <v>46163</v>
      </c>
      <c r="H574" s="29" t="n">
        <f aca="true">+IF(AE574="PAGADA",0,TODAY()-G574)</f>
        <v>41</v>
      </c>
      <c r="I574" s="29" t="str">
        <f aca="false">+IF(H574&gt;180,"Atrasada",IF(H574&gt;150,"150 dias",IF(H574&gt;120,"120 dias",IF(H574&gt;90,"90 dias",IF(H574&gt;60,"60 dias",IF(H574&gt;30,"30 dias","Al Día"))))))</f>
        <v>30 dias</v>
      </c>
      <c r="J574" s="59" t="s">
        <v>80</v>
      </c>
      <c r="K574" s="60" t="s">
        <v>81</v>
      </c>
      <c r="L574" s="61" t="s">
        <v>309</v>
      </c>
      <c r="M574" s="29" t="n">
        <f aca="false">+YEAR(F574)</f>
        <v>2026</v>
      </c>
      <c r="N574" s="62" t="n">
        <v>2026</v>
      </c>
      <c r="O574" s="63" t="n">
        <v>3</v>
      </c>
      <c r="P574" s="29" t="str">
        <f aca="false">+CONCATENATE(Tabla[[#This Row],[MES CAMPAÑA]],"/",Tabla[[#This Row],[AÑO CAMPAÑA]])</f>
        <v>3/2026</v>
      </c>
      <c r="Q574" s="60" t="s">
        <v>105</v>
      </c>
      <c r="R574" s="29"/>
      <c r="S574" s="64" t="n">
        <v>0</v>
      </c>
      <c r="T574" s="64" t="n">
        <v>1520000</v>
      </c>
      <c r="U574" s="64" t="n">
        <v>288800</v>
      </c>
      <c r="V574" s="29"/>
      <c r="W574" s="24" t="n">
        <v>1808800</v>
      </c>
      <c r="X574" s="36"/>
      <c r="Y574" s="37"/>
      <c r="Z574" s="37"/>
      <c r="AA574" s="37"/>
      <c r="AB574" s="38" t="n">
        <f aca="false">+W574-AC574</f>
        <v>1808800</v>
      </c>
      <c r="AC574" s="34" t="n">
        <f aca="false">+Tabla[[#This Row],[P4]]+Tabla[[#This Row],[P3]]+Tabla[[#This Row],[P2]]+Tabla[[#This Row],[P1]]</f>
        <v>0</v>
      </c>
      <c r="AD574" s="34" t="n">
        <f aca="false">+W574-AC574</f>
        <v>1808800</v>
      </c>
      <c r="AE574" s="21" t="str">
        <f aca="false">IF(AB574&lt;1,"PAGADA","PENDIENTE")</f>
        <v>PENDIENTE</v>
      </c>
      <c r="AF574" s="21"/>
      <c r="AG574" s="29"/>
      <c r="AH574" s="40"/>
      <c r="AI574" s="40" t="n">
        <f aca="false">+IF(Tabla[[#This Row],[FECHA PAGO / ABONO]]&lt;1,0,(MONTH(Tabla[[#This Row],[FECHA PAGO / ABONO]])))</f>
        <v>0</v>
      </c>
      <c r="AJ574" s="40" t="n">
        <f aca="false">+IF(Tabla[[#This Row],[FECHA PAGO / ABONO]]&lt;1,0,(YEAR(Tabla[[#This Row],[FECHA PAGO / ABONO]])))</f>
        <v>0</v>
      </c>
      <c r="AK574" s="41"/>
    </row>
    <row r="575" customFormat="false" ht="14.25" hidden="false" customHeight="false" outlineLevel="0" collapsed="false">
      <c r="A575" s="58" t="s">
        <v>121</v>
      </c>
      <c r="B575" s="21" t="s">
        <v>122</v>
      </c>
      <c r="C575" s="21" t="s">
        <v>69</v>
      </c>
      <c r="D575" s="21" t="n">
        <v>11432</v>
      </c>
      <c r="E575" s="43" t="str">
        <f aca="false">+CONCATENATE(Tabla[[#This Row],[RUT]],Tabla[[#This Row],[PROVEEDOR]],Tabla[[#This Row],[FACTURA]])</f>
        <v>76166681-9HS CHILE SPA11432</v>
      </c>
      <c r="F575" s="30" t="n">
        <v>46133</v>
      </c>
      <c r="G575" s="31" t="n">
        <f aca="false">+F575+30</f>
        <v>46163</v>
      </c>
      <c r="H575" s="29" t="n">
        <f aca="true">+IF(AE575="PAGADA",0,TODAY()-G575)</f>
        <v>41</v>
      </c>
      <c r="I575" s="29" t="str">
        <f aca="false">+IF(H575&gt;180,"Atrasada",IF(H575&gt;150,"150 dias",IF(H575&gt;120,"120 dias",IF(H575&gt;90,"90 dias",IF(H575&gt;60,"60 dias",IF(H575&gt;30,"30 dias","Al Día"))))))</f>
        <v>30 dias</v>
      </c>
      <c r="J575" s="59" t="s">
        <v>80</v>
      </c>
      <c r="K575" s="60" t="s">
        <v>81</v>
      </c>
      <c r="L575" s="61" t="s">
        <v>309</v>
      </c>
      <c r="M575" s="29" t="n">
        <f aca="false">+YEAR(F575)</f>
        <v>2026</v>
      </c>
      <c r="N575" s="62" t="n">
        <v>2026</v>
      </c>
      <c r="O575" s="63" t="n">
        <v>3</v>
      </c>
      <c r="P575" s="29" t="str">
        <f aca="false">+CONCATENATE(Tabla[[#This Row],[MES CAMPAÑA]],"/",Tabla[[#This Row],[AÑO CAMPAÑA]])</f>
        <v>3/2026</v>
      </c>
      <c r="Q575" s="60" t="s">
        <v>92</v>
      </c>
      <c r="R575" s="29"/>
      <c r="S575" s="64" t="n">
        <v>0</v>
      </c>
      <c r="T575" s="64" t="n">
        <v>200000</v>
      </c>
      <c r="U575" s="64" t="n">
        <v>38000</v>
      </c>
      <c r="V575" s="29"/>
      <c r="W575" s="24" t="n">
        <v>238000</v>
      </c>
      <c r="X575" s="36"/>
      <c r="Y575" s="37"/>
      <c r="Z575" s="37"/>
      <c r="AA575" s="37"/>
      <c r="AB575" s="38" t="n">
        <f aca="false">+W575-AC575</f>
        <v>238000</v>
      </c>
      <c r="AC575" s="34" t="n">
        <f aca="false">+Tabla[[#This Row],[P4]]+Tabla[[#This Row],[P3]]+Tabla[[#This Row],[P2]]+Tabla[[#This Row],[P1]]</f>
        <v>0</v>
      </c>
      <c r="AD575" s="34" t="n">
        <f aca="false">+W575-AC575</f>
        <v>238000</v>
      </c>
      <c r="AE575" s="21" t="str">
        <f aca="false">IF(AB575&lt;1,"PAGADA","PENDIENTE")</f>
        <v>PENDIENTE</v>
      </c>
      <c r="AF575" s="21"/>
      <c r="AG575" s="29"/>
      <c r="AH575" s="40"/>
      <c r="AI575" s="40" t="n">
        <f aca="false">+IF(Tabla[[#This Row],[FECHA PAGO / ABONO]]&lt;1,0,(MONTH(Tabla[[#This Row],[FECHA PAGO / ABONO]])))</f>
        <v>0</v>
      </c>
      <c r="AJ575" s="40" t="n">
        <f aca="false">+IF(Tabla[[#This Row],[FECHA PAGO / ABONO]]&lt;1,0,(YEAR(Tabla[[#This Row],[FECHA PAGO / ABONO]])))</f>
        <v>0</v>
      </c>
      <c r="AK575" s="41"/>
    </row>
    <row r="576" customFormat="false" ht="14.25" hidden="false" customHeight="false" outlineLevel="0" collapsed="false">
      <c r="A576" s="58" t="s">
        <v>121</v>
      </c>
      <c r="B576" s="21" t="s">
        <v>122</v>
      </c>
      <c r="C576" s="21" t="s">
        <v>69</v>
      </c>
      <c r="D576" s="21" t="n">
        <v>11433</v>
      </c>
      <c r="E576" s="43" t="str">
        <f aca="false">+CONCATENATE(Tabla[[#This Row],[RUT]],Tabla[[#This Row],[PROVEEDOR]],Tabla[[#This Row],[FACTURA]])</f>
        <v>76166681-9HS CHILE SPA11433</v>
      </c>
      <c r="F576" s="30" t="n">
        <v>46133</v>
      </c>
      <c r="G576" s="31" t="n">
        <f aca="false">+F576+30</f>
        <v>46163</v>
      </c>
      <c r="H576" s="29" t="n">
        <f aca="true">+IF(AE576="PAGADA",0,TODAY()-G576)</f>
        <v>41</v>
      </c>
      <c r="I576" s="29" t="str">
        <f aca="false">+IF(H576&gt;180,"Atrasada",IF(H576&gt;150,"150 dias",IF(H576&gt;120,"120 dias",IF(H576&gt;90,"90 dias",IF(H576&gt;60,"60 dias",IF(H576&gt;30,"30 dias","Al Día"))))))</f>
        <v>30 dias</v>
      </c>
      <c r="J576" s="59" t="s">
        <v>80</v>
      </c>
      <c r="K576" s="60" t="s">
        <v>81</v>
      </c>
      <c r="L576" s="61" t="s">
        <v>309</v>
      </c>
      <c r="M576" s="29" t="n">
        <f aca="false">+YEAR(F576)</f>
        <v>2026</v>
      </c>
      <c r="N576" s="62" t="n">
        <v>2026</v>
      </c>
      <c r="O576" s="63" t="n">
        <v>3</v>
      </c>
      <c r="P576" s="29" t="str">
        <f aca="false">+CONCATENATE(Tabla[[#This Row],[MES CAMPAÑA]],"/",Tabla[[#This Row],[AÑO CAMPAÑA]])</f>
        <v>3/2026</v>
      </c>
      <c r="Q576" s="60" t="s">
        <v>316</v>
      </c>
      <c r="R576" s="29"/>
      <c r="S576" s="64" t="n">
        <v>0</v>
      </c>
      <c r="T576" s="64" t="n">
        <v>1545500</v>
      </c>
      <c r="U576" s="64" t="n">
        <v>293645</v>
      </c>
      <c r="V576" s="29"/>
      <c r="W576" s="24" t="n">
        <v>1839145</v>
      </c>
      <c r="X576" s="36"/>
      <c r="Y576" s="37"/>
      <c r="Z576" s="37"/>
      <c r="AA576" s="37"/>
      <c r="AB576" s="38" t="n">
        <f aca="false">+W576-AC576</f>
        <v>1839145</v>
      </c>
      <c r="AC576" s="34" t="n">
        <f aca="false">+Tabla[[#This Row],[P4]]+Tabla[[#This Row],[P3]]+Tabla[[#This Row],[P2]]+Tabla[[#This Row],[P1]]</f>
        <v>0</v>
      </c>
      <c r="AD576" s="34" t="n">
        <f aca="false">+W576-AC576</f>
        <v>1839145</v>
      </c>
      <c r="AE576" s="21" t="str">
        <f aca="false">IF(AB576&lt;1,"PAGADA","PENDIENTE")</f>
        <v>PENDIENTE</v>
      </c>
      <c r="AF576" s="21"/>
      <c r="AG576" s="29"/>
      <c r="AH576" s="40"/>
      <c r="AI576" s="40" t="n">
        <f aca="false">+IF(Tabla[[#This Row],[FECHA PAGO / ABONO]]&lt;1,0,(MONTH(Tabla[[#This Row],[FECHA PAGO / ABONO]])))</f>
        <v>0</v>
      </c>
      <c r="AJ576" s="40" t="n">
        <f aca="false">+IF(Tabla[[#This Row],[FECHA PAGO / ABONO]]&lt;1,0,(YEAR(Tabla[[#This Row],[FECHA PAGO / ABONO]])))</f>
        <v>0</v>
      </c>
      <c r="AK576" s="41"/>
    </row>
    <row r="577" customFormat="false" ht="14.25" hidden="false" customHeight="false" outlineLevel="0" collapsed="false">
      <c r="A577" s="58" t="s">
        <v>101</v>
      </c>
      <c r="B577" s="21" t="s">
        <v>102</v>
      </c>
      <c r="C577" s="21" t="s">
        <v>125</v>
      </c>
      <c r="D577" s="21" t="n">
        <v>2105065</v>
      </c>
      <c r="E577" s="43" t="str">
        <f aca="false">+CONCATENATE(Tabla[[#This Row],[RUT]],Tabla[[#This Row],[PROVEEDOR]],Tabla[[#This Row],[FACTURA]])</f>
        <v>97006000-6BANCO DE CREDITO E INVERSIONES2105065</v>
      </c>
      <c r="F577" s="30" t="n">
        <v>46133</v>
      </c>
      <c r="G577" s="31" t="n">
        <f aca="false">+F577+30</f>
        <v>46163</v>
      </c>
      <c r="H577" s="29" t="n">
        <f aca="true">+IF(AE577="PAGADA",0,TODAY()-G577)</f>
        <v>0</v>
      </c>
      <c r="I577" s="29" t="str">
        <f aca="false">+IF(H577&gt;180,"Atrasada",IF(H577&gt;150,"150 dias",IF(H577&gt;120,"120 dias",IF(H577&gt;90,"90 dias",IF(H577&gt;60,"60 dias",IF(H577&gt;30,"30 dias","Al Día"))))))</f>
        <v>Al Día</v>
      </c>
      <c r="J577" s="59" t="s">
        <v>31</v>
      </c>
      <c r="K577" s="60" t="s">
        <v>81</v>
      </c>
      <c r="L577" s="61" t="s">
        <v>309</v>
      </c>
      <c r="M577" s="29" t="n">
        <f aca="false">+YEAR(F577)</f>
        <v>2026</v>
      </c>
      <c r="N577" s="62" t="n">
        <v>2026</v>
      </c>
      <c r="O577" s="63" t="n">
        <v>3</v>
      </c>
      <c r="P577" s="29" t="str">
        <f aca="false">+CONCATENATE(Tabla[[#This Row],[MES CAMPAÑA]],"/",Tabla[[#This Row],[AÑO CAMPAÑA]])</f>
        <v>3/2026</v>
      </c>
      <c r="Q577" s="60" t="s">
        <v>73</v>
      </c>
      <c r="R577" s="29"/>
      <c r="S577" s="64" t="n">
        <v>0</v>
      </c>
      <c r="T577" s="64" t="n">
        <v>14741</v>
      </c>
      <c r="U577" s="64" t="n">
        <v>2801</v>
      </c>
      <c r="V577" s="29"/>
      <c r="W577" s="24" t="n">
        <v>17542</v>
      </c>
      <c r="X577" s="36" t="n">
        <f aca="false">+Tabla[[#This Row],[TOTAL]]</f>
        <v>17542</v>
      </c>
      <c r="Y577" s="37"/>
      <c r="Z577" s="37"/>
      <c r="AA577" s="37"/>
      <c r="AB577" s="38" t="n">
        <f aca="false">+W577-AC577</f>
        <v>0</v>
      </c>
      <c r="AC577" s="34" t="n">
        <f aca="false">+Tabla[[#This Row],[P4]]+Tabla[[#This Row],[P3]]+Tabla[[#This Row],[P2]]+Tabla[[#This Row],[P1]]</f>
        <v>17542</v>
      </c>
      <c r="AD577" s="34" t="n">
        <f aca="false">+W577-AC577</f>
        <v>0</v>
      </c>
      <c r="AE577" s="21" t="str">
        <f aca="false">IF(AB577&lt;1,"PAGADA","PENDIENTE")</f>
        <v>PAGADA</v>
      </c>
      <c r="AF577" s="21"/>
      <c r="AG577" s="29" t="str">
        <f aca="false">+Tabla[[#This Row],[ESTADO]]</f>
        <v>ACEPTADA</v>
      </c>
      <c r="AH577" s="40"/>
      <c r="AI577" s="40" t="n">
        <f aca="false">+IF(Tabla[[#This Row],[FECHA PAGO / ABONO]]&lt;1,0,(MONTH(Tabla[[#This Row],[FECHA PAGO / ABONO]])))</f>
        <v>0</v>
      </c>
      <c r="AJ577" s="40" t="n">
        <f aca="false">+IF(Tabla[[#This Row],[FECHA PAGO / ABONO]]&lt;1,0,(YEAR(Tabla[[#This Row],[FECHA PAGO / ABONO]])))</f>
        <v>0</v>
      </c>
      <c r="AK577" s="41"/>
    </row>
    <row r="578" customFormat="false" ht="14.25" hidden="false" customHeight="false" outlineLevel="0" collapsed="false">
      <c r="A578" s="58" t="s">
        <v>284</v>
      </c>
      <c r="B578" s="21" t="s">
        <v>285</v>
      </c>
      <c r="C578" s="21" t="s">
        <v>69</v>
      </c>
      <c r="D578" s="21" t="n">
        <v>239</v>
      </c>
      <c r="E578" s="43" t="str">
        <f aca="false">+CONCATENATE(Tabla[[#This Row],[RUT]],Tabla[[#This Row],[PROVEEDOR]],Tabla[[#This Row],[FACTURA]])</f>
        <v>76918443-0SOCIEDAD PRESTADORA DE SOLUCIONES SPA239</v>
      </c>
      <c r="F578" s="30" t="n">
        <v>46134</v>
      </c>
      <c r="G578" s="31" t="n">
        <f aca="false">+F578+30</f>
        <v>46164</v>
      </c>
      <c r="H578" s="29" t="n">
        <f aca="true">+IF(AE578="PAGADA",0,TODAY()-G578)</f>
        <v>0</v>
      </c>
      <c r="I578" s="29" t="str">
        <f aca="false">+IF(H578&gt;180,"Atrasada",IF(H578&gt;150,"150 dias",IF(H578&gt;120,"120 dias",IF(H578&gt;90,"90 dias",IF(H578&gt;60,"60 dias",IF(H578&gt;30,"30 dias","Al Día"))))))</f>
        <v>Al Día</v>
      </c>
      <c r="J578" s="59" t="s">
        <v>80</v>
      </c>
      <c r="K578" s="60" t="s">
        <v>81</v>
      </c>
      <c r="L578" s="61" t="s">
        <v>309</v>
      </c>
      <c r="M578" s="29" t="n">
        <f aca="false">+YEAR(F578)</f>
        <v>2026</v>
      </c>
      <c r="N578" s="62" t="n">
        <v>2026</v>
      </c>
      <c r="O578" s="63" t="n">
        <v>3</v>
      </c>
      <c r="P578" s="29" t="str">
        <f aca="false">+CONCATENATE(Tabla[[#This Row],[MES CAMPAÑA]],"/",Tabla[[#This Row],[AÑO CAMPAÑA]])</f>
        <v>3/2026</v>
      </c>
      <c r="Q578" s="60" t="s">
        <v>265</v>
      </c>
      <c r="R578" s="29"/>
      <c r="S578" s="64" t="n">
        <v>0</v>
      </c>
      <c r="T578" s="64" t="n">
        <v>1300000</v>
      </c>
      <c r="U578" s="64" t="n">
        <v>247000</v>
      </c>
      <c r="V578" s="29"/>
      <c r="W578" s="24" t="n">
        <v>1547000</v>
      </c>
      <c r="X578" s="36" t="n">
        <f aca="false">+Tabla[[#This Row],[TOTAL]]</f>
        <v>1547000</v>
      </c>
      <c r="Y578" s="37"/>
      <c r="Z578" s="37"/>
      <c r="AA578" s="37"/>
      <c r="AB578" s="38" t="n">
        <f aca="false">+W578-AC578</f>
        <v>0</v>
      </c>
      <c r="AC578" s="34" t="n">
        <f aca="false">+Tabla[[#This Row],[P4]]+Tabla[[#This Row],[P3]]+Tabla[[#This Row],[P2]]+Tabla[[#This Row],[P1]]</f>
        <v>1547000</v>
      </c>
      <c r="AD578" s="34" t="n">
        <f aca="false">+W578-AC578</f>
        <v>0</v>
      </c>
      <c r="AE578" s="21" t="str">
        <f aca="false">IF(AB578&lt;1,"PAGADA","PENDIENTE")</f>
        <v>PAGADA</v>
      </c>
      <c r="AF578" s="21"/>
      <c r="AG578" s="29" t="s">
        <v>77</v>
      </c>
      <c r="AH578" s="39" t="n">
        <v>46175</v>
      </c>
      <c r="AI578" s="40" t="n">
        <f aca="false">+IF(Tabla[[#This Row],[FECHA PAGO / ABONO]]&lt;1,0,(MONTH(Tabla[[#This Row],[FECHA PAGO / ABONO]])))</f>
        <v>6</v>
      </c>
      <c r="AJ578" s="40" t="n">
        <f aca="false">+IF(Tabla[[#This Row],[FECHA PAGO / ABONO]]&lt;1,0,(YEAR(Tabla[[#This Row],[FECHA PAGO / ABONO]])))</f>
        <v>2026</v>
      </c>
      <c r="AK578" s="41"/>
    </row>
    <row r="579" customFormat="false" ht="14.25" hidden="false" customHeight="false" outlineLevel="0" collapsed="false">
      <c r="A579" s="58" t="s">
        <v>127</v>
      </c>
      <c r="B579" s="21" t="s">
        <v>128</v>
      </c>
      <c r="C579" s="21" t="s">
        <v>69</v>
      </c>
      <c r="D579" s="21" t="n">
        <v>47351</v>
      </c>
      <c r="E579" s="43" t="str">
        <f aca="false">+CONCATENATE(Tabla[[#This Row],[RUT]],Tabla[[#This Row],[PROVEEDOR]],Tabla[[#This Row],[FACTURA]])</f>
        <v>84364100-8Publicidad Exterior Publivia SpA47351</v>
      </c>
      <c r="F579" s="30" t="n">
        <v>46134</v>
      </c>
      <c r="G579" s="31" t="n">
        <f aca="false">+F579+30</f>
        <v>46164</v>
      </c>
      <c r="H579" s="29" t="n">
        <f aca="true">+IF(AE579="PAGADA",0,TODAY()-G579)</f>
        <v>40</v>
      </c>
      <c r="I579" s="29" t="str">
        <f aca="false">+IF(H579&gt;180,"Atrasada",IF(H579&gt;150,"150 dias",IF(H579&gt;120,"120 dias",IF(H579&gt;90,"90 dias",IF(H579&gt;60,"60 dias",IF(H579&gt;30,"30 dias","Al Día"))))))</f>
        <v>30 dias</v>
      </c>
      <c r="J579" s="59" t="s">
        <v>80</v>
      </c>
      <c r="K579" s="60" t="s">
        <v>81</v>
      </c>
      <c r="L579" s="61" t="s">
        <v>309</v>
      </c>
      <c r="M579" s="29" t="n">
        <f aca="false">+YEAR(F579)</f>
        <v>2026</v>
      </c>
      <c r="N579" s="62" t="n">
        <v>2026</v>
      </c>
      <c r="O579" s="63" t="n">
        <v>3</v>
      </c>
      <c r="P579" s="29" t="str">
        <f aca="false">+CONCATENATE(Tabla[[#This Row],[MES CAMPAÑA]],"/",Tabla[[#This Row],[AÑO CAMPAÑA]])</f>
        <v>3/2026</v>
      </c>
      <c r="Q579" s="60" t="s">
        <v>92</v>
      </c>
      <c r="R579" s="29"/>
      <c r="S579" s="64" t="n">
        <v>0</v>
      </c>
      <c r="T579" s="64" t="n">
        <v>597095</v>
      </c>
      <c r="U579" s="64" t="n">
        <v>113448</v>
      </c>
      <c r="V579" s="29"/>
      <c r="W579" s="24" t="n">
        <v>710543</v>
      </c>
      <c r="X579" s="36"/>
      <c r="Y579" s="37"/>
      <c r="Z579" s="37"/>
      <c r="AA579" s="37"/>
      <c r="AB579" s="38" t="n">
        <f aca="false">+W579-AC579</f>
        <v>710543</v>
      </c>
      <c r="AC579" s="34" t="n">
        <f aca="false">+Tabla[[#This Row],[P4]]+Tabla[[#This Row],[P3]]+Tabla[[#This Row],[P2]]+Tabla[[#This Row],[P1]]</f>
        <v>0</v>
      </c>
      <c r="AD579" s="34" t="n">
        <f aca="false">+W579-AC579</f>
        <v>710543</v>
      </c>
      <c r="AE579" s="21" t="str">
        <f aca="false">IF(AB579&lt;1,"PAGADA","PENDIENTE")</f>
        <v>PENDIENTE</v>
      </c>
      <c r="AF579" s="21"/>
      <c r="AG579" s="29"/>
      <c r="AH579" s="40"/>
      <c r="AI579" s="40" t="n">
        <f aca="false">+IF(Tabla[[#This Row],[FECHA PAGO / ABONO]]&lt;1,0,(MONTH(Tabla[[#This Row],[FECHA PAGO / ABONO]])))</f>
        <v>0</v>
      </c>
      <c r="AJ579" s="40" t="n">
        <f aca="false">+IF(Tabla[[#This Row],[FECHA PAGO / ABONO]]&lt;1,0,(YEAR(Tabla[[#This Row],[FECHA PAGO / ABONO]])))</f>
        <v>0</v>
      </c>
      <c r="AK579" s="41"/>
    </row>
    <row r="580" customFormat="false" ht="14.25" hidden="false" customHeight="false" outlineLevel="0" collapsed="false">
      <c r="A580" s="58" t="s">
        <v>210</v>
      </c>
      <c r="B580" s="21" t="s">
        <v>211</v>
      </c>
      <c r="C580" s="21" t="s">
        <v>69</v>
      </c>
      <c r="D580" s="21" t="n">
        <v>40752</v>
      </c>
      <c r="E580" s="43" t="str">
        <f aca="false">+CONCATENATE(Tabla[[#This Row],[RUT]],Tabla[[#This Row],[PROVEEDOR]],Tabla[[#This Row],[FACTURA]])</f>
        <v>78794060-9MEGAMEDIA RADIO S.A.40752</v>
      </c>
      <c r="F580" s="30" t="n">
        <v>46134</v>
      </c>
      <c r="G580" s="31" t="n">
        <f aca="false">+F580+30</f>
        <v>46164</v>
      </c>
      <c r="H580" s="29" t="n">
        <f aca="true">+IF(AE580="PAGADA",0,TODAY()-G580)</f>
        <v>40</v>
      </c>
      <c r="I580" s="29" t="str">
        <f aca="false">+IF(H580&gt;180,"Atrasada",IF(H580&gt;150,"150 dias",IF(H580&gt;120,"120 dias",IF(H580&gt;90,"90 dias",IF(H580&gt;60,"60 dias",IF(H580&gt;30,"30 dias","Al Día"))))))</f>
        <v>30 dias</v>
      </c>
      <c r="J580" s="59" t="s">
        <v>80</v>
      </c>
      <c r="K580" s="60" t="s">
        <v>81</v>
      </c>
      <c r="L580" s="61" t="s">
        <v>309</v>
      </c>
      <c r="M580" s="29" t="n">
        <f aca="false">+YEAR(F580)</f>
        <v>2026</v>
      </c>
      <c r="N580" s="62" t="n">
        <v>2026</v>
      </c>
      <c r="O580" s="63" t="n">
        <v>3</v>
      </c>
      <c r="P580" s="29" t="str">
        <f aca="false">+CONCATENATE(Tabla[[#This Row],[MES CAMPAÑA]],"/",Tabla[[#This Row],[AÑO CAMPAÑA]])</f>
        <v>3/2026</v>
      </c>
      <c r="Q580" s="60" t="s">
        <v>212</v>
      </c>
      <c r="R580" s="29"/>
      <c r="S580" s="64" t="n">
        <v>0</v>
      </c>
      <c r="T580" s="64" t="n">
        <v>2585000</v>
      </c>
      <c r="U580" s="64" t="n">
        <v>491150</v>
      </c>
      <c r="V580" s="29"/>
      <c r="W580" s="24" t="n">
        <v>3076150</v>
      </c>
      <c r="X580" s="36"/>
      <c r="Y580" s="37"/>
      <c r="Z580" s="37"/>
      <c r="AA580" s="37"/>
      <c r="AB580" s="38" t="n">
        <f aca="false">+W580-AC580</f>
        <v>3076150</v>
      </c>
      <c r="AC580" s="34" t="n">
        <f aca="false">+Tabla[[#This Row],[P4]]+Tabla[[#This Row],[P3]]+Tabla[[#This Row],[P2]]+Tabla[[#This Row],[P1]]</f>
        <v>0</v>
      </c>
      <c r="AD580" s="34" t="n">
        <f aca="false">+W580-AC580</f>
        <v>3076150</v>
      </c>
      <c r="AE580" s="21" t="str">
        <f aca="false">IF(AB580&lt;1,"PAGADA","PENDIENTE")</f>
        <v>PENDIENTE</v>
      </c>
      <c r="AF580" s="21"/>
      <c r="AG580" s="29"/>
      <c r="AH580" s="40"/>
      <c r="AI580" s="40" t="n">
        <f aca="false">+IF(Tabla[[#This Row],[FECHA PAGO / ABONO]]&lt;1,0,(MONTH(Tabla[[#This Row],[FECHA PAGO / ABONO]])))</f>
        <v>0</v>
      </c>
      <c r="AJ580" s="40" t="n">
        <f aca="false">+IF(Tabla[[#This Row],[FECHA PAGO / ABONO]]&lt;1,0,(YEAR(Tabla[[#This Row],[FECHA PAGO / ABONO]])))</f>
        <v>0</v>
      </c>
      <c r="AK580" s="41"/>
    </row>
    <row r="581" customFormat="false" ht="14.25" hidden="false" customHeight="false" outlineLevel="0" collapsed="false">
      <c r="A581" s="58" t="s">
        <v>127</v>
      </c>
      <c r="B581" s="21" t="s">
        <v>128</v>
      </c>
      <c r="C581" s="21" t="s">
        <v>69</v>
      </c>
      <c r="D581" s="21" t="n">
        <v>47352</v>
      </c>
      <c r="E581" s="43" t="str">
        <f aca="false">+CONCATENATE(Tabla[[#This Row],[RUT]],Tabla[[#This Row],[PROVEEDOR]],Tabla[[#This Row],[FACTURA]])</f>
        <v>84364100-8Publicidad Exterior Publivia SpA47352</v>
      </c>
      <c r="F581" s="30" t="n">
        <v>46134</v>
      </c>
      <c r="G581" s="31" t="n">
        <f aca="false">+F581+30</f>
        <v>46164</v>
      </c>
      <c r="H581" s="29" t="n">
        <f aca="true">+IF(AE581="PAGADA",0,TODAY()-G581)</f>
        <v>40</v>
      </c>
      <c r="I581" s="29" t="str">
        <f aca="false">+IF(H581&gt;180,"Atrasada",IF(H581&gt;150,"150 dias",IF(H581&gt;120,"120 dias",IF(H581&gt;90,"90 dias",IF(H581&gt;60,"60 dias",IF(H581&gt;30,"30 dias","Al Día"))))))</f>
        <v>30 dias</v>
      </c>
      <c r="J581" s="59" t="s">
        <v>80</v>
      </c>
      <c r="K581" s="60" t="s">
        <v>81</v>
      </c>
      <c r="L581" s="61" t="s">
        <v>309</v>
      </c>
      <c r="M581" s="29" t="n">
        <f aca="false">+YEAR(F581)</f>
        <v>2026</v>
      </c>
      <c r="N581" s="62" t="n">
        <v>2026</v>
      </c>
      <c r="O581" s="63" t="n">
        <v>3</v>
      </c>
      <c r="P581" s="29" t="str">
        <f aca="false">+CONCATENATE(Tabla[[#This Row],[MES CAMPAÑA]],"/",Tabla[[#This Row],[AÑO CAMPAÑA]])</f>
        <v>3/2026</v>
      </c>
      <c r="Q581" s="60" t="s">
        <v>92</v>
      </c>
      <c r="R581" s="29"/>
      <c r="S581" s="64" t="n">
        <v>0</v>
      </c>
      <c r="T581" s="64" t="n">
        <v>1287104</v>
      </c>
      <c r="U581" s="64" t="n">
        <v>244550</v>
      </c>
      <c r="V581" s="29"/>
      <c r="W581" s="24" t="n">
        <v>1531654</v>
      </c>
      <c r="X581" s="36"/>
      <c r="Y581" s="37"/>
      <c r="Z581" s="37"/>
      <c r="AA581" s="37"/>
      <c r="AB581" s="38" t="n">
        <f aca="false">+W581-AC581</f>
        <v>1531654</v>
      </c>
      <c r="AC581" s="34" t="n">
        <f aca="false">+Tabla[[#This Row],[P4]]+Tabla[[#This Row],[P3]]+Tabla[[#This Row],[P2]]+Tabla[[#This Row],[P1]]</f>
        <v>0</v>
      </c>
      <c r="AD581" s="34" t="n">
        <f aca="false">+W581-AC581</f>
        <v>1531654</v>
      </c>
      <c r="AE581" s="21" t="str">
        <f aca="false">IF(AB581&lt;1,"PAGADA","PENDIENTE")</f>
        <v>PENDIENTE</v>
      </c>
      <c r="AF581" s="21"/>
      <c r="AG581" s="29"/>
      <c r="AH581" s="40"/>
      <c r="AI581" s="40" t="n">
        <f aca="false">+IF(Tabla[[#This Row],[FECHA PAGO / ABONO]]&lt;1,0,(MONTH(Tabla[[#This Row],[FECHA PAGO / ABONO]])))</f>
        <v>0</v>
      </c>
      <c r="AJ581" s="40" t="n">
        <f aca="false">+IF(Tabla[[#This Row],[FECHA PAGO / ABONO]]&lt;1,0,(YEAR(Tabla[[#This Row],[FECHA PAGO / ABONO]])))</f>
        <v>0</v>
      </c>
      <c r="AK581" s="41"/>
    </row>
    <row r="582" customFormat="false" ht="14.25" hidden="false" customHeight="false" outlineLevel="0" collapsed="false">
      <c r="A582" s="58" t="s">
        <v>127</v>
      </c>
      <c r="B582" s="21" t="s">
        <v>128</v>
      </c>
      <c r="C582" s="21" t="s">
        <v>69</v>
      </c>
      <c r="D582" s="21" t="n">
        <v>47353</v>
      </c>
      <c r="E582" s="43" t="str">
        <f aca="false">+CONCATENATE(Tabla[[#This Row],[RUT]],Tabla[[#This Row],[PROVEEDOR]],Tabla[[#This Row],[FACTURA]])</f>
        <v>84364100-8Publicidad Exterior Publivia SpA47353</v>
      </c>
      <c r="F582" s="30" t="n">
        <v>46134</v>
      </c>
      <c r="G582" s="31" t="n">
        <f aca="false">+F582+30</f>
        <v>46164</v>
      </c>
      <c r="H582" s="29" t="n">
        <f aca="true">+IF(AE582="PAGADA",0,TODAY()-G582)</f>
        <v>40</v>
      </c>
      <c r="I582" s="29" t="str">
        <f aca="false">+IF(H582&gt;180,"Atrasada",IF(H582&gt;150,"150 dias",IF(H582&gt;120,"120 dias",IF(H582&gt;90,"90 dias",IF(H582&gt;60,"60 dias",IF(H582&gt;30,"30 dias","Al Día"))))))</f>
        <v>30 dias</v>
      </c>
      <c r="J582" s="59" t="s">
        <v>80</v>
      </c>
      <c r="K582" s="60" t="s">
        <v>81</v>
      </c>
      <c r="L582" s="61" t="s">
        <v>309</v>
      </c>
      <c r="M582" s="29" t="n">
        <f aca="false">+YEAR(F582)</f>
        <v>2026</v>
      </c>
      <c r="N582" s="62" t="n">
        <v>2026</v>
      </c>
      <c r="O582" s="63" t="n">
        <v>3</v>
      </c>
      <c r="P582" s="29" t="str">
        <f aca="false">+CONCATENATE(Tabla[[#This Row],[MES CAMPAÑA]],"/",Tabla[[#This Row],[AÑO CAMPAÑA]])</f>
        <v>3/2026</v>
      </c>
      <c r="Q582" s="60" t="s">
        <v>92</v>
      </c>
      <c r="R582" s="29"/>
      <c r="S582" s="64" t="n">
        <v>0</v>
      </c>
      <c r="T582" s="64" t="n">
        <v>364110</v>
      </c>
      <c r="U582" s="64" t="n">
        <v>69181</v>
      </c>
      <c r="V582" s="29"/>
      <c r="W582" s="24" t="n">
        <v>433291</v>
      </c>
      <c r="X582" s="36"/>
      <c r="Y582" s="37"/>
      <c r="Z582" s="37"/>
      <c r="AA582" s="37"/>
      <c r="AB582" s="38" t="n">
        <f aca="false">+W582-AC582</f>
        <v>433291</v>
      </c>
      <c r="AC582" s="34" t="n">
        <f aca="false">+Tabla[[#This Row],[P4]]+Tabla[[#This Row],[P3]]+Tabla[[#This Row],[P2]]+Tabla[[#This Row],[P1]]</f>
        <v>0</v>
      </c>
      <c r="AD582" s="34" t="n">
        <f aca="false">+W582-AC582</f>
        <v>433291</v>
      </c>
      <c r="AE582" s="21" t="str">
        <f aca="false">IF(AB582&lt;1,"PAGADA","PENDIENTE")</f>
        <v>PENDIENTE</v>
      </c>
      <c r="AF582" s="21"/>
      <c r="AG582" s="29"/>
      <c r="AH582" s="40"/>
      <c r="AI582" s="40" t="n">
        <f aca="false">+IF(Tabla[[#This Row],[FECHA PAGO / ABONO]]&lt;1,0,(MONTH(Tabla[[#This Row],[FECHA PAGO / ABONO]])))</f>
        <v>0</v>
      </c>
      <c r="AJ582" s="40" t="n">
        <f aca="false">+IF(Tabla[[#This Row],[FECHA PAGO / ABONO]]&lt;1,0,(YEAR(Tabla[[#This Row],[FECHA PAGO / ABONO]])))</f>
        <v>0</v>
      </c>
      <c r="AK582" s="41"/>
    </row>
    <row r="583" customFormat="false" ht="14.25" hidden="false" customHeight="false" outlineLevel="0" collapsed="false">
      <c r="A583" s="58" t="s">
        <v>191</v>
      </c>
      <c r="B583" s="21" t="s">
        <v>192</v>
      </c>
      <c r="C583" s="21" t="s">
        <v>69</v>
      </c>
      <c r="D583" s="21" t="n">
        <v>41001</v>
      </c>
      <c r="E583" s="43" t="str">
        <f aca="false">+CONCATENATE(Tabla[[#This Row],[RUT]],Tabla[[#This Row],[PROVEEDOR]],Tabla[[#This Row],[FACTURA]])</f>
        <v>94795000-2CIA.CHILENA DE COMUNICACIONES S.A.41001</v>
      </c>
      <c r="F583" s="30" t="n">
        <v>46134</v>
      </c>
      <c r="G583" s="31" t="n">
        <f aca="false">+F583+30</f>
        <v>46164</v>
      </c>
      <c r="H583" s="29" t="n">
        <f aca="true">+IF(AE583="PAGADA",0,TODAY()-G583)</f>
        <v>40</v>
      </c>
      <c r="I583" s="29" t="str">
        <f aca="false">+IF(H583&gt;180,"Atrasada",IF(H583&gt;150,"150 dias",IF(H583&gt;120,"120 dias",IF(H583&gt;90,"90 dias",IF(H583&gt;60,"60 dias",IF(H583&gt;30,"30 dias","Al Día"))))))</f>
        <v>30 dias</v>
      </c>
      <c r="J583" s="59" t="s">
        <v>80</v>
      </c>
      <c r="K583" s="60" t="s">
        <v>81</v>
      </c>
      <c r="L583" s="61" t="s">
        <v>309</v>
      </c>
      <c r="M583" s="29" t="n">
        <f aca="false">+YEAR(F583)</f>
        <v>2026</v>
      </c>
      <c r="N583" s="62" t="n">
        <v>2026</v>
      </c>
      <c r="O583" s="63" t="n">
        <v>3</v>
      </c>
      <c r="P583" s="29" t="str">
        <f aca="false">+CONCATENATE(Tabla[[#This Row],[MES CAMPAÑA]],"/",Tabla[[#This Row],[AÑO CAMPAÑA]])</f>
        <v>3/2026</v>
      </c>
      <c r="Q583" s="60" t="s">
        <v>194</v>
      </c>
      <c r="R583" s="29"/>
      <c r="S583" s="64" t="n">
        <v>0</v>
      </c>
      <c r="T583" s="64" t="n">
        <v>3100000</v>
      </c>
      <c r="U583" s="64" t="n">
        <v>589000</v>
      </c>
      <c r="V583" s="29"/>
      <c r="W583" s="24" t="n">
        <v>3689000</v>
      </c>
      <c r="X583" s="36"/>
      <c r="Y583" s="37"/>
      <c r="Z583" s="37"/>
      <c r="AA583" s="37"/>
      <c r="AB583" s="38" t="n">
        <f aca="false">+W583-AC583</f>
        <v>3689000</v>
      </c>
      <c r="AC583" s="34" t="n">
        <f aca="false">+Tabla[[#This Row],[P4]]+Tabla[[#This Row],[P3]]+Tabla[[#This Row],[P2]]+Tabla[[#This Row],[P1]]</f>
        <v>0</v>
      </c>
      <c r="AD583" s="34" t="n">
        <f aca="false">+W583-AC583</f>
        <v>3689000</v>
      </c>
      <c r="AE583" s="21" t="str">
        <f aca="false">IF(AB583&lt;1,"PAGADA","PENDIENTE")</f>
        <v>PENDIENTE</v>
      </c>
      <c r="AF583" s="21"/>
      <c r="AG583" s="29"/>
      <c r="AH583" s="40"/>
      <c r="AI583" s="40" t="n">
        <f aca="false">+IF(Tabla[[#This Row],[FECHA PAGO / ABONO]]&lt;1,0,(MONTH(Tabla[[#This Row],[FECHA PAGO / ABONO]])))</f>
        <v>0</v>
      </c>
      <c r="AJ583" s="40" t="n">
        <f aca="false">+IF(Tabla[[#This Row],[FECHA PAGO / ABONO]]&lt;1,0,(YEAR(Tabla[[#This Row],[FECHA PAGO / ABONO]])))</f>
        <v>0</v>
      </c>
      <c r="AK583" s="41"/>
    </row>
    <row r="584" customFormat="false" ht="14.25" hidden="false" customHeight="false" outlineLevel="0" collapsed="false">
      <c r="A584" s="58" t="s">
        <v>127</v>
      </c>
      <c r="B584" s="21" t="s">
        <v>128</v>
      </c>
      <c r="C584" s="21" t="s">
        <v>69</v>
      </c>
      <c r="D584" s="21" t="n">
        <v>47354</v>
      </c>
      <c r="E584" s="43" t="str">
        <f aca="false">+CONCATENATE(Tabla[[#This Row],[RUT]],Tabla[[#This Row],[PROVEEDOR]],Tabla[[#This Row],[FACTURA]])</f>
        <v>84364100-8Publicidad Exterior Publivia SpA47354</v>
      </c>
      <c r="F584" s="30" t="n">
        <v>46134</v>
      </c>
      <c r="G584" s="31" t="n">
        <f aca="false">+F584+30</f>
        <v>46164</v>
      </c>
      <c r="H584" s="29" t="n">
        <f aca="true">+IF(AE584="PAGADA",0,TODAY()-G584)</f>
        <v>40</v>
      </c>
      <c r="I584" s="29" t="str">
        <f aca="false">+IF(H584&gt;180,"Atrasada",IF(H584&gt;150,"150 dias",IF(H584&gt;120,"120 dias",IF(H584&gt;90,"90 dias",IF(H584&gt;60,"60 dias",IF(H584&gt;30,"30 dias","Al Día"))))))</f>
        <v>30 dias</v>
      </c>
      <c r="J584" s="59" t="s">
        <v>80</v>
      </c>
      <c r="K584" s="60" t="s">
        <v>81</v>
      </c>
      <c r="L584" s="61" t="s">
        <v>309</v>
      </c>
      <c r="M584" s="29" t="n">
        <f aca="false">+YEAR(F584)</f>
        <v>2026</v>
      </c>
      <c r="N584" s="62" t="n">
        <v>2026</v>
      </c>
      <c r="O584" s="63" t="n">
        <v>3</v>
      </c>
      <c r="P584" s="29" t="str">
        <f aca="false">+CONCATENATE(Tabla[[#This Row],[MES CAMPAÑA]],"/",Tabla[[#This Row],[AÑO CAMPAÑA]])</f>
        <v>3/2026</v>
      </c>
      <c r="Q584" s="60" t="s">
        <v>92</v>
      </c>
      <c r="R584" s="29"/>
      <c r="S584" s="64" t="n">
        <v>0</v>
      </c>
      <c r="T584" s="64" t="n">
        <v>544034</v>
      </c>
      <c r="U584" s="64" t="n">
        <v>103366</v>
      </c>
      <c r="V584" s="29"/>
      <c r="W584" s="24" t="n">
        <v>647400</v>
      </c>
      <c r="X584" s="36"/>
      <c r="Y584" s="37"/>
      <c r="Z584" s="37"/>
      <c r="AA584" s="37"/>
      <c r="AB584" s="38" t="n">
        <f aca="false">+W584-AC584</f>
        <v>647400</v>
      </c>
      <c r="AC584" s="34" t="n">
        <f aca="false">+Tabla[[#This Row],[P4]]+Tabla[[#This Row],[P3]]+Tabla[[#This Row],[P2]]+Tabla[[#This Row],[P1]]</f>
        <v>0</v>
      </c>
      <c r="AD584" s="34" t="n">
        <f aca="false">+W584-AC584</f>
        <v>647400</v>
      </c>
      <c r="AE584" s="21" t="str">
        <f aca="false">IF(AB584&lt;1,"PAGADA","PENDIENTE")</f>
        <v>PENDIENTE</v>
      </c>
      <c r="AF584" s="21"/>
      <c r="AG584" s="29"/>
      <c r="AH584" s="40"/>
      <c r="AI584" s="40" t="n">
        <f aca="false">+IF(Tabla[[#This Row],[FECHA PAGO / ABONO]]&lt;1,0,(MONTH(Tabla[[#This Row],[FECHA PAGO / ABONO]])))</f>
        <v>0</v>
      </c>
      <c r="AJ584" s="40" t="n">
        <f aca="false">+IF(Tabla[[#This Row],[FECHA PAGO / ABONO]]&lt;1,0,(YEAR(Tabla[[#This Row],[FECHA PAGO / ABONO]])))</f>
        <v>0</v>
      </c>
      <c r="AK584" s="41"/>
    </row>
    <row r="585" customFormat="false" ht="14.25" hidden="false" customHeight="false" outlineLevel="0" collapsed="false">
      <c r="A585" s="58" t="s">
        <v>127</v>
      </c>
      <c r="B585" s="21" t="s">
        <v>128</v>
      </c>
      <c r="C585" s="21" t="s">
        <v>69</v>
      </c>
      <c r="D585" s="21" t="n">
        <v>47355</v>
      </c>
      <c r="E585" s="43" t="str">
        <f aca="false">+CONCATENATE(Tabla[[#This Row],[RUT]],Tabla[[#This Row],[PROVEEDOR]],Tabla[[#This Row],[FACTURA]])</f>
        <v>84364100-8Publicidad Exterior Publivia SpA47355</v>
      </c>
      <c r="F585" s="30" t="n">
        <v>46134</v>
      </c>
      <c r="G585" s="31" t="n">
        <f aca="false">+F585+30</f>
        <v>46164</v>
      </c>
      <c r="H585" s="29" t="n">
        <f aca="true">+IF(AE585="PAGADA",0,TODAY()-G585)</f>
        <v>40</v>
      </c>
      <c r="I585" s="29" t="str">
        <f aca="false">+IF(H585&gt;180,"Atrasada",IF(H585&gt;150,"150 dias",IF(H585&gt;120,"120 dias",IF(H585&gt;90,"90 dias",IF(H585&gt;60,"60 dias",IF(H585&gt;30,"30 dias","Al Día"))))))</f>
        <v>30 dias</v>
      </c>
      <c r="J585" s="59" t="s">
        <v>80</v>
      </c>
      <c r="K585" s="60" t="s">
        <v>81</v>
      </c>
      <c r="L585" s="61" t="s">
        <v>309</v>
      </c>
      <c r="M585" s="29" t="n">
        <f aca="false">+YEAR(F585)</f>
        <v>2026</v>
      </c>
      <c r="N585" s="62" t="n">
        <v>2026</v>
      </c>
      <c r="O585" s="63" t="n">
        <v>3</v>
      </c>
      <c r="P585" s="29" t="str">
        <f aca="false">+CONCATENATE(Tabla[[#This Row],[MES CAMPAÑA]],"/",Tabla[[#This Row],[AÑO CAMPAÑA]])</f>
        <v>3/2026</v>
      </c>
      <c r="Q585" s="60" t="s">
        <v>92</v>
      </c>
      <c r="R585" s="29"/>
      <c r="S585" s="64" t="n">
        <v>0</v>
      </c>
      <c r="T585" s="64" t="n">
        <v>571179</v>
      </c>
      <c r="U585" s="64" t="n">
        <v>108524</v>
      </c>
      <c r="V585" s="29"/>
      <c r="W585" s="24" t="n">
        <v>679703</v>
      </c>
      <c r="X585" s="36"/>
      <c r="Y585" s="37"/>
      <c r="Z585" s="37"/>
      <c r="AA585" s="37"/>
      <c r="AB585" s="38" t="n">
        <f aca="false">+W585-AC585</f>
        <v>679703</v>
      </c>
      <c r="AC585" s="34" t="n">
        <f aca="false">+Tabla[[#This Row],[P4]]+Tabla[[#This Row],[P3]]+Tabla[[#This Row],[P2]]+Tabla[[#This Row],[P1]]</f>
        <v>0</v>
      </c>
      <c r="AD585" s="34" t="n">
        <f aca="false">+W585-AC585</f>
        <v>679703</v>
      </c>
      <c r="AE585" s="21" t="str">
        <f aca="false">IF(AB585&lt;1,"PAGADA","PENDIENTE")</f>
        <v>PENDIENTE</v>
      </c>
      <c r="AF585" s="21"/>
      <c r="AG585" s="29"/>
      <c r="AH585" s="40"/>
      <c r="AI585" s="40" t="n">
        <f aca="false">+IF(Tabla[[#This Row],[FECHA PAGO / ABONO]]&lt;1,0,(MONTH(Tabla[[#This Row],[FECHA PAGO / ABONO]])))</f>
        <v>0</v>
      </c>
      <c r="AJ585" s="40" t="n">
        <f aca="false">+IF(Tabla[[#This Row],[FECHA PAGO / ABONO]]&lt;1,0,(YEAR(Tabla[[#This Row],[FECHA PAGO / ABONO]])))</f>
        <v>0</v>
      </c>
      <c r="AK585" s="41"/>
    </row>
    <row r="586" customFormat="false" ht="14.25" hidden="false" customHeight="false" outlineLevel="0" collapsed="false">
      <c r="A586" s="58" t="s">
        <v>127</v>
      </c>
      <c r="B586" s="21" t="s">
        <v>128</v>
      </c>
      <c r="C586" s="21" t="s">
        <v>69</v>
      </c>
      <c r="D586" s="21" t="n">
        <v>47356</v>
      </c>
      <c r="E586" s="43" t="str">
        <f aca="false">+CONCATENATE(Tabla[[#This Row],[RUT]],Tabla[[#This Row],[PROVEEDOR]],Tabla[[#This Row],[FACTURA]])</f>
        <v>84364100-8Publicidad Exterior Publivia SpA47356</v>
      </c>
      <c r="F586" s="30" t="n">
        <v>46134</v>
      </c>
      <c r="G586" s="31" t="n">
        <f aca="false">+F586+30</f>
        <v>46164</v>
      </c>
      <c r="H586" s="29" t="n">
        <f aca="true">+IF(AE586="PAGADA",0,TODAY()-G586)</f>
        <v>40</v>
      </c>
      <c r="I586" s="29" t="str">
        <f aca="false">+IF(H586&gt;180,"Atrasada",IF(H586&gt;150,"150 dias",IF(H586&gt;120,"120 dias",IF(H586&gt;90,"90 dias",IF(H586&gt;60,"60 dias",IF(H586&gt;30,"30 dias","Al Día"))))))</f>
        <v>30 dias</v>
      </c>
      <c r="J586" s="59" t="s">
        <v>80</v>
      </c>
      <c r="K586" s="60" t="s">
        <v>81</v>
      </c>
      <c r="L586" s="61" t="s">
        <v>309</v>
      </c>
      <c r="M586" s="29" t="n">
        <f aca="false">+YEAR(F586)</f>
        <v>2026</v>
      </c>
      <c r="N586" s="62" t="n">
        <v>2026</v>
      </c>
      <c r="O586" s="63" t="n">
        <v>3</v>
      </c>
      <c r="P586" s="29" t="str">
        <f aca="false">+CONCATENATE(Tabla[[#This Row],[MES CAMPAÑA]],"/",Tabla[[#This Row],[AÑO CAMPAÑA]])</f>
        <v>3/2026</v>
      </c>
      <c r="Q586" s="60" t="s">
        <v>92</v>
      </c>
      <c r="R586" s="29"/>
      <c r="S586" s="64" t="n">
        <v>0</v>
      </c>
      <c r="T586" s="64" t="n">
        <v>515199</v>
      </c>
      <c r="U586" s="64" t="n">
        <v>97888</v>
      </c>
      <c r="V586" s="29"/>
      <c r="W586" s="24" t="n">
        <v>613087</v>
      </c>
      <c r="X586" s="36"/>
      <c r="Y586" s="37"/>
      <c r="Z586" s="37"/>
      <c r="AA586" s="37"/>
      <c r="AB586" s="38" t="n">
        <f aca="false">+W586-AC586</f>
        <v>613087</v>
      </c>
      <c r="AC586" s="34" t="n">
        <f aca="false">+Tabla[[#This Row],[P4]]+Tabla[[#This Row],[P3]]+Tabla[[#This Row],[P2]]+Tabla[[#This Row],[P1]]</f>
        <v>0</v>
      </c>
      <c r="AD586" s="34" t="n">
        <f aca="false">+W586-AC586</f>
        <v>613087</v>
      </c>
      <c r="AE586" s="21" t="str">
        <f aca="false">IF(AB586&lt;1,"PAGADA","PENDIENTE")</f>
        <v>PENDIENTE</v>
      </c>
      <c r="AF586" s="21"/>
      <c r="AG586" s="29"/>
      <c r="AH586" s="40"/>
      <c r="AI586" s="40" t="n">
        <f aca="false">+IF(Tabla[[#This Row],[FECHA PAGO / ABONO]]&lt;1,0,(MONTH(Tabla[[#This Row],[FECHA PAGO / ABONO]])))</f>
        <v>0</v>
      </c>
      <c r="AJ586" s="40" t="n">
        <f aca="false">+IF(Tabla[[#This Row],[FECHA PAGO / ABONO]]&lt;1,0,(YEAR(Tabla[[#This Row],[FECHA PAGO / ABONO]])))</f>
        <v>0</v>
      </c>
      <c r="AK586" s="41"/>
    </row>
    <row r="587" customFormat="false" ht="14.25" hidden="false" customHeight="false" outlineLevel="0" collapsed="false">
      <c r="A587" s="58" t="s">
        <v>191</v>
      </c>
      <c r="B587" s="21" t="s">
        <v>192</v>
      </c>
      <c r="C587" s="21" t="s">
        <v>69</v>
      </c>
      <c r="D587" s="21" t="n">
        <v>41002</v>
      </c>
      <c r="E587" s="43" t="str">
        <f aca="false">+CONCATENATE(Tabla[[#This Row],[RUT]],Tabla[[#This Row],[PROVEEDOR]],Tabla[[#This Row],[FACTURA]])</f>
        <v>94795000-2CIA.CHILENA DE COMUNICACIONES S.A.41002</v>
      </c>
      <c r="F587" s="30" t="n">
        <v>46134</v>
      </c>
      <c r="G587" s="31" t="n">
        <f aca="false">+F587+30</f>
        <v>46164</v>
      </c>
      <c r="H587" s="29" t="n">
        <f aca="true">+IF(AE587="PAGADA",0,TODAY()-G587)</f>
        <v>40</v>
      </c>
      <c r="I587" s="29" t="str">
        <f aca="false">+IF(H587&gt;180,"Atrasada",IF(H587&gt;150,"150 dias",IF(H587&gt;120,"120 dias",IF(H587&gt;90,"90 dias",IF(H587&gt;60,"60 dias",IF(H587&gt;30,"30 dias","Al Día"))))))</f>
        <v>30 dias</v>
      </c>
      <c r="J587" s="59" t="s">
        <v>80</v>
      </c>
      <c r="K587" s="60" t="s">
        <v>81</v>
      </c>
      <c r="L587" s="61" t="s">
        <v>309</v>
      </c>
      <c r="M587" s="29" t="n">
        <f aca="false">+YEAR(F587)</f>
        <v>2026</v>
      </c>
      <c r="N587" s="62" t="n">
        <v>2026</v>
      </c>
      <c r="O587" s="63" t="n">
        <v>3</v>
      </c>
      <c r="P587" s="29" t="str">
        <f aca="false">+CONCATENATE(Tabla[[#This Row],[MES CAMPAÑA]],"/",Tabla[[#This Row],[AÑO CAMPAÑA]])</f>
        <v>3/2026</v>
      </c>
      <c r="Q587" s="60" t="s">
        <v>92</v>
      </c>
      <c r="R587" s="29"/>
      <c r="S587" s="64" t="n">
        <v>0</v>
      </c>
      <c r="T587" s="64" t="n">
        <v>1500000</v>
      </c>
      <c r="U587" s="64" t="n">
        <v>285000</v>
      </c>
      <c r="V587" s="29"/>
      <c r="W587" s="24" t="n">
        <v>1785000</v>
      </c>
      <c r="X587" s="36"/>
      <c r="Y587" s="37"/>
      <c r="Z587" s="37"/>
      <c r="AA587" s="37"/>
      <c r="AB587" s="38" t="n">
        <f aca="false">+W587-AC587</f>
        <v>1785000</v>
      </c>
      <c r="AC587" s="34" t="n">
        <f aca="false">+Tabla[[#This Row],[P4]]+Tabla[[#This Row],[P3]]+Tabla[[#This Row],[P2]]+Tabla[[#This Row],[P1]]</f>
        <v>0</v>
      </c>
      <c r="AD587" s="34" t="n">
        <f aca="false">+W587-AC587</f>
        <v>1785000</v>
      </c>
      <c r="AE587" s="21" t="str">
        <f aca="false">IF(AB587&lt;1,"PAGADA","PENDIENTE")</f>
        <v>PENDIENTE</v>
      </c>
      <c r="AF587" s="21"/>
      <c r="AG587" s="29"/>
      <c r="AH587" s="40"/>
      <c r="AI587" s="40" t="n">
        <f aca="false">+IF(Tabla[[#This Row],[FECHA PAGO / ABONO]]&lt;1,0,(MONTH(Tabla[[#This Row],[FECHA PAGO / ABONO]])))</f>
        <v>0</v>
      </c>
      <c r="AJ587" s="40" t="n">
        <f aca="false">+IF(Tabla[[#This Row],[FECHA PAGO / ABONO]]&lt;1,0,(YEAR(Tabla[[#This Row],[FECHA PAGO / ABONO]])))</f>
        <v>0</v>
      </c>
      <c r="AK587" s="41"/>
    </row>
    <row r="588" customFormat="false" ht="14.25" hidden="false" customHeight="false" outlineLevel="0" collapsed="false">
      <c r="A588" s="58" t="s">
        <v>127</v>
      </c>
      <c r="B588" s="21" t="s">
        <v>128</v>
      </c>
      <c r="C588" s="21" t="s">
        <v>69</v>
      </c>
      <c r="D588" s="21" t="n">
        <v>47357</v>
      </c>
      <c r="E588" s="43" t="str">
        <f aca="false">+CONCATENATE(Tabla[[#This Row],[RUT]],Tabla[[#This Row],[PROVEEDOR]],Tabla[[#This Row],[FACTURA]])</f>
        <v>84364100-8Publicidad Exterior Publivia SpA47357</v>
      </c>
      <c r="F588" s="30" t="n">
        <v>46134</v>
      </c>
      <c r="G588" s="31" t="n">
        <f aca="false">+F588+30</f>
        <v>46164</v>
      </c>
      <c r="H588" s="29" t="n">
        <f aca="true">+IF(AE588="PAGADA",0,TODAY()-G588)</f>
        <v>40</v>
      </c>
      <c r="I588" s="29" t="str">
        <f aca="false">+IF(H588&gt;180,"Atrasada",IF(H588&gt;150,"150 dias",IF(H588&gt;120,"120 dias",IF(H588&gt;90,"90 dias",IF(H588&gt;60,"60 dias",IF(H588&gt;30,"30 dias","Al Día"))))))</f>
        <v>30 dias</v>
      </c>
      <c r="J588" s="59" t="s">
        <v>80</v>
      </c>
      <c r="K588" s="60" t="s">
        <v>81</v>
      </c>
      <c r="L588" s="61" t="s">
        <v>309</v>
      </c>
      <c r="M588" s="29" t="n">
        <f aca="false">+YEAR(F588)</f>
        <v>2026</v>
      </c>
      <c r="N588" s="62" t="n">
        <v>2026</v>
      </c>
      <c r="O588" s="63" t="n">
        <v>3</v>
      </c>
      <c r="P588" s="29" t="str">
        <f aca="false">+CONCATENATE(Tabla[[#This Row],[MES CAMPAÑA]],"/",Tabla[[#This Row],[AÑO CAMPAÑA]])</f>
        <v>3/2026</v>
      </c>
      <c r="Q588" s="60" t="s">
        <v>92</v>
      </c>
      <c r="R588" s="29"/>
      <c r="S588" s="64" t="n">
        <v>0</v>
      </c>
      <c r="T588" s="64" t="n">
        <v>489257</v>
      </c>
      <c r="U588" s="64" t="n">
        <v>92959</v>
      </c>
      <c r="V588" s="29"/>
      <c r="W588" s="24" t="n">
        <v>582216</v>
      </c>
      <c r="X588" s="36"/>
      <c r="Y588" s="37"/>
      <c r="Z588" s="37"/>
      <c r="AA588" s="37"/>
      <c r="AB588" s="38" t="n">
        <f aca="false">+W588-AC588</f>
        <v>582216</v>
      </c>
      <c r="AC588" s="34" t="n">
        <f aca="false">+Tabla[[#This Row],[P4]]+Tabla[[#This Row],[P3]]+Tabla[[#This Row],[P2]]+Tabla[[#This Row],[P1]]</f>
        <v>0</v>
      </c>
      <c r="AD588" s="34" t="n">
        <f aca="false">+W588-AC588</f>
        <v>582216</v>
      </c>
      <c r="AE588" s="21" t="str">
        <f aca="false">IF(AB588&lt;1,"PAGADA","PENDIENTE")</f>
        <v>PENDIENTE</v>
      </c>
      <c r="AF588" s="21"/>
      <c r="AG588" s="29"/>
      <c r="AH588" s="40"/>
      <c r="AI588" s="40" t="n">
        <f aca="false">+IF(Tabla[[#This Row],[FECHA PAGO / ABONO]]&lt;1,0,(MONTH(Tabla[[#This Row],[FECHA PAGO / ABONO]])))</f>
        <v>0</v>
      </c>
      <c r="AJ588" s="40" t="n">
        <f aca="false">+IF(Tabla[[#This Row],[FECHA PAGO / ABONO]]&lt;1,0,(YEAR(Tabla[[#This Row],[FECHA PAGO / ABONO]])))</f>
        <v>0</v>
      </c>
      <c r="AK588" s="41"/>
    </row>
    <row r="589" customFormat="false" ht="14.25" hidden="false" customHeight="false" outlineLevel="0" collapsed="false">
      <c r="A589" s="58" t="s">
        <v>127</v>
      </c>
      <c r="B589" s="21" t="s">
        <v>128</v>
      </c>
      <c r="C589" s="21" t="s">
        <v>69</v>
      </c>
      <c r="D589" s="21" t="n">
        <v>47358</v>
      </c>
      <c r="E589" s="43" t="str">
        <f aca="false">+CONCATENATE(Tabla[[#This Row],[RUT]],Tabla[[#This Row],[PROVEEDOR]],Tabla[[#This Row],[FACTURA]])</f>
        <v>84364100-8Publicidad Exterior Publivia SpA47358</v>
      </c>
      <c r="F589" s="30" t="n">
        <v>46134</v>
      </c>
      <c r="G589" s="31" t="n">
        <f aca="false">+F589+30</f>
        <v>46164</v>
      </c>
      <c r="H589" s="29" t="n">
        <f aca="true">+IF(AE589="PAGADA",0,TODAY()-G589)</f>
        <v>40</v>
      </c>
      <c r="I589" s="29" t="str">
        <f aca="false">+IF(H589&gt;180,"Atrasada",IF(H589&gt;150,"150 dias",IF(H589&gt;120,"120 dias",IF(H589&gt;90,"90 dias",IF(H589&gt;60,"60 dias",IF(H589&gt;30,"30 dias","Al Día"))))))</f>
        <v>30 dias</v>
      </c>
      <c r="J589" s="59" t="s">
        <v>80</v>
      </c>
      <c r="K589" s="60" t="s">
        <v>81</v>
      </c>
      <c r="L589" s="61" t="s">
        <v>309</v>
      </c>
      <c r="M589" s="29" t="n">
        <f aca="false">+YEAR(F589)</f>
        <v>2026</v>
      </c>
      <c r="N589" s="62" t="n">
        <v>2026</v>
      </c>
      <c r="O589" s="63" t="n">
        <v>3</v>
      </c>
      <c r="P589" s="29" t="str">
        <f aca="false">+CONCATENATE(Tabla[[#This Row],[MES CAMPAÑA]],"/",Tabla[[#This Row],[AÑO CAMPAÑA]])</f>
        <v>3/2026</v>
      </c>
      <c r="Q589" s="60" t="s">
        <v>92</v>
      </c>
      <c r="R589" s="29"/>
      <c r="S589" s="64" t="n">
        <v>0</v>
      </c>
      <c r="T589" s="64" t="n">
        <v>361254</v>
      </c>
      <c r="U589" s="64" t="n">
        <v>68638</v>
      </c>
      <c r="V589" s="29"/>
      <c r="W589" s="24" t="n">
        <v>429892</v>
      </c>
      <c r="X589" s="36"/>
      <c r="Y589" s="37"/>
      <c r="Z589" s="37"/>
      <c r="AA589" s="37"/>
      <c r="AB589" s="38" t="n">
        <f aca="false">+W589-AC589</f>
        <v>429892</v>
      </c>
      <c r="AC589" s="34" t="n">
        <f aca="false">+Tabla[[#This Row],[P4]]+Tabla[[#This Row],[P3]]+Tabla[[#This Row],[P2]]+Tabla[[#This Row],[P1]]</f>
        <v>0</v>
      </c>
      <c r="AD589" s="34" t="n">
        <f aca="false">+W589-AC589</f>
        <v>429892</v>
      </c>
      <c r="AE589" s="21" t="str">
        <f aca="false">IF(AB589&lt;1,"PAGADA","PENDIENTE")</f>
        <v>PENDIENTE</v>
      </c>
      <c r="AF589" s="21"/>
      <c r="AG589" s="29"/>
      <c r="AH589" s="40"/>
      <c r="AI589" s="40" t="n">
        <f aca="false">+IF(Tabla[[#This Row],[FECHA PAGO / ABONO]]&lt;1,0,(MONTH(Tabla[[#This Row],[FECHA PAGO / ABONO]])))</f>
        <v>0</v>
      </c>
      <c r="AJ589" s="40" t="n">
        <f aca="false">+IF(Tabla[[#This Row],[FECHA PAGO / ABONO]]&lt;1,0,(YEAR(Tabla[[#This Row],[FECHA PAGO / ABONO]])))</f>
        <v>0</v>
      </c>
      <c r="AK589" s="41"/>
    </row>
    <row r="590" customFormat="false" ht="14.25" hidden="false" customHeight="false" outlineLevel="0" collapsed="false">
      <c r="A590" s="58" t="s">
        <v>166</v>
      </c>
      <c r="B590" s="21" t="s">
        <v>167</v>
      </c>
      <c r="C590" s="21" t="s">
        <v>69</v>
      </c>
      <c r="D590" s="21" t="n">
        <v>1187</v>
      </c>
      <c r="E590" s="43" t="str">
        <f aca="false">+CONCATENATE(Tabla[[#This Row],[RUT]],Tabla[[#This Row],[PROVEEDOR]],Tabla[[#This Row],[FACTURA]])</f>
        <v>76564873-4SERVICIOS DE PRODUCCIÃ“N CRISTIAN MARCELO LABBÃ‰ VENEGAS E.I.R.L.1187</v>
      </c>
      <c r="F590" s="30" t="n">
        <v>46134</v>
      </c>
      <c r="G590" s="31" t="n">
        <f aca="false">+F590+30</f>
        <v>46164</v>
      </c>
      <c r="H590" s="29" t="n">
        <f aca="true">+IF(AE590="PAGADA",0,TODAY()-G590)</f>
        <v>0</v>
      </c>
      <c r="I590" s="29" t="str">
        <f aca="false">+IF(H590&gt;180,"Atrasada",IF(H590&gt;150,"150 dias",IF(H590&gt;120,"120 dias",IF(H590&gt;90,"90 dias",IF(H590&gt;60,"60 dias",IF(H590&gt;30,"30 dias","Al Día"))))))</f>
        <v>Al Día</v>
      </c>
      <c r="J590" s="59" t="s">
        <v>80</v>
      </c>
      <c r="K590" s="60" t="s">
        <v>81</v>
      </c>
      <c r="L590" s="61" t="s">
        <v>309</v>
      </c>
      <c r="M590" s="29" t="n">
        <f aca="false">+YEAR(F590)</f>
        <v>2026</v>
      </c>
      <c r="N590" s="62" t="n">
        <v>2026</v>
      </c>
      <c r="O590" s="63" t="n">
        <v>3</v>
      </c>
      <c r="P590" s="29" t="str">
        <f aca="false">+CONCATENATE(Tabla[[#This Row],[MES CAMPAÑA]],"/",Tabla[[#This Row],[AÑO CAMPAÑA]])</f>
        <v>3/2026</v>
      </c>
      <c r="Q590" s="60" t="s">
        <v>108</v>
      </c>
      <c r="R590" s="29"/>
      <c r="S590" s="64" t="n">
        <v>0</v>
      </c>
      <c r="T590" s="64" t="n">
        <v>607200</v>
      </c>
      <c r="U590" s="64" t="n">
        <v>115368</v>
      </c>
      <c r="V590" s="29"/>
      <c r="W590" s="24" t="n">
        <v>722568</v>
      </c>
      <c r="X590" s="36" t="n">
        <f aca="false">+Tabla[[#This Row],[TOTAL]]</f>
        <v>722568</v>
      </c>
      <c r="Y590" s="37"/>
      <c r="Z590" s="37"/>
      <c r="AA590" s="37"/>
      <c r="AB590" s="38" t="n">
        <f aca="false">+W590-AC590</f>
        <v>0</v>
      </c>
      <c r="AC590" s="34" t="n">
        <f aca="false">+Tabla[[#This Row],[P4]]+Tabla[[#This Row],[P3]]+Tabla[[#This Row],[P2]]+Tabla[[#This Row],[P1]]</f>
        <v>722568</v>
      </c>
      <c r="AD590" s="34" t="n">
        <f aca="false">+W590-AC590</f>
        <v>0</v>
      </c>
      <c r="AE590" s="21" t="str">
        <f aca="false">IF(AB590&lt;1,"PAGADA","PENDIENTE")</f>
        <v>PAGADA</v>
      </c>
      <c r="AF590" s="21"/>
      <c r="AG590" s="29" t="s">
        <v>77</v>
      </c>
      <c r="AH590" s="39" t="n">
        <v>46161</v>
      </c>
      <c r="AI590" s="40" t="n">
        <f aca="false">+IF(Tabla[[#This Row],[FECHA PAGO / ABONO]]&lt;1,0,(MONTH(Tabla[[#This Row],[FECHA PAGO / ABONO]])))</f>
        <v>5</v>
      </c>
      <c r="AJ590" s="40" t="n">
        <f aca="false">+IF(Tabla[[#This Row],[FECHA PAGO / ABONO]]&lt;1,0,(YEAR(Tabla[[#This Row],[FECHA PAGO / ABONO]])))</f>
        <v>2026</v>
      </c>
      <c r="AK590" s="41"/>
    </row>
    <row r="591" customFormat="false" ht="14.25" hidden="false" customHeight="false" outlineLevel="0" collapsed="false">
      <c r="A591" s="58" t="s">
        <v>127</v>
      </c>
      <c r="B591" s="21" t="s">
        <v>128</v>
      </c>
      <c r="C591" s="21" t="s">
        <v>69</v>
      </c>
      <c r="D591" s="21" t="n">
        <v>47359</v>
      </c>
      <c r="E591" s="43" t="str">
        <f aca="false">+CONCATENATE(Tabla[[#This Row],[RUT]],Tabla[[#This Row],[PROVEEDOR]],Tabla[[#This Row],[FACTURA]])</f>
        <v>84364100-8Publicidad Exterior Publivia SpA47359</v>
      </c>
      <c r="F591" s="30" t="n">
        <v>46134</v>
      </c>
      <c r="G591" s="31" t="n">
        <f aca="false">+F591+30</f>
        <v>46164</v>
      </c>
      <c r="H591" s="29" t="n">
        <f aca="true">+IF(AE591="PAGADA",0,TODAY()-G591)</f>
        <v>40</v>
      </c>
      <c r="I591" s="29" t="str">
        <f aca="false">+IF(H591&gt;180,"Atrasada",IF(H591&gt;150,"150 dias",IF(H591&gt;120,"120 dias",IF(H591&gt;90,"90 dias",IF(H591&gt;60,"60 dias",IF(H591&gt;30,"30 dias","Al Día"))))))</f>
        <v>30 dias</v>
      </c>
      <c r="J591" s="59" t="s">
        <v>80</v>
      </c>
      <c r="K591" s="60" t="s">
        <v>81</v>
      </c>
      <c r="L591" s="61" t="s">
        <v>309</v>
      </c>
      <c r="M591" s="29" t="n">
        <f aca="false">+YEAR(F591)</f>
        <v>2026</v>
      </c>
      <c r="N591" s="62" t="n">
        <v>2026</v>
      </c>
      <c r="O591" s="63" t="n">
        <v>3</v>
      </c>
      <c r="P591" s="29" t="str">
        <f aca="false">+CONCATENATE(Tabla[[#This Row],[MES CAMPAÑA]],"/",Tabla[[#This Row],[AÑO CAMPAÑA]])</f>
        <v>3/2026</v>
      </c>
      <c r="Q591" s="60" t="s">
        <v>92</v>
      </c>
      <c r="R591" s="29"/>
      <c r="S591" s="64" t="n">
        <v>0</v>
      </c>
      <c r="T591" s="64" t="n">
        <v>641156</v>
      </c>
      <c r="U591" s="64" t="n">
        <v>121820</v>
      </c>
      <c r="V591" s="29"/>
      <c r="W591" s="24" t="n">
        <v>762976</v>
      </c>
      <c r="X591" s="36"/>
      <c r="Y591" s="37"/>
      <c r="Z591" s="37"/>
      <c r="AA591" s="37"/>
      <c r="AB591" s="38" t="n">
        <f aca="false">+W591-AC591</f>
        <v>762976</v>
      </c>
      <c r="AC591" s="34" t="n">
        <f aca="false">+Tabla[[#This Row],[P4]]+Tabla[[#This Row],[P3]]+Tabla[[#This Row],[P2]]+Tabla[[#This Row],[P1]]</f>
        <v>0</v>
      </c>
      <c r="AD591" s="34" t="n">
        <f aca="false">+W591-AC591</f>
        <v>762976</v>
      </c>
      <c r="AE591" s="21" t="str">
        <f aca="false">IF(AB591&lt;1,"PAGADA","PENDIENTE")</f>
        <v>PENDIENTE</v>
      </c>
      <c r="AF591" s="21"/>
      <c r="AG591" s="29"/>
      <c r="AH591" s="40"/>
      <c r="AI591" s="40" t="n">
        <f aca="false">+IF(Tabla[[#This Row],[FECHA PAGO / ABONO]]&lt;1,0,(MONTH(Tabla[[#This Row],[FECHA PAGO / ABONO]])))</f>
        <v>0</v>
      </c>
      <c r="AJ591" s="40" t="n">
        <f aca="false">+IF(Tabla[[#This Row],[FECHA PAGO / ABONO]]&lt;1,0,(YEAR(Tabla[[#This Row],[FECHA PAGO / ABONO]])))</f>
        <v>0</v>
      </c>
      <c r="AK591" s="41"/>
    </row>
    <row r="592" customFormat="false" ht="14.25" hidden="false" customHeight="false" outlineLevel="0" collapsed="false">
      <c r="A592" s="58" t="s">
        <v>127</v>
      </c>
      <c r="B592" s="21" t="s">
        <v>128</v>
      </c>
      <c r="C592" s="21" t="s">
        <v>69</v>
      </c>
      <c r="D592" s="21" t="n">
        <v>47360</v>
      </c>
      <c r="E592" s="43" t="str">
        <f aca="false">+CONCATENATE(Tabla[[#This Row],[RUT]],Tabla[[#This Row],[PROVEEDOR]],Tabla[[#This Row],[FACTURA]])</f>
        <v>84364100-8Publicidad Exterior Publivia SpA47360</v>
      </c>
      <c r="F592" s="30" t="n">
        <v>46134</v>
      </c>
      <c r="G592" s="31" t="n">
        <f aca="false">+F592+30</f>
        <v>46164</v>
      </c>
      <c r="H592" s="29" t="n">
        <f aca="true">+IF(AE592="PAGADA",0,TODAY()-G592)</f>
        <v>40</v>
      </c>
      <c r="I592" s="29" t="str">
        <f aca="false">+IF(H592&gt;180,"Atrasada",IF(H592&gt;150,"150 dias",IF(H592&gt;120,"120 dias",IF(H592&gt;90,"90 dias",IF(H592&gt;60,"60 dias",IF(H592&gt;30,"30 dias","Al Día"))))))</f>
        <v>30 dias</v>
      </c>
      <c r="J592" s="59" t="s">
        <v>80</v>
      </c>
      <c r="K592" s="60" t="s">
        <v>81</v>
      </c>
      <c r="L592" s="61" t="s">
        <v>309</v>
      </c>
      <c r="M592" s="29" t="n">
        <f aca="false">+YEAR(F592)</f>
        <v>2026</v>
      </c>
      <c r="N592" s="62" t="n">
        <v>2026</v>
      </c>
      <c r="O592" s="63" t="n">
        <v>3</v>
      </c>
      <c r="P592" s="29" t="str">
        <f aca="false">+CONCATENATE(Tabla[[#This Row],[MES CAMPAÑA]],"/",Tabla[[#This Row],[AÑO CAMPAÑA]])</f>
        <v>3/2026</v>
      </c>
      <c r="Q592" s="60" t="s">
        <v>92</v>
      </c>
      <c r="R592" s="29"/>
      <c r="S592" s="64" t="n">
        <v>0</v>
      </c>
      <c r="T592" s="64" t="n">
        <v>488041</v>
      </c>
      <c r="U592" s="64" t="n">
        <v>92728</v>
      </c>
      <c r="V592" s="29"/>
      <c r="W592" s="24" t="n">
        <v>580769</v>
      </c>
      <c r="X592" s="36"/>
      <c r="Y592" s="37"/>
      <c r="Z592" s="37"/>
      <c r="AA592" s="37"/>
      <c r="AB592" s="38" t="n">
        <f aca="false">+W592-AC592</f>
        <v>580769</v>
      </c>
      <c r="AC592" s="34" t="n">
        <f aca="false">+Tabla[[#This Row],[P4]]+Tabla[[#This Row],[P3]]+Tabla[[#This Row],[P2]]+Tabla[[#This Row],[P1]]</f>
        <v>0</v>
      </c>
      <c r="AD592" s="34" t="n">
        <f aca="false">+W592-AC592</f>
        <v>580769</v>
      </c>
      <c r="AE592" s="21" t="str">
        <f aca="false">IF(AB592&lt;1,"PAGADA","PENDIENTE")</f>
        <v>PENDIENTE</v>
      </c>
      <c r="AF592" s="21"/>
      <c r="AG592" s="29"/>
      <c r="AH592" s="40"/>
      <c r="AI592" s="40" t="n">
        <f aca="false">+IF(Tabla[[#This Row],[FECHA PAGO / ABONO]]&lt;1,0,(MONTH(Tabla[[#This Row],[FECHA PAGO / ABONO]])))</f>
        <v>0</v>
      </c>
      <c r="AJ592" s="40" t="n">
        <f aca="false">+IF(Tabla[[#This Row],[FECHA PAGO / ABONO]]&lt;1,0,(YEAR(Tabla[[#This Row],[FECHA PAGO / ABONO]])))</f>
        <v>0</v>
      </c>
      <c r="AK592" s="41"/>
    </row>
    <row r="593" customFormat="false" ht="14.25" hidden="false" customHeight="false" outlineLevel="0" collapsed="false">
      <c r="A593" s="58" t="s">
        <v>127</v>
      </c>
      <c r="B593" s="21" t="s">
        <v>128</v>
      </c>
      <c r="C593" s="21" t="s">
        <v>69</v>
      </c>
      <c r="D593" s="21" t="n">
        <v>47361</v>
      </c>
      <c r="E593" s="43" t="str">
        <f aca="false">+CONCATENATE(Tabla[[#This Row],[RUT]],Tabla[[#This Row],[PROVEEDOR]],Tabla[[#This Row],[FACTURA]])</f>
        <v>84364100-8Publicidad Exterior Publivia SpA47361</v>
      </c>
      <c r="F593" s="30" t="n">
        <v>46134</v>
      </c>
      <c r="G593" s="31" t="n">
        <f aca="false">+F593+30</f>
        <v>46164</v>
      </c>
      <c r="H593" s="29" t="n">
        <f aca="true">+IF(AE593="PAGADA",0,TODAY()-G593)</f>
        <v>40</v>
      </c>
      <c r="I593" s="29" t="str">
        <f aca="false">+IF(H593&gt;180,"Atrasada",IF(H593&gt;150,"150 dias",IF(H593&gt;120,"120 dias",IF(H593&gt;90,"90 dias",IF(H593&gt;60,"60 dias",IF(H593&gt;30,"30 dias","Al Día"))))))</f>
        <v>30 dias</v>
      </c>
      <c r="J593" s="59" t="s">
        <v>80</v>
      </c>
      <c r="K593" s="60" t="s">
        <v>81</v>
      </c>
      <c r="L593" s="61" t="s">
        <v>309</v>
      </c>
      <c r="M593" s="29" t="n">
        <f aca="false">+YEAR(F593)</f>
        <v>2026</v>
      </c>
      <c r="N593" s="62" t="n">
        <v>2026</v>
      </c>
      <c r="O593" s="63" t="n">
        <v>3</v>
      </c>
      <c r="P593" s="29" t="str">
        <f aca="false">+CONCATENATE(Tabla[[#This Row],[MES CAMPAÑA]],"/",Tabla[[#This Row],[AÑO CAMPAÑA]])</f>
        <v>3/2026</v>
      </c>
      <c r="Q593" s="60" t="s">
        <v>92</v>
      </c>
      <c r="R593" s="29"/>
      <c r="S593" s="64" t="n">
        <v>0</v>
      </c>
      <c r="T593" s="64" t="n">
        <v>378343</v>
      </c>
      <c r="U593" s="64" t="n">
        <v>71885</v>
      </c>
      <c r="V593" s="29"/>
      <c r="W593" s="24" t="n">
        <v>450228</v>
      </c>
      <c r="X593" s="36"/>
      <c r="Y593" s="37"/>
      <c r="Z593" s="37"/>
      <c r="AA593" s="37"/>
      <c r="AB593" s="38" t="n">
        <f aca="false">+W593-AC593</f>
        <v>450228</v>
      </c>
      <c r="AC593" s="34" t="n">
        <f aca="false">+Tabla[[#This Row],[P4]]+Tabla[[#This Row],[P3]]+Tabla[[#This Row],[P2]]+Tabla[[#This Row],[P1]]</f>
        <v>0</v>
      </c>
      <c r="AD593" s="34" t="n">
        <f aca="false">+W593-AC593</f>
        <v>450228</v>
      </c>
      <c r="AE593" s="21" t="str">
        <f aca="false">IF(AB593&lt;1,"PAGADA","PENDIENTE")</f>
        <v>PENDIENTE</v>
      </c>
      <c r="AF593" s="21"/>
      <c r="AG593" s="29"/>
      <c r="AH593" s="40"/>
      <c r="AI593" s="40" t="n">
        <f aca="false">+IF(Tabla[[#This Row],[FECHA PAGO / ABONO]]&lt;1,0,(MONTH(Tabla[[#This Row],[FECHA PAGO / ABONO]])))</f>
        <v>0</v>
      </c>
      <c r="AJ593" s="40" t="n">
        <f aca="false">+IF(Tabla[[#This Row],[FECHA PAGO / ABONO]]&lt;1,0,(YEAR(Tabla[[#This Row],[FECHA PAGO / ABONO]])))</f>
        <v>0</v>
      </c>
      <c r="AK593" s="41"/>
    </row>
    <row r="594" customFormat="false" ht="14.25" hidden="false" customHeight="false" outlineLevel="0" collapsed="false">
      <c r="A594" s="58" t="s">
        <v>116</v>
      </c>
      <c r="B594" s="21" t="s">
        <v>117</v>
      </c>
      <c r="C594" s="21" t="s">
        <v>69</v>
      </c>
      <c r="D594" s="21" t="n">
        <v>1499</v>
      </c>
      <c r="E594" s="43" t="str">
        <f aca="false">+CONCATENATE(Tabla[[#This Row],[RUT]],Tabla[[#This Row],[PROVEEDOR]],Tabla[[#This Row],[FACTURA]])</f>
        <v>77954644-6WAPA MARKETING Y COMUNICACIONES LIMITADA.1499</v>
      </c>
      <c r="F594" s="30" t="n">
        <v>46134</v>
      </c>
      <c r="G594" s="31" t="n">
        <f aca="false">+F594+30</f>
        <v>46164</v>
      </c>
      <c r="H594" s="29" t="n">
        <f aca="true">+IF(AE594="PAGADA",0,TODAY()-G594)</f>
        <v>0</v>
      </c>
      <c r="I594" s="29" t="str">
        <f aca="false">+IF(H594&gt;180,"Atrasada",IF(H594&gt;150,"150 dias",IF(H594&gt;120,"120 dias",IF(H594&gt;90,"90 dias",IF(H594&gt;60,"60 dias",IF(H594&gt;30,"30 dias","Al Día"))))))</f>
        <v>Al Día</v>
      </c>
      <c r="J594" s="59" t="s">
        <v>80</v>
      </c>
      <c r="K594" s="60" t="s">
        <v>81</v>
      </c>
      <c r="L594" s="61" t="s">
        <v>309</v>
      </c>
      <c r="M594" s="29" t="n">
        <f aca="false">+YEAR(F594)</f>
        <v>2026</v>
      </c>
      <c r="N594" s="62" t="n">
        <v>2026</v>
      </c>
      <c r="O594" s="63" t="n">
        <v>3</v>
      </c>
      <c r="P594" s="29" t="str">
        <f aca="false">+CONCATENATE(Tabla[[#This Row],[MES CAMPAÑA]],"/",Tabla[[#This Row],[AÑO CAMPAÑA]])</f>
        <v>3/2026</v>
      </c>
      <c r="Q594" s="60" t="s">
        <v>92</v>
      </c>
      <c r="R594" s="29"/>
      <c r="S594" s="64" t="n">
        <v>0</v>
      </c>
      <c r="T594" s="64" t="n">
        <v>430000</v>
      </c>
      <c r="U594" s="64" t="n">
        <v>81700</v>
      </c>
      <c r="V594" s="29"/>
      <c r="W594" s="24" t="n">
        <v>511700</v>
      </c>
      <c r="X594" s="36" t="n">
        <f aca="false">+Tabla[[#This Row],[TOTAL]]</f>
        <v>511700</v>
      </c>
      <c r="Y594" s="37"/>
      <c r="Z594" s="37"/>
      <c r="AA594" s="37"/>
      <c r="AB594" s="38" t="n">
        <f aca="false">+W594-AC594</f>
        <v>0</v>
      </c>
      <c r="AC594" s="34" t="n">
        <f aca="false">+Tabla[[#This Row],[P4]]+Tabla[[#This Row],[P3]]+Tabla[[#This Row],[P2]]+Tabla[[#This Row],[P1]]</f>
        <v>511700</v>
      </c>
      <c r="AD594" s="34" t="n">
        <f aca="false">+W594-AC594</f>
        <v>0</v>
      </c>
      <c r="AE594" s="21" t="str">
        <f aca="false">IF(AB594&lt;1,"PAGADA","PENDIENTE")</f>
        <v>PAGADA</v>
      </c>
      <c r="AF594" s="21"/>
      <c r="AG594" s="29" t="s">
        <v>77</v>
      </c>
      <c r="AH594" s="39" t="n">
        <v>46174</v>
      </c>
      <c r="AI594" s="40" t="n">
        <f aca="false">+IF(Tabla[[#This Row],[FECHA PAGO / ABONO]]&lt;1,0,(MONTH(Tabla[[#This Row],[FECHA PAGO / ABONO]])))</f>
        <v>6</v>
      </c>
      <c r="AJ594" s="40" t="n">
        <f aca="false">+IF(Tabla[[#This Row],[FECHA PAGO / ABONO]]&lt;1,0,(YEAR(Tabla[[#This Row],[FECHA PAGO / ABONO]])))</f>
        <v>2026</v>
      </c>
      <c r="AK594" s="41"/>
    </row>
    <row r="595" customFormat="false" ht="14.25" hidden="false" customHeight="false" outlineLevel="0" collapsed="false">
      <c r="A595" s="58" t="s">
        <v>127</v>
      </c>
      <c r="B595" s="21" t="s">
        <v>128</v>
      </c>
      <c r="C595" s="21" t="s">
        <v>69</v>
      </c>
      <c r="D595" s="21" t="n">
        <v>47362</v>
      </c>
      <c r="E595" s="43" t="str">
        <f aca="false">+CONCATENATE(Tabla[[#This Row],[RUT]],Tabla[[#This Row],[PROVEEDOR]],Tabla[[#This Row],[FACTURA]])</f>
        <v>84364100-8Publicidad Exterior Publivia SpA47362</v>
      </c>
      <c r="F595" s="30" t="n">
        <v>46134</v>
      </c>
      <c r="G595" s="31" t="n">
        <f aca="false">+F595+30</f>
        <v>46164</v>
      </c>
      <c r="H595" s="29" t="n">
        <f aca="true">+IF(AE595="PAGADA",0,TODAY()-G595)</f>
        <v>40</v>
      </c>
      <c r="I595" s="29" t="str">
        <f aca="false">+IF(H595&gt;180,"Atrasada",IF(H595&gt;150,"150 dias",IF(H595&gt;120,"120 dias",IF(H595&gt;90,"90 dias",IF(H595&gt;60,"60 dias",IF(H595&gt;30,"30 dias","Al Día"))))))</f>
        <v>30 dias</v>
      </c>
      <c r="J595" s="59" t="s">
        <v>80</v>
      </c>
      <c r="K595" s="60" t="s">
        <v>81</v>
      </c>
      <c r="L595" s="61" t="s">
        <v>309</v>
      </c>
      <c r="M595" s="29" t="n">
        <f aca="false">+YEAR(F595)</f>
        <v>2026</v>
      </c>
      <c r="N595" s="62" t="n">
        <v>2026</v>
      </c>
      <c r="O595" s="63" t="n">
        <v>3</v>
      </c>
      <c r="P595" s="29" t="str">
        <f aca="false">+CONCATENATE(Tabla[[#This Row],[MES CAMPAÑA]],"/",Tabla[[#This Row],[AÑO CAMPAÑA]])</f>
        <v>3/2026</v>
      </c>
      <c r="Q595" s="60" t="s">
        <v>92</v>
      </c>
      <c r="R595" s="29"/>
      <c r="S595" s="64" t="n">
        <v>0</v>
      </c>
      <c r="T595" s="64" t="n">
        <v>429411</v>
      </c>
      <c r="U595" s="64" t="n">
        <v>81588</v>
      </c>
      <c r="V595" s="29"/>
      <c r="W595" s="24" t="n">
        <v>510999</v>
      </c>
      <c r="X595" s="36"/>
      <c r="Y595" s="37"/>
      <c r="Z595" s="37"/>
      <c r="AA595" s="37"/>
      <c r="AB595" s="38" t="n">
        <f aca="false">+W595-AC595</f>
        <v>510999</v>
      </c>
      <c r="AC595" s="34" t="n">
        <f aca="false">+Tabla[[#This Row],[P4]]+Tabla[[#This Row],[P3]]+Tabla[[#This Row],[P2]]+Tabla[[#This Row],[P1]]</f>
        <v>0</v>
      </c>
      <c r="AD595" s="34" t="n">
        <f aca="false">+W595-AC595</f>
        <v>510999</v>
      </c>
      <c r="AE595" s="21" t="str">
        <f aca="false">IF(AB595&lt;1,"PAGADA","PENDIENTE")</f>
        <v>PENDIENTE</v>
      </c>
      <c r="AF595" s="21"/>
      <c r="AG595" s="29"/>
      <c r="AH595" s="40"/>
      <c r="AI595" s="40" t="n">
        <f aca="false">+IF(Tabla[[#This Row],[FECHA PAGO / ABONO]]&lt;1,0,(MONTH(Tabla[[#This Row],[FECHA PAGO / ABONO]])))</f>
        <v>0</v>
      </c>
      <c r="AJ595" s="40" t="n">
        <f aca="false">+IF(Tabla[[#This Row],[FECHA PAGO / ABONO]]&lt;1,0,(YEAR(Tabla[[#This Row],[FECHA PAGO / ABONO]])))</f>
        <v>0</v>
      </c>
      <c r="AK595" s="41"/>
    </row>
    <row r="596" customFormat="false" ht="14.25" hidden="false" customHeight="false" outlineLevel="0" collapsed="false">
      <c r="A596" s="58" t="s">
        <v>127</v>
      </c>
      <c r="B596" s="21" t="s">
        <v>128</v>
      </c>
      <c r="C596" s="21" t="s">
        <v>69</v>
      </c>
      <c r="D596" s="21" t="n">
        <v>47363</v>
      </c>
      <c r="E596" s="43" t="str">
        <f aca="false">+CONCATENATE(Tabla[[#This Row],[RUT]],Tabla[[#This Row],[PROVEEDOR]],Tabla[[#This Row],[FACTURA]])</f>
        <v>84364100-8Publicidad Exterior Publivia SpA47363</v>
      </c>
      <c r="F596" s="30" t="n">
        <v>46134</v>
      </c>
      <c r="G596" s="31" t="n">
        <f aca="false">+F596+30</f>
        <v>46164</v>
      </c>
      <c r="H596" s="29" t="n">
        <f aca="true">+IF(AE596="PAGADA",0,TODAY()-G596)</f>
        <v>40</v>
      </c>
      <c r="I596" s="29" t="str">
        <f aca="false">+IF(H596&gt;180,"Atrasada",IF(H596&gt;150,"150 dias",IF(H596&gt;120,"120 dias",IF(H596&gt;90,"90 dias",IF(H596&gt;60,"60 dias",IF(H596&gt;30,"30 dias","Al Día"))))))</f>
        <v>30 dias</v>
      </c>
      <c r="J596" s="59" t="s">
        <v>80</v>
      </c>
      <c r="K596" s="60" t="s">
        <v>81</v>
      </c>
      <c r="L596" s="61" t="s">
        <v>309</v>
      </c>
      <c r="M596" s="29" t="n">
        <f aca="false">+YEAR(F596)</f>
        <v>2026</v>
      </c>
      <c r="N596" s="62" t="n">
        <v>2026</v>
      </c>
      <c r="O596" s="63" t="n">
        <v>3</v>
      </c>
      <c r="P596" s="29" t="str">
        <f aca="false">+CONCATENATE(Tabla[[#This Row],[MES CAMPAÑA]],"/",Tabla[[#This Row],[AÑO CAMPAÑA]])</f>
        <v>3/2026</v>
      </c>
      <c r="Q596" s="60" t="s">
        <v>92</v>
      </c>
      <c r="R596" s="29"/>
      <c r="S596" s="64" t="n">
        <v>0</v>
      </c>
      <c r="T596" s="64" t="n">
        <v>361254</v>
      </c>
      <c r="U596" s="64" t="n">
        <v>68638</v>
      </c>
      <c r="V596" s="29"/>
      <c r="W596" s="24" t="n">
        <v>429892</v>
      </c>
      <c r="X596" s="36"/>
      <c r="Y596" s="37"/>
      <c r="Z596" s="37"/>
      <c r="AA596" s="37"/>
      <c r="AB596" s="38" t="n">
        <f aca="false">+W596-AC596</f>
        <v>429892</v>
      </c>
      <c r="AC596" s="34" t="n">
        <f aca="false">+Tabla[[#This Row],[P4]]+Tabla[[#This Row],[P3]]+Tabla[[#This Row],[P2]]+Tabla[[#This Row],[P1]]</f>
        <v>0</v>
      </c>
      <c r="AD596" s="34" t="n">
        <f aca="false">+W596-AC596</f>
        <v>429892</v>
      </c>
      <c r="AE596" s="21" t="str">
        <f aca="false">IF(AB596&lt;1,"PAGADA","PENDIENTE")</f>
        <v>PENDIENTE</v>
      </c>
      <c r="AF596" s="21"/>
      <c r="AG596" s="29"/>
      <c r="AH596" s="40"/>
      <c r="AI596" s="40" t="n">
        <f aca="false">+IF(Tabla[[#This Row],[FECHA PAGO / ABONO]]&lt;1,0,(MONTH(Tabla[[#This Row],[FECHA PAGO / ABONO]])))</f>
        <v>0</v>
      </c>
      <c r="AJ596" s="40" t="n">
        <f aca="false">+IF(Tabla[[#This Row],[FECHA PAGO / ABONO]]&lt;1,0,(YEAR(Tabla[[#This Row],[FECHA PAGO / ABONO]])))</f>
        <v>0</v>
      </c>
      <c r="AK596" s="41"/>
    </row>
    <row r="597" customFormat="false" ht="14.25" hidden="false" customHeight="false" outlineLevel="0" collapsed="false">
      <c r="A597" s="58" t="s">
        <v>199</v>
      </c>
      <c r="B597" s="21" t="s">
        <v>200</v>
      </c>
      <c r="C597" s="21" t="s">
        <v>69</v>
      </c>
      <c r="D597" s="21" t="n">
        <v>6679</v>
      </c>
      <c r="E597" s="43" t="str">
        <f aca="false">+CONCATENATE(Tabla[[#This Row],[RUT]],Tabla[[#This Row],[PROVEEDOR]],Tabla[[#This Row],[FACTURA]])</f>
        <v>96945160-3YES SOCIEDAD ANONIMA6679</v>
      </c>
      <c r="F597" s="30" t="n">
        <v>46134</v>
      </c>
      <c r="G597" s="31" t="n">
        <f aca="false">+F597+30</f>
        <v>46164</v>
      </c>
      <c r="H597" s="29" t="n">
        <f aca="true">+IF(AE597="PAGADA",0,TODAY()-G597)</f>
        <v>0</v>
      </c>
      <c r="I597" s="29" t="str">
        <f aca="false">+IF(H597&gt;180,"Atrasada",IF(H597&gt;150,"150 dias",IF(H597&gt;120,"120 dias",IF(H597&gt;90,"90 dias",IF(H597&gt;60,"60 dias",IF(H597&gt;30,"30 dias","Al Día"))))))</f>
        <v>Al Día</v>
      </c>
      <c r="J597" s="59" t="s">
        <v>80</v>
      </c>
      <c r="K597" s="60" t="s">
        <v>81</v>
      </c>
      <c r="L597" s="61" t="s">
        <v>309</v>
      </c>
      <c r="M597" s="29" t="n">
        <f aca="false">+YEAR(F597)</f>
        <v>2026</v>
      </c>
      <c r="N597" s="62" t="n">
        <v>2026</v>
      </c>
      <c r="O597" s="63" t="n">
        <v>3</v>
      </c>
      <c r="P597" s="29" t="str">
        <f aca="false">+CONCATENATE(Tabla[[#This Row],[MES CAMPAÑA]],"/",Tabla[[#This Row],[AÑO CAMPAÑA]])</f>
        <v>3/2026</v>
      </c>
      <c r="Q597" s="60" t="s">
        <v>92</v>
      </c>
      <c r="R597" s="29"/>
      <c r="S597" s="64" t="n">
        <v>0</v>
      </c>
      <c r="T597" s="64" t="n">
        <v>1163514</v>
      </c>
      <c r="U597" s="64" t="n">
        <v>221068</v>
      </c>
      <c r="V597" s="29"/>
      <c r="W597" s="24" t="n">
        <v>1384582</v>
      </c>
      <c r="X597" s="36" t="n">
        <f aca="false">+Tabla[[#This Row],[TOTAL]]</f>
        <v>1384582</v>
      </c>
      <c r="Y597" s="37"/>
      <c r="Z597" s="37"/>
      <c r="AA597" s="37"/>
      <c r="AB597" s="38" t="n">
        <f aca="false">+W597-AC597</f>
        <v>0</v>
      </c>
      <c r="AC597" s="34" t="n">
        <f aca="false">+Tabla[[#This Row],[P4]]+Tabla[[#This Row],[P3]]+Tabla[[#This Row],[P2]]+Tabla[[#This Row],[P1]]</f>
        <v>1384582</v>
      </c>
      <c r="AD597" s="34" t="n">
        <f aca="false">+W597-AC597</f>
        <v>0</v>
      </c>
      <c r="AE597" s="21" t="str">
        <f aca="false">IF(AB597&lt;1,"PAGADA","PENDIENTE")</f>
        <v>PAGADA</v>
      </c>
      <c r="AF597" s="21"/>
      <c r="AG597" s="29" t="s">
        <v>77</v>
      </c>
      <c r="AH597" s="39" t="n">
        <v>46195</v>
      </c>
      <c r="AI597" s="40" t="n">
        <f aca="false">+IF(Tabla[[#This Row],[FECHA PAGO / ABONO]]&lt;1,0,(MONTH(Tabla[[#This Row],[FECHA PAGO / ABONO]])))</f>
        <v>6</v>
      </c>
      <c r="AJ597" s="40" t="n">
        <f aca="false">+IF(Tabla[[#This Row],[FECHA PAGO / ABONO]]&lt;1,0,(YEAR(Tabla[[#This Row],[FECHA PAGO / ABONO]])))</f>
        <v>2026</v>
      </c>
      <c r="AK597" s="41"/>
    </row>
    <row r="598" customFormat="false" ht="14.25" hidden="false" customHeight="false" outlineLevel="0" collapsed="false">
      <c r="A598" s="58" t="s">
        <v>127</v>
      </c>
      <c r="B598" s="21" t="s">
        <v>128</v>
      </c>
      <c r="C598" s="21" t="s">
        <v>69</v>
      </c>
      <c r="D598" s="21" t="n">
        <v>47364</v>
      </c>
      <c r="E598" s="43" t="str">
        <f aca="false">+CONCATENATE(Tabla[[#This Row],[RUT]],Tabla[[#This Row],[PROVEEDOR]],Tabla[[#This Row],[FACTURA]])</f>
        <v>84364100-8Publicidad Exterior Publivia SpA47364</v>
      </c>
      <c r="F598" s="30" t="n">
        <v>46134</v>
      </c>
      <c r="G598" s="31" t="n">
        <f aca="false">+F598+30</f>
        <v>46164</v>
      </c>
      <c r="H598" s="29" t="n">
        <f aca="true">+IF(AE598="PAGADA",0,TODAY()-G598)</f>
        <v>40</v>
      </c>
      <c r="I598" s="29" t="str">
        <f aca="false">+IF(H598&gt;180,"Atrasada",IF(H598&gt;150,"150 dias",IF(H598&gt;120,"120 dias",IF(H598&gt;90,"90 dias",IF(H598&gt;60,"60 dias",IF(H598&gt;30,"30 dias","Al Día"))))))</f>
        <v>30 dias</v>
      </c>
      <c r="J598" s="59" t="s">
        <v>80</v>
      </c>
      <c r="K598" s="60" t="s">
        <v>81</v>
      </c>
      <c r="L598" s="61" t="s">
        <v>309</v>
      </c>
      <c r="M598" s="29" t="n">
        <f aca="false">+YEAR(F598)</f>
        <v>2026</v>
      </c>
      <c r="N598" s="62" t="n">
        <v>2026</v>
      </c>
      <c r="O598" s="63" t="n">
        <v>3</v>
      </c>
      <c r="P598" s="29" t="str">
        <f aca="false">+CONCATENATE(Tabla[[#This Row],[MES CAMPAÑA]],"/",Tabla[[#This Row],[AÑO CAMPAÑA]])</f>
        <v>3/2026</v>
      </c>
      <c r="Q598" s="60" t="s">
        <v>92</v>
      </c>
      <c r="R598" s="29"/>
      <c r="S598" s="64" t="n">
        <v>0</v>
      </c>
      <c r="T598" s="64" t="n">
        <v>361254</v>
      </c>
      <c r="U598" s="64" t="n">
        <v>68638</v>
      </c>
      <c r="V598" s="29"/>
      <c r="W598" s="24" t="n">
        <v>429892</v>
      </c>
      <c r="X598" s="36"/>
      <c r="Y598" s="37"/>
      <c r="Z598" s="37"/>
      <c r="AA598" s="37"/>
      <c r="AB598" s="38" t="n">
        <f aca="false">+W598-AC598</f>
        <v>429892</v>
      </c>
      <c r="AC598" s="34" t="n">
        <f aca="false">+Tabla[[#This Row],[P4]]+Tabla[[#This Row],[P3]]+Tabla[[#This Row],[P2]]+Tabla[[#This Row],[P1]]</f>
        <v>0</v>
      </c>
      <c r="AD598" s="34" t="n">
        <f aca="false">+W598-AC598</f>
        <v>429892</v>
      </c>
      <c r="AE598" s="21" t="str">
        <f aca="false">IF(AB598&lt;1,"PAGADA","PENDIENTE")</f>
        <v>PENDIENTE</v>
      </c>
      <c r="AF598" s="21"/>
      <c r="AG598" s="29"/>
      <c r="AH598" s="40"/>
      <c r="AI598" s="40" t="n">
        <f aca="false">+IF(Tabla[[#This Row],[FECHA PAGO / ABONO]]&lt;1,0,(MONTH(Tabla[[#This Row],[FECHA PAGO / ABONO]])))</f>
        <v>0</v>
      </c>
      <c r="AJ598" s="40" t="n">
        <f aca="false">+IF(Tabla[[#This Row],[FECHA PAGO / ABONO]]&lt;1,0,(YEAR(Tabla[[#This Row],[FECHA PAGO / ABONO]])))</f>
        <v>0</v>
      </c>
      <c r="AK598" s="41"/>
    </row>
    <row r="599" customFormat="false" ht="14.25" hidden="false" customHeight="false" outlineLevel="0" collapsed="false">
      <c r="A599" s="58" t="s">
        <v>127</v>
      </c>
      <c r="B599" s="21" t="s">
        <v>128</v>
      </c>
      <c r="C599" s="21" t="s">
        <v>69</v>
      </c>
      <c r="D599" s="21" t="n">
        <v>47365</v>
      </c>
      <c r="E599" s="43" t="str">
        <f aca="false">+CONCATENATE(Tabla[[#This Row],[RUT]],Tabla[[#This Row],[PROVEEDOR]],Tabla[[#This Row],[FACTURA]])</f>
        <v>84364100-8Publicidad Exterior Publivia SpA47365</v>
      </c>
      <c r="F599" s="30" t="n">
        <v>46134</v>
      </c>
      <c r="G599" s="31" t="n">
        <f aca="false">+F599+30</f>
        <v>46164</v>
      </c>
      <c r="H599" s="29" t="n">
        <f aca="true">+IF(AE599="PAGADA",0,TODAY()-G599)</f>
        <v>40</v>
      </c>
      <c r="I599" s="29" t="str">
        <f aca="false">+IF(H599&gt;180,"Atrasada",IF(H599&gt;150,"150 dias",IF(H599&gt;120,"120 dias",IF(H599&gt;90,"90 dias",IF(H599&gt;60,"60 dias",IF(H599&gt;30,"30 dias","Al Día"))))))</f>
        <v>30 dias</v>
      </c>
      <c r="J599" s="59" t="s">
        <v>80</v>
      </c>
      <c r="K599" s="60" t="s">
        <v>81</v>
      </c>
      <c r="L599" s="61" t="s">
        <v>309</v>
      </c>
      <c r="M599" s="29" t="n">
        <f aca="false">+YEAR(F599)</f>
        <v>2026</v>
      </c>
      <c r="N599" s="62" t="n">
        <v>2026</v>
      </c>
      <c r="O599" s="63" t="n">
        <v>3</v>
      </c>
      <c r="P599" s="29" t="str">
        <f aca="false">+CONCATENATE(Tabla[[#This Row],[MES CAMPAÑA]],"/",Tabla[[#This Row],[AÑO CAMPAÑA]])</f>
        <v>3/2026</v>
      </c>
      <c r="Q599" s="60" t="s">
        <v>92</v>
      </c>
      <c r="R599" s="29"/>
      <c r="S599" s="64" t="n">
        <v>0</v>
      </c>
      <c r="T599" s="64" t="n">
        <v>432640</v>
      </c>
      <c r="U599" s="64" t="n">
        <v>82202</v>
      </c>
      <c r="V599" s="29"/>
      <c r="W599" s="24" t="n">
        <v>514842</v>
      </c>
      <c r="X599" s="36"/>
      <c r="Y599" s="37"/>
      <c r="Z599" s="37"/>
      <c r="AA599" s="37"/>
      <c r="AB599" s="38" t="n">
        <f aca="false">+W599-AC599</f>
        <v>514842</v>
      </c>
      <c r="AC599" s="34" t="n">
        <f aca="false">+Tabla[[#This Row],[P4]]+Tabla[[#This Row],[P3]]+Tabla[[#This Row],[P2]]+Tabla[[#This Row],[P1]]</f>
        <v>0</v>
      </c>
      <c r="AD599" s="34" t="n">
        <f aca="false">+W599-AC599</f>
        <v>514842</v>
      </c>
      <c r="AE599" s="21" t="str">
        <f aca="false">IF(AB599&lt;1,"PAGADA","PENDIENTE")</f>
        <v>PENDIENTE</v>
      </c>
      <c r="AF599" s="21"/>
      <c r="AG599" s="29"/>
      <c r="AH599" s="40"/>
      <c r="AI599" s="40" t="n">
        <f aca="false">+IF(Tabla[[#This Row],[FECHA PAGO / ABONO]]&lt;1,0,(MONTH(Tabla[[#This Row],[FECHA PAGO / ABONO]])))</f>
        <v>0</v>
      </c>
      <c r="AJ599" s="40" t="n">
        <f aca="false">+IF(Tabla[[#This Row],[FECHA PAGO / ABONO]]&lt;1,0,(YEAR(Tabla[[#This Row],[FECHA PAGO / ABONO]])))</f>
        <v>0</v>
      </c>
      <c r="AK599" s="41"/>
    </row>
    <row r="600" customFormat="false" ht="14.25" hidden="false" customHeight="false" outlineLevel="0" collapsed="false">
      <c r="A600" s="58" t="s">
        <v>127</v>
      </c>
      <c r="B600" s="21" t="s">
        <v>128</v>
      </c>
      <c r="C600" s="21" t="s">
        <v>69</v>
      </c>
      <c r="D600" s="21" t="n">
        <v>47366</v>
      </c>
      <c r="E600" s="43" t="str">
        <f aca="false">+CONCATENATE(Tabla[[#This Row],[RUT]],Tabla[[#This Row],[PROVEEDOR]],Tabla[[#This Row],[FACTURA]])</f>
        <v>84364100-8Publicidad Exterior Publivia SpA47366</v>
      </c>
      <c r="F600" s="30" t="n">
        <v>46134</v>
      </c>
      <c r="G600" s="31" t="n">
        <f aca="false">+F600+30</f>
        <v>46164</v>
      </c>
      <c r="H600" s="29" t="n">
        <f aca="true">+IF(AE600="PAGADA",0,TODAY()-G600)</f>
        <v>40</v>
      </c>
      <c r="I600" s="29" t="str">
        <f aca="false">+IF(H600&gt;180,"Atrasada",IF(H600&gt;150,"150 dias",IF(H600&gt;120,"120 dias",IF(H600&gt;90,"90 dias",IF(H600&gt;60,"60 dias",IF(H600&gt;30,"30 dias","Al Día"))))))</f>
        <v>30 dias</v>
      </c>
      <c r="J600" s="59" t="s">
        <v>80</v>
      </c>
      <c r="K600" s="60" t="s">
        <v>81</v>
      </c>
      <c r="L600" s="61" t="s">
        <v>309</v>
      </c>
      <c r="M600" s="29" t="n">
        <f aca="false">+YEAR(F600)</f>
        <v>2026</v>
      </c>
      <c r="N600" s="62" t="n">
        <v>2026</v>
      </c>
      <c r="O600" s="63" t="n">
        <v>3</v>
      </c>
      <c r="P600" s="29" t="str">
        <f aca="false">+CONCATENATE(Tabla[[#This Row],[MES CAMPAÑA]],"/",Tabla[[#This Row],[AÑO CAMPAÑA]])</f>
        <v>3/2026</v>
      </c>
      <c r="Q600" s="60" t="s">
        <v>92</v>
      </c>
      <c r="R600" s="29"/>
      <c r="S600" s="64" t="n">
        <v>0</v>
      </c>
      <c r="T600" s="64" t="n">
        <v>1095995</v>
      </c>
      <c r="U600" s="64" t="n">
        <v>208239</v>
      </c>
      <c r="V600" s="29"/>
      <c r="W600" s="24" t="n">
        <v>1304234</v>
      </c>
      <c r="X600" s="36"/>
      <c r="Y600" s="37"/>
      <c r="Z600" s="37"/>
      <c r="AA600" s="37"/>
      <c r="AB600" s="38" t="n">
        <f aca="false">+W600-AC600</f>
        <v>1304234</v>
      </c>
      <c r="AC600" s="34" t="n">
        <f aca="false">+Tabla[[#This Row],[P4]]+Tabla[[#This Row],[P3]]+Tabla[[#This Row],[P2]]+Tabla[[#This Row],[P1]]</f>
        <v>0</v>
      </c>
      <c r="AD600" s="34" t="n">
        <f aca="false">+W600-AC600</f>
        <v>1304234</v>
      </c>
      <c r="AE600" s="21" t="str">
        <f aca="false">IF(AB600&lt;1,"PAGADA","PENDIENTE")</f>
        <v>PENDIENTE</v>
      </c>
      <c r="AF600" s="21"/>
      <c r="AG600" s="29"/>
      <c r="AH600" s="40"/>
      <c r="AI600" s="40" t="n">
        <f aca="false">+IF(Tabla[[#This Row],[FECHA PAGO / ABONO]]&lt;1,0,(MONTH(Tabla[[#This Row],[FECHA PAGO / ABONO]])))</f>
        <v>0</v>
      </c>
      <c r="AJ600" s="40" t="n">
        <f aca="false">+IF(Tabla[[#This Row],[FECHA PAGO / ABONO]]&lt;1,0,(YEAR(Tabla[[#This Row],[FECHA PAGO / ABONO]])))</f>
        <v>0</v>
      </c>
      <c r="AK600" s="41"/>
    </row>
    <row r="601" customFormat="false" ht="14.25" hidden="false" customHeight="false" outlineLevel="0" collapsed="false">
      <c r="A601" s="58" t="s">
        <v>127</v>
      </c>
      <c r="B601" s="21" t="s">
        <v>128</v>
      </c>
      <c r="C601" s="21" t="s">
        <v>69</v>
      </c>
      <c r="D601" s="21" t="n">
        <v>47367</v>
      </c>
      <c r="E601" s="43" t="str">
        <f aca="false">+CONCATENATE(Tabla[[#This Row],[RUT]],Tabla[[#This Row],[PROVEEDOR]],Tabla[[#This Row],[FACTURA]])</f>
        <v>84364100-8Publicidad Exterior Publivia SpA47367</v>
      </c>
      <c r="F601" s="30" t="n">
        <v>46134</v>
      </c>
      <c r="G601" s="31" t="n">
        <f aca="false">+F601+30</f>
        <v>46164</v>
      </c>
      <c r="H601" s="29" t="n">
        <f aca="true">+IF(AE601="PAGADA",0,TODAY()-G601)</f>
        <v>40</v>
      </c>
      <c r="I601" s="29" t="str">
        <f aca="false">+IF(H601&gt;180,"Atrasada",IF(H601&gt;150,"150 dias",IF(H601&gt;120,"120 dias",IF(H601&gt;90,"90 dias",IF(H601&gt;60,"60 dias",IF(H601&gt;30,"30 dias","Al Día"))))))</f>
        <v>30 dias</v>
      </c>
      <c r="J601" s="59" t="s">
        <v>80</v>
      </c>
      <c r="K601" s="60" t="s">
        <v>81</v>
      </c>
      <c r="L601" s="61" t="s">
        <v>309</v>
      </c>
      <c r="M601" s="29" t="n">
        <f aca="false">+YEAR(F601)</f>
        <v>2026</v>
      </c>
      <c r="N601" s="62" t="n">
        <v>2026</v>
      </c>
      <c r="O601" s="63" t="n">
        <v>3</v>
      </c>
      <c r="P601" s="29" t="str">
        <f aca="false">+CONCATENATE(Tabla[[#This Row],[MES CAMPAÑA]],"/",Tabla[[#This Row],[AÑO CAMPAÑA]])</f>
        <v>3/2026</v>
      </c>
      <c r="Q601" s="60" t="s">
        <v>92</v>
      </c>
      <c r="R601" s="29"/>
      <c r="S601" s="64" t="n">
        <v>0</v>
      </c>
      <c r="T601" s="64" t="n">
        <v>412738</v>
      </c>
      <c r="U601" s="64" t="n">
        <v>78420</v>
      </c>
      <c r="V601" s="29"/>
      <c r="W601" s="24" t="n">
        <v>491158</v>
      </c>
      <c r="X601" s="36"/>
      <c r="Y601" s="37"/>
      <c r="Z601" s="37"/>
      <c r="AA601" s="37"/>
      <c r="AB601" s="38" t="n">
        <f aca="false">+W601-AC601</f>
        <v>491158</v>
      </c>
      <c r="AC601" s="34" t="n">
        <f aca="false">+Tabla[[#This Row],[P4]]+Tabla[[#This Row],[P3]]+Tabla[[#This Row],[P2]]+Tabla[[#This Row],[P1]]</f>
        <v>0</v>
      </c>
      <c r="AD601" s="34" t="n">
        <f aca="false">+W601-AC601</f>
        <v>491158</v>
      </c>
      <c r="AE601" s="21" t="str">
        <f aca="false">IF(AB601&lt;1,"PAGADA","PENDIENTE")</f>
        <v>PENDIENTE</v>
      </c>
      <c r="AF601" s="21"/>
      <c r="AG601" s="29"/>
      <c r="AH601" s="40"/>
      <c r="AI601" s="40" t="n">
        <f aca="false">+IF(Tabla[[#This Row],[FECHA PAGO / ABONO]]&lt;1,0,(MONTH(Tabla[[#This Row],[FECHA PAGO / ABONO]])))</f>
        <v>0</v>
      </c>
      <c r="AJ601" s="40" t="n">
        <f aca="false">+IF(Tabla[[#This Row],[FECHA PAGO / ABONO]]&lt;1,0,(YEAR(Tabla[[#This Row],[FECHA PAGO / ABONO]])))</f>
        <v>0</v>
      </c>
      <c r="AK601" s="41"/>
    </row>
    <row r="602" customFormat="false" ht="14.25" hidden="false" customHeight="false" outlineLevel="0" collapsed="false">
      <c r="A602" s="58" t="s">
        <v>127</v>
      </c>
      <c r="B602" s="21" t="s">
        <v>128</v>
      </c>
      <c r="C602" s="21" t="s">
        <v>69</v>
      </c>
      <c r="D602" s="21" t="n">
        <v>47368</v>
      </c>
      <c r="E602" s="43" t="str">
        <f aca="false">+CONCATENATE(Tabla[[#This Row],[RUT]],Tabla[[#This Row],[PROVEEDOR]],Tabla[[#This Row],[FACTURA]])</f>
        <v>84364100-8Publicidad Exterior Publivia SpA47368</v>
      </c>
      <c r="F602" s="30" t="n">
        <v>46134</v>
      </c>
      <c r="G602" s="31" t="n">
        <f aca="false">+F602+30</f>
        <v>46164</v>
      </c>
      <c r="H602" s="29" t="n">
        <f aca="true">+IF(AE602="PAGADA",0,TODAY()-G602)</f>
        <v>40</v>
      </c>
      <c r="I602" s="29" t="str">
        <f aca="false">+IF(H602&gt;180,"Atrasada",IF(H602&gt;150,"150 dias",IF(H602&gt;120,"120 dias",IF(H602&gt;90,"90 dias",IF(H602&gt;60,"60 dias",IF(H602&gt;30,"30 dias","Al Día"))))))</f>
        <v>30 dias</v>
      </c>
      <c r="J602" s="59" t="s">
        <v>80</v>
      </c>
      <c r="K602" s="60" t="s">
        <v>81</v>
      </c>
      <c r="L602" s="61" t="s">
        <v>309</v>
      </c>
      <c r="M602" s="29" t="n">
        <f aca="false">+YEAR(F602)</f>
        <v>2026</v>
      </c>
      <c r="N602" s="62" t="n">
        <v>2026</v>
      </c>
      <c r="O602" s="63" t="n">
        <v>3</v>
      </c>
      <c r="P602" s="29" t="str">
        <f aca="false">+CONCATENATE(Tabla[[#This Row],[MES CAMPAÑA]],"/",Tabla[[#This Row],[AÑO CAMPAÑA]])</f>
        <v>3/2026</v>
      </c>
      <c r="Q602" s="60" t="s">
        <v>92</v>
      </c>
      <c r="R602" s="29"/>
      <c r="S602" s="64" t="n">
        <v>0</v>
      </c>
      <c r="T602" s="64" t="n">
        <v>393133</v>
      </c>
      <c r="U602" s="64" t="n">
        <v>74695</v>
      </c>
      <c r="V602" s="29"/>
      <c r="W602" s="24" t="n">
        <v>467828</v>
      </c>
      <c r="X602" s="36"/>
      <c r="Y602" s="37"/>
      <c r="Z602" s="37"/>
      <c r="AA602" s="37"/>
      <c r="AB602" s="38" t="n">
        <f aca="false">+W602-AC602</f>
        <v>467828</v>
      </c>
      <c r="AC602" s="34" t="n">
        <f aca="false">+Tabla[[#This Row],[P4]]+Tabla[[#This Row],[P3]]+Tabla[[#This Row],[P2]]+Tabla[[#This Row],[P1]]</f>
        <v>0</v>
      </c>
      <c r="AD602" s="34" t="n">
        <f aca="false">+W602-AC602</f>
        <v>467828</v>
      </c>
      <c r="AE602" s="21" t="str">
        <f aca="false">IF(AB602&lt;1,"PAGADA","PENDIENTE")</f>
        <v>PENDIENTE</v>
      </c>
      <c r="AF602" s="21"/>
      <c r="AG602" s="29"/>
      <c r="AH602" s="40"/>
      <c r="AI602" s="40" t="n">
        <f aca="false">+IF(Tabla[[#This Row],[FECHA PAGO / ABONO]]&lt;1,0,(MONTH(Tabla[[#This Row],[FECHA PAGO / ABONO]])))</f>
        <v>0</v>
      </c>
      <c r="AJ602" s="40" t="n">
        <f aca="false">+IF(Tabla[[#This Row],[FECHA PAGO / ABONO]]&lt;1,0,(YEAR(Tabla[[#This Row],[FECHA PAGO / ABONO]])))</f>
        <v>0</v>
      </c>
      <c r="AK602" s="41"/>
    </row>
    <row r="603" customFormat="false" ht="14.25" hidden="false" customHeight="false" outlineLevel="0" collapsed="false">
      <c r="A603" s="58" t="s">
        <v>191</v>
      </c>
      <c r="B603" s="21" t="s">
        <v>192</v>
      </c>
      <c r="C603" s="21" t="s">
        <v>125</v>
      </c>
      <c r="D603" s="21" t="n">
        <v>4748</v>
      </c>
      <c r="E603" s="43" t="str">
        <f aca="false">+CONCATENATE(Tabla[[#This Row],[RUT]],Tabla[[#This Row],[PROVEEDOR]],Tabla[[#This Row],[FACTURA]])</f>
        <v>94795000-2CIA.CHILENA DE COMUNICACIONES S.A.4748</v>
      </c>
      <c r="F603" s="30" t="n">
        <v>46134</v>
      </c>
      <c r="G603" s="31" t="n">
        <f aca="false">+F603+30</f>
        <v>46164</v>
      </c>
      <c r="H603" s="29" t="n">
        <f aca="true">+IF(AE603="PAGADA",0,TODAY()-G603)</f>
        <v>0</v>
      </c>
      <c r="I603" s="29" t="str">
        <f aca="false">+IF(H603&gt;180,"Atrasada",IF(H603&gt;150,"150 dias",IF(H603&gt;120,"120 dias",IF(H603&gt;90,"90 dias",IF(H603&gt;60,"60 dias",IF(H603&gt;30,"30 dias","Al Día"))))))</f>
        <v>Al Día</v>
      </c>
      <c r="J603" s="59" t="s">
        <v>80</v>
      </c>
      <c r="K603" s="60" t="s">
        <v>126</v>
      </c>
      <c r="L603" s="61" t="s">
        <v>248</v>
      </c>
      <c r="M603" s="29" t="n">
        <f aca="false">+YEAR(F603)</f>
        <v>2026</v>
      </c>
      <c r="N603" s="62" t="n">
        <v>2026</v>
      </c>
      <c r="O603" s="63" t="n">
        <v>1</v>
      </c>
      <c r="P603" s="29" t="str">
        <f aca="false">+CONCATENATE(Tabla[[#This Row],[MES CAMPAÑA]],"/",Tabla[[#This Row],[AÑO CAMPAÑA]])</f>
        <v>1/2026</v>
      </c>
      <c r="Q603" s="60" t="s">
        <v>194</v>
      </c>
      <c r="R603" s="29"/>
      <c r="S603" s="64" t="n">
        <v>0</v>
      </c>
      <c r="T603" s="64" t="n">
        <v>475000</v>
      </c>
      <c r="U603" s="64" t="n">
        <v>90250</v>
      </c>
      <c r="V603" s="29"/>
      <c r="W603" s="24" t="n">
        <v>565250</v>
      </c>
      <c r="X603" s="36" t="n">
        <f aca="false">+Tabla[[#This Row],[TOTAL]]</f>
        <v>565250</v>
      </c>
      <c r="Y603" s="37"/>
      <c r="Z603" s="37"/>
      <c r="AA603" s="37"/>
      <c r="AB603" s="38" t="n">
        <f aca="false">+W603-AC603</f>
        <v>0</v>
      </c>
      <c r="AC603" s="34" t="n">
        <f aca="false">+Tabla[[#This Row],[P4]]+Tabla[[#This Row],[P3]]+Tabla[[#This Row],[P2]]+Tabla[[#This Row],[P1]]</f>
        <v>565250</v>
      </c>
      <c r="AD603" s="34" t="n">
        <f aca="false">+W603-AC603</f>
        <v>0</v>
      </c>
      <c r="AE603" s="21" t="str">
        <f aca="false">IF(AB603&lt;1,"PAGADA","PENDIENTE")</f>
        <v>PAGADA</v>
      </c>
      <c r="AF603" s="21"/>
      <c r="AG603" s="29" t="str">
        <f aca="false">+Tabla[[#This Row],[ESTADO]]</f>
        <v>ANULA</v>
      </c>
      <c r="AH603" s="40"/>
      <c r="AI603" s="40" t="n">
        <f aca="false">+IF(Tabla[[#This Row],[FECHA PAGO / ABONO]]&lt;1,0,(MONTH(Tabla[[#This Row],[FECHA PAGO / ABONO]])))</f>
        <v>0</v>
      </c>
      <c r="AJ603" s="40" t="n">
        <f aca="false">+IF(Tabla[[#This Row],[FECHA PAGO / ABONO]]&lt;1,0,(YEAR(Tabla[[#This Row],[FECHA PAGO / ABONO]])))</f>
        <v>0</v>
      </c>
      <c r="AK603" s="41"/>
    </row>
    <row r="604" customFormat="false" ht="14.25" hidden="false" customHeight="false" outlineLevel="0" collapsed="false">
      <c r="A604" s="58" t="s">
        <v>127</v>
      </c>
      <c r="B604" s="21" t="s">
        <v>128</v>
      </c>
      <c r="C604" s="21" t="s">
        <v>69</v>
      </c>
      <c r="D604" s="21" t="n">
        <v>47369</v>
      </c>
      <c r="E604" s="43" t="str">
        <f aca="false">+CONCATENATE(Tabla[[#This Row],[RUT]],Tabla[[#This Row],[PROVEEDOR]],Tabla[[#This Row],[FACTURA]])</f>
        <v>84364100-8Publicidad Exterior Publivia SpA47369</v>
      </c>
      <c r="F604" s="30" t="n">
        <v>46134</v>
      </c>
      <c r="G604" s="31" t="n">
        <f aca="false">+F604+30</f>
        <v>46164</v>
      </c>
      <c r="H604" s="29" t="n">
        <f aca="true">+IF(AE604="PAGADA",0,TODAY()-G604)</f>
        <v>40</v>
      </c>
      <c r="I604" s="29" t="str">
        <f aca="false">+IF(H604&gt;180,"Atrasada",IF(H604&gt;150,"150 dias",IF(H604&gt;120,"120 dias",IF(H604&gt;90,"90 dias",IF(H604&gt;60,"60 dias",IF(H604&gt;30,"30 dias","Al Día"))))))</f>
        <v>30 dias</v>
      </c>
      <c r="J604" s="59" t="s">
        <v>80</v>
      </c>
      <c r="K604" s="60" t="s">
        <v>81</v>
      </c>
      <c r="L604" s="61" t="s">
        <v>309</v>
      </c>
      <c r="M604" s="29" t="n">
        <f aca="false">+YEAR(F604)</f>
        <v>2026</v>
      </c>
      <c r="N604" s="62" t="n">
        <v>2026</v>
      </c>
      <c r="O604" s="63" t="n">
        <v>3</v>
      </c>
      <c r="P604" s="29" t="str">
        <f aca="false">+CONCATENATE(Tabla[[#This Row],[MES CAMPAÑA]],"/",Tabla[[#This Row],[AÑO CAMPAÑA]])</f>
        <v>3/2026</v>
      </c>
      <c r="Q604" s="60" t="s">
        <v>105</v>
      </c>
      <c r="R604" s="29"/>
      <c r="S604" s="64" t="n">
        <v>0</v>
      </c>
      <c r="T604" s="64" t="n">
        <v>536667</v>
      </c>
      <c r="U604" s="64" t="n">
        <v>101967</v>
      </c>
      <c r="V604" s="29"/>
      <c r="W604" s="24" t="n">
        <v>638634</v>
      </c>
      <c r="X604" s="36"/>
      <c r="Y604" s="37"/>
      <c r="Z604" s="37"/>
      <c r="AA604" s="37"/>
      <c r="AB604" s="38" t="n">
        <f aca="false">+W604-AC604</f>
        <v>638634</v>
      </c>
      <c r="AC604" s="34" t="n">
        <f aca="false">+Tabla[[#This Row],[P4]]+Tabla[[#This Row],[P3]]+Tabla[[#This Row],[P2]]+Tabla[[#This Row],[P1]]</f>
        <v>0</v>
      </c>
      <c r="AD604" s="34" t="n">
        <f aca="false">+W604-AC604</f>
        <v>638634</v>
      </c>
      <c r="AE604" s="21" t="str">
        <f aca="false">IF(AB604&lt;1,"PAGADA","PENDIENTE")</f>
        <v>PENDIENTE</v>
      </c>
      <c r="AF604" s="21"/>
      <c r="AG604" s="29"/>
      <c r="AH604" s="40"/>
      <c r="AI604" s="40" t="n">
        <f aca="false">+IF(Tabla[[#This Row],[FECHA PAGO / ABONO]]&lt;1,0,(MONTH(Tabla[[#This Row],[FECHA PAGO / ABONO]])))</f>
        <v>0</v>
      </c>
      <c r="AJ604" s="40" t="n">
        <f aca="false">+IF(Tabla[[#This Row],[FECHA PAGO / ABONO]]&lt;1,0,(YEAR(Tabla[[#This Row],[FECHA PAGO / ABONO]])))</f>
        <v>0</v>
      </c>
      <c r="AK604" s="41"/>
    </row>
    <row r="605" customFormat="false" ht="14.25" hidden="false" customHeight="false" outlineLevel="0" collapsed="false">
      <c r="A605" s="58" t="s">
        <v>159</v>
      </c>
      <c r="B605" s="21" t="s">
        <v>160</v>
      </c>
      <c r="C605" s="21" t="s">
        <v>69</v>
      </c>
      <c r="D605" s="21" t="n">
        <v>110045</v>
      </c>
      <c r="E605" s="43" t="str">
        <f aca="false">+CONCATENATE(Tabla[[#This Row],[RUT]],Tabla[[#This Row],[PROVEEDOR]],Tabla[[#This Row],[FACTURA]])</f>
        <v>81689800-5TVN110045</v>
      </c>
      <c r="F605" s="30" t="n">
        <v>46134</v>
      </c>
      <c r="G605" s="31" t="n">
        <f aca="false">+F605+30</f>
        <v>46164</v>
      </c>
      <c r="H605" s="29" t="n">
        <f aca="true">+IF(AE605="PAGADA",0,TODAY()-G605)</f>
        <v>40</v>
      </c>
      <c r="I605" s="29" t="str">
        <f aca="false">+IF(H605&gt;180,"Atrasada",IF(H605&gt;150,"150 dias",IF(H605&gt;120,"120 dias",IF(H605&gt;90,"90 dias",IF(H605&gt;60,"60 dias",IF(H605&gt;30,"30 dias","Al Día"))))))</f>
        <v>30 dias</v>
      </c>
      <c r="J605" s="59" t="s">
        <v>80</v>
      </c>
      <c r="K605" s="60" t="s">
        <v>81</v>
      </c>
      <c r="L605" s="61" t="s">
        <v>309</v>
      </c>
      <c r="M605" s="29" t="n">
        <f aca="false">+YEAR(F605)</f>
        <v>2026</v>
      </c>
      <c r="N605" s="62" t="n">
        <v>2026</v>
      </c>
      <c r="O605" s="63" t="n">
        <v>3</v>
      </c>
      <c r="P605" s="29" t="str">
        <f aca="false">+CONCATENATE(Tabla[[#This Row],[MES CAMPAÑA]],"/",Tabla[[#This Row],[AÑO CAMPAÑA]])</f>
        <v>3/2026</v>
      </c>
      <c r="Q605" s="60" t="s">
        <v>105</v>
      </c>
      <c r="R605" s="29"/>
      <c r="S605" s="64" t="n">
        <v>0</v>
      </c>
      <c r="T605" s="64" t="n">
        <v>2929780</v>
      </c>
      <c r="U605" s="64" t="n">
        <v>556658</v>
      </c>
      <c r="V605" s="29"/>
      <c r="W605" s="24" t="n">
        <v>3486438</v>
      </c>
      <c r="X605" s="36"/>
      <c r="Y605" s="37"/>
      <c r="Z605" s="37"/>
      <c r="AA605" s="37"/>
      <c r="AB605" s="38" t="n">
        <f aca="false">+W605-AC605</f>
        <v>3486438</v>
      </c>
      <c r="AC605" s="34" t="n">
        <f aca="false">+Tabla[[#This Row],[P4]]+Tabla[[#This Row],[P3]]+Tabla[[#This Row],[P2]]+Tabla[[#This Row],[P1]]</f>
        <v>0</v>
      </c>
      <c r="AD605" s="34" t="n">
        <f aca="false">+W605-AC605</f>
        <v>3486438</v>
      </c>
      <c r="AE605" s="21" t="str">
        <f aca="false">IF(AB605&lt;1,"PAGADA","PENDIENTE")</f>
        <v>PENDIENTE</v>
      </c>
      <c r="AF605" s="21"/>
      <c r="AG605" s="29"/>
      <c r="AH605" s="40"/>
      <c r="AI605" s="40" t="n">
        <f aca="false">+IF(Tabla[[#This Row],[FECHA PAGO / ABONO]]&lt;1,0,(MONTH(Tabla[[#This Row],[FECHA PAGO / ABONO]])))</f>
        <v>0</v>
      </c>
      <c r="AJ605" s="40" t="n">
        <f aca="false">+IF(Tabla[[#This Row],[FECHA PAGO / ABONO]]&lt;1,0,(YEAR(Tabla[[#This Row],[FECHA PAGO / ABONO]])))</f>
        <v>0</v>
      </c>
      <c r="AK605" s="41"/>
    </row>
    <row r="606" customFormat="false" ht="14.25" hidden="false" customHeight="false" outlineLevel="0" collapsed="false">
      <c r="A606" s="58" t="s">
        <v>159</v>
      </c>
      <c r="B606" s="21" t="s">
        <v>160</v>
      </c>
      <c r="C606" s="21" t="s">
        <v>69</v>
      </c>
      <c r="D606" s="21" t="n">
        <v>110046</v>
      </c>
      <c r="E606" s="43" t="str">
        <f aca="false">+CONCATENATE(Tabla[[#This Row],[RUT]],Tabla[[#This Row],[PROVEEDOR]],Tabla[[#This Row],[FACTURA]])</f>
        <v>81689800-5TVN110046</v>
      </c>
      <c r="F606" s="30" t="n">
        <v>46134</v>
      </c>
      <c r="G606" s="31" t="n">
        <f aca="false">+F606+30</f>
        <v>46164</v>
      </c>
      <c r="H606" s="29" t="n">
        <f aca="true">+IF(AE606="PAGADA",0,TODAY()-G606)</f>
        <v>40</v>
      </c>
      <c r="I606" s="29" t="str">
        <f aca="false">+IF(H606&gt;180,"Atrasada",IF(H606&gt;150,"150 dias",IF(H606&gt;120,"120 dias",IF(H606&gt;90,"90 dias",IF(H606&gt;60,"60 dias",IF(H606&gt;30,"30 dias","Al Día"))))))</f>
        <v>30 dias</v>
      </c>
      <c r="J606" s="59" t="s">
        <v>80</v>
      </c>
      <c r="K606" s="60" t="s">
        <v>81</v>
      </c>
      <c r="L606" s="61" t="s">
        <v>309</v>
      </c>
      <c r="M606" s="29" t="n">
        <f aca="false">+YEAR(F606)</f>
        <v>2026</v>
      </c>
      <c r="N606" s="62" t="n">
        <v>2026</v>
      </c>
      <c r="O606" s="63" t="n">
        <v>3</v>
      </c>
      <c r="P606" s="29" t="str">
        <f aca="false">+CONCATENATE(Tabla[[#This Row],[MES CAMPAÑA]],"/",Tabla[[#This Row],[AÑO CAMPAÑA]])</f>
        <v>3/2026</v>
      </c>
      <c r="Q606" s="60" t="s">
        <v>105</v>
      </c>
      <c r="R606" s="29"/>
      <c r="S606" s="64" t="n">
        <v>0</v>
      </c>
      <c r="T606" s="64" t="n">
        <v>1463700</v>
      </c>
      <c r="U606" s="64" t="n">
        <v>278103</v>
      </c>
      <c r="V606" s="29"/>
      <c r="W606" s="24" t="n">
        <v>1741803</v>
      </c>
      <c r="X606" s="36"/>
      <c r="Y606" s="37"/>
      <c r="Z606" s="37"/>
      <c r="AA606" s="37"/>
      <c r="AB606" s="38" t="n">
        <f aca="false">+W606-AC606</f>
        <v>1741803</v>
      </c>
      <c r="AC606" s="34" t="n">
        <f aca="false">+Tabla[[#This Row],[P4]]+Tabla[[#This Row],[P3]]+Tabla[[#This Row],[P2]]+Tabla[[#This Row],[P1]]</f>
        <v>0</v>
      </c>
      <c r="AD606" s="34" t="n">
        <f aca="false">+W606-AC606</f>
        <v>1741803</v>
      </c>
      <c r="AE606" s="21" t="str">
        <f aca="false">IF(AB606&lt;1,"PAGADA","PENDIENTE")</f>
        <v>PENDIENTE</v>
      </c>
      <c r="AF606" s="21"/>
      <c r="AG606" s="29"/>
      <c r="AH606" s="40"/>
      <c r="AI606" s="40" t="n">
        <f aca="false">+IF(Tabla[[#This Row],[FECHA PAGO / ABONO]]&lt;1,0,(MONTH(Tabla[[#This Row],[FECHA PAGO / ABONO]])))</f>
        <v>0</v>
      </c>
      <c r="AJ606" s="40" t="n">
        <f aca="false">+IF(Tabla[[#This Row],[FECHA PAGO / ABONO]]&lt;1,0,(YEAR(Tabla[[#This Row],[FECHA PAGO / ABONO]])))</f>
        <v>0</v>
      </c>
      <c r="AK606" s="41"/>
    </row>
    <row r="607" customFormat="false" ht="14.25" hidden="false" customHeight="false" outlineLevel="0" collapsed="false">
      <c r="A607" s="58" t="s">
        <v>159</v>
      </c>
      <c r="B607" s="21" t="s">
        <v>160</v>
      </c>
      <c r="C607" s="21" t="s">
        <v>69</v>
      </c>
      <c r="D607" s="21" t="n">
        <v>110047</v>
      </c>
      <c r="E607" s="43" t="str">
        <f aca="false">+CONCATENATE(Tabla[[#This Row],[RUT]],Tabla[[#This Row],[PROVEEDOR]],Tabla[[#This Row],[FACTURA]])</f>
        <v>81689800-5TVN110047</v>
      </c>
      <c r="F607" s="30" t="n">
        <v>46134</v>
      </c>
      <c r="G607" s="31" t="n">
        <f aca="false">+F607+30</f>
        <v>46164</v>
      </c>
      <c r="H607" s="29" t="n">
        <f aca="true">+IF(AE607="PAGADA",0,TODAY()-G607)</f>
        <v>40</v>
      </c>
      <c r="I607" s="29" t="str">
        <f aca="false">+IF(H607&gt;180,"Atrasada",IF(H607&gt;150,"150 dias",IF(H607&gt;120,"120 dias",IF(H607&gt;90,"90 dias",IF(H607&gt;60,"60 dias",IF(H607&gt;30,"30 dias","Al Día"))))))</f>
        <v>30 dias</v>
      </c>
      <c r="J607" s="59" t="s">
        <v>80</v>
      </c>
      <c r="K607" s="60" t="s">
        <v>81</v>
      </c>
      <c r="L607" s="61" t="s">
        <v>309</v>
      </c>
      <c r="M607" s="29" t="n">
        <f aca="false">+YEAR(F607)</f>
        <v>2026</v>
      </c>
      <c r="N607" s="62" t="n">
        <v>2026</v>
      </c>
      <c r="O607" s="63" t="n">
        <v>3</v>
      </c>
      <c r="P607" s="29" t="str">
        <f aca="false">+CONCATENATE(Tabla[[#This Row],[MES CAMPAÑA]],"/",Tabla[[#This Row],[AÑO CAMPAÑA]])</f>
        <v>3/2026</v>
      </c>
      <c r="Q607" s="60" t="s">
        <v>105</v>
      </c>
      <c r="R607" s="29"/>
      <c r="S607" s="64" t="n">
        <v>0</v>
      </c>
      <c r="T607" s="64" t="n">
        <v>416500</v>
      </c>
      <c r="U607" s="64" t="n">
        <v>79135</v>
      </c>
      <c r="V607" s="29"/>
      <c r="W607" s="24" t="n">
        <v>495635</v>
      </c>
      <c r="X607" s="36"/>
      <c r="Y607" s="37"/>
      <c r="Z607" s="37"/>
      <c r="AA607" s="37"/>
      <c r="AB607" s="38" t="n">
        <f aca="false">+W607-AC607</f>
        <v>495635</v>
      </c>
      <c r="AC607" s="34" t="n">
        <f aca="false">+Tabla[[#This Row],[P4]]+Tabla[[#This Row],[P3]]+Tabla[[#This Row],[P2]]+Tabla[[#This Row],[P1]]</f>
        <v>0</v>
      </c>
      <c r="AD607" s="34" t="n">
        <f aca="false">+W607-AC607</f>
        <v>495635</v>
      </c>
      <c r="AE607" s="21" t="str">
        <f aca="false">IF(AB607&lt;1,"PAGADA","PENDIENTE")</f>
        <v>PENDIENTE</v>
      </c>
      <c r="AF607" s="21"/>
      <c r="AG607" s="29"/>
      <c r="AH607" s="40"/>
      <c r="AI607" s="40" t="n">
        <f aca="false">+IF(Tabla[[#This Row],[FECHA PAGO / ABONO]]&lt;1,0,(MONTH(Tabla[[#This Row],[FECHA PAGO / ABONO]])))</f>
        <v>0</v>
      </c>
      <c r="AJ607" s="40" t="n">
        <f aca="false">+IF(Tabla[[#This Row],[FECHA PAGO / ABONO]]&lt;1,0,(YEAR(Tabla[[#This Row],[FECHA PAGO / ABONO]])))</f>
        <v>0</v>
      </c>
      <c r="AK607" s="41"/>
    </row>
    <row r="608" customFormat="false" ht="14.25" hidden="false" customHeight="false" outlineLevel="0" collapsed="false">
      <c r="A608" s="58" t="s">
        <v>159</v>
      </c>
      <c r="B608" s="21" t="s">
        <v>160</v>
      </c>
      <c r="C608" s="21" t="s">
        <v>69</v>
      </c>
      <c r="D608" s="21" t="n">
        <v>110048</v>
      </c>
      <c r="E608" s="43" t="str">
        <f aca="false">+CONCATENATE(Tabla[[#This Row],[RUT]],Tabla[[#This Row],[PROVEEDOR]],Tabla[[#This Row],[FACTURA]])</f>
        <v>81689800-5TVN110048</v>
      </c>
      <c r="F608" s="30" t="n">
        <v>46134</v>
      </c>
      <c r="G608" s="31" t="n">
        <f aca="false">+F608+30</f>
        <v>46164</v>
      </c>
      <c r="H608" s="29" t="n">
        <f aca="true">+IF(AE608="PAGADA",0,TODAY()-G608)</f>
        <v>40</v>
      </c>
      <c r="I608" s="29" t="str">
        <f aca="false">+IF(H608&gt;180,"Atrasada",IF(H608&gt;150,"150 dias",IF(H608&gt;120,"120 dias",IF(H608&gt;90,"90 dias",IF(H608&gt;60,"60 dias",IF(H608&gt;30,"30 dias","Al Día"))))))</f>
        <v>30 dias</v>
      </c>
      <c r="J608" s="59" t="s">
        <v>80</v>
      </c>
      <c r="K608" s="60" t="s">
        <v>81</v>
      </c>
      <c r="L608" s="61" t="s">
        <v>309</v>
      </c>
      <c r="M608" s="29" t="n">
        <f aca="false">+YEAR(F608)</f>
        <v>2026</v>
      </c>
      <c r="N608" s="62" t="n">
        <v>2026</v>
      </c>
      <c r="O608" s="63" t="n">
        <v>3</v>
      </c>
      <c r="P608" s="29" t="str">
        <f aca="false">+CONCATENATE(Tabla[[#This Row],[MES CAMPAÑA]],"/",Tabla[[#This Row],[AÑO CAMPAÑA]])</f>
        <v>3/2026</v>
      </c>
      <c r="Q608" s="60" t="s">
        <v>105</v>
      </c>
      <c r="R608" s="29"/>
      <c r="S608" s="64" t="n">
        <v>0</v>
      </c>
      <c r="T608" s="64" t="n">
        <v>4252680</v>
      </c>
      <c r="U608" s="64" t="n">
        <v>808009</v>
      </c>
      <c r="V608" s="29"/>
      <c r="W608" s="24" t="n">
        <v>5060689</v>
      </c>
      <c r="X608" s="36"/>
      <c r="Y608" s="37"/>
      <c r="Z608" s="37"/>
      <c r="AA608" s="37"/>
      <c r="AB608" s="38" t="n">
        <f aca="false">+W608-AC608</f>
        <v>5060689</v>
      </c>
      <c r="AC608" s="34" t="n">
        <f aca="false">+Tabla[[#This Row],[P4]]+Tabla[[#This Row],[P3]]+Tabla[[#This Row],[P2]]+Tabla[[#This Row],[P1]]</f>
        <v>0</v>
      </c>
      <c r="AD608" s="34" t="n">
        <f aca="false">+W608-AC608</f>
        <v>5060689</v>
      </c>
      <c r="AE608" s="21" t="str">
        <f aca="false">IF(AB608&lt;1,"PAGADA","PENDIENTE")</f>
        <v>PENDIENTE</v>
      </c>
      <c r="AF608" s="21"/>
      <c r="AG608" s="29"/>
      <c r="AH608" s="40"/>
      <c r="AI608" s="40" t="n">
        <f aca="false">+IF(Tabla[[#This Row],[FECHA PAGO / ABONO]]&lt;1,0,(MONTH(Tabla[[#This Row],[FECHA PAGO / ABONO]])))</f>
        <v>0</v>
      </c>
      <c r="AJ608" s="40" t="n">
        <f aca="false">+IF(Tabla[[#This Row],[FECHA PAGO / ABONO]]&lt;1,0,(YEAR(Tabla[[#This Row],[FECHA PAGO / ABONO]])))</f>
        <v>0</v>
      </c>
      <c r="AK608" s="41"/>
    </row>
    <row r="609" customFormat="false" ht="14.25" hidden="false" customHeight="false" outlineLevel="0" collapsed="false">
      <c r="A609" s="58" t="s">
        <v>159</v>
      </c>
      <c r="B609" s="21" t="s">
        <v>160</v>
      </c>
      <c r="C609" s="21" t="s">
        <v>69</v>
      </c>
      <c r="D609" s="21" t="n">
        <v>110049</v>
      </c>
      <c r="E609" s="43" t="str">
        <f aca="false">+CONCATENATE(Tabla[[#This Row],[RUT]],Tabla[[#This Row],[PROVEEDOR]],Tabla[[#This Row],[FACTURA]])</f>
        <v>81689800-5TVN110049</v>
      </c>
      <c r="F609" s="30" t="n">
        <v>46134</v>
      </c>
      <c r="G609" s="31" t="n">
        <f aca="false">+F609+30</f>
        <v>46164</v>
      </c>
      <c r="H609" s="29" t="n">
        <f aca="true">+IF(AE609="PAGADA",0,TODAY()-G609)</f>
        <v>40</v>
      </c>
      <c r="I609" s="29" t="str">
        <f aca="false">+IF(H609&gt;180,"Atrasada",IF(H609&gt;150,"150 dias",IF(H609&gt;120,"120 dias",IF(H609&gt;90,"90 dias",IF(H609&gt;60,"60 dias",IF(H609&gt;30,"30 dias","Al Día"))))))</f>
        <v>30 dias</v>
      </c>
      <c r="J609" s="59" t="s">
        <v>80</v>
      </c>
      <c r="K609" s="60" t="s">
        <v>81</v>
      </c>
      <c r="L609" s="61" t="s">
        <v>309</v>
      </c>
      <c r="M609" s="29" t="n">
        <f aca="false">+YEAR(F609)</f>
        <v>2026</v>
      </c>
      <c r="N609" s="62" t="n">
        <v>2026</v>
      </c>
      <c r="O609" s="63" t="n">
        <v>3</v>
      </c>
      <c r="P609" s="29" t="str">
        <f aca="false">+CONCATENATE(Tabla[[#This Row],[MES CAMPAÑA]],"/",Tabla[[#This Row],[AÑO CAMPAÑA]])</f>
        <v>3/2026</v>
      </c>
      <c r="Q609" s="60" t="s">
        <v>105</v>
      </c>
      <c r="R609" s="29"/>
      <c r="S609" s="64" t="n">
        <v>0</v>
      </c>
      <c r="T609" s="64" t="n">
        <v>6138480</v>
      </c>
      <c r="U609" s="64" t="n">
        <v>1166311</v>
      </c>
      <c r="V609" s="29"/>
      <c r="W609" s="24" t="n">
        <v>7304791</v>
      </c>
      <c r="X609" s="36"/>
      <c r="Y609" s="37"/>
      <c r="Z609" s="37"/>
      <c r="AA609" s="37"/>
      <c r="AB609" s="38" t="n">
        <f aca="false">+W609-AC609</f>
        <v>7304791</v>
      </c>
      <c r="AC609" s="34" t="n">
        <f aca="false">+Tabla[[#This Row],[P4]]+Tabla[[#This Row],[P3]]+Tabla[[#This Row],[P2]]+Tabla[[#This Row],[P1]]</f>
        <v>0</v>
      </c>
      <c r="AD609" s="34" t="n">
        <f aca="false">+W609-AC609</f>
        <v>7304791</v>
      </c>
      <c r="AE609" s="21" t="str">
        <f aca="false">IF(AB609&lt;1,"PAGADA","PENDIENTE")</f>
        <v>PENDIENTE</v>
      </c>
      <c r="AF609" s="21"/>
      <c r="AG609" s="29"/>
      <c r="AH609" s="40"/>
      <c r="AI609" s="40" t="n">
        <f aca="false">+IF(Tabla[[#This Row],[FECHA PAGO / ABONO]]&lt;1,0,(MONTH(Tabla[[#This Row],[FECHA PAGO / ABONO]])))</f>
        <v>0</v>
      </c>
      <c r="AJ609" s="40" t="n">
        <f aca="false">+IF(Tabla[[#This Row],[FECHA PAGO / ABONO]]&lt;1,0,(YEAR(Tabla[[#This Row],[FECHA PAGO / ABONO]])))</f>
        <v>0</v>
      </c>
      <c r="AK609" s="41"/>
    </row>
    <row r="610" customFormat="false" ht="14.25" hidden="false" customHeight="false" outlineLevel="0" collapsed="false">
      <c r="A610" s="58" t="s">
        <v>159</v>
      </c>
      <c r="B610" s="21" t="s">
        <v>160</v>
      </c>
      <c r="C610" s="21" t="s">
        <v>69</v>
      </c>
      <c r="D610" s="21" t="n">
        <v>110050</v>
      </c>
      <c r="E610" s="43" t="str">
        <f aca="false">+CONCATENATE(Tabla[[#This Row],[RUT]],Tabla[[#This Row],[PROVEEDOR]],Tabla[[#This Row],[FACTURA]])</f>
        <v>81689800-5TVN110050</v>
      </c>
      <c r="F610" s="30" t="n">
        <v>46134</v>
      </c>
      <c r="G610" s="31" t="n">
        <f aca="false">+F610+30</f>
        <v>46164</v>
      </c>
      <c r="H610" s="29" t="n">
        <f aca="true">+IF(AE610="PAGADA",0,TODAY()-G610)</f>
        <v>40</v>
      </c>
      <c r="I610" s="29" t="str">
        <f aca="false">+IF(H610&gt;180,"Atrasada",IF(H610&gt;150,"150 dias",IF(H610&gt;120,"120 dias",IF(H610&gt;90,"90 dias",IF(H610&gt;60,"60 dias",IF(H610&gt;30,"30 dias","Al Día"))))))</f>
        <v>30 dias</v>
      </c>
      <c r="J610" s="59" t="s">
        <v>80</v>
      </c>
      <c r="K610" s="60" t="s">
        <v>81</v>
      </c>
      <c r="L610" s="61" t="s">
        <v>309</v>
      </c>
      <c r="M610" s="29" t="n">
        <f aca="false">+YEAR(F610)</f>
        <v>2026</v>
      </c>
      <c r="N610" s="62" t="n">
        <v>2026</v>
      </c>
      <c r="O610" s="63" t="n">
        <v>3</v>
      </c>
      <c r="P610" s="29" t="str">
        <f aca="false">+CONCATENATE(Tabla[[#This Row],[MES CAMPAÑA]],"/",Tabla[[#This Row],[AÑO CAMPAÑA]])</f>
        <v>3/2026</v>
      </c>
      <c r="Q610" s="60" t="s">
        <v>105</v>
      </c>
      <c r="R610" s="29"/>
      <c r="S610" s="64" t="n">
        <v>0</v>
      </c>
      <c r="T610" s="64" t="n">
        <v>4983570</v>
      </c>
      <c r="U610" s="64" t="n">
        <v>946878</v>
      </c>
      <c r="V610" s="29"/>
      <c r="W610" s="24" t="n">
        <v>5930448</v>
      </c>
      <c r="X610" s="36"/>
      <c r="Y610" s="37"/>
      <c r="Z610" s="37"/>
      <c r="AA610" s="37"/>
      <c r="AB610" s="38" t="n">
        <f aca="false">+W610-AC610</f>
        <v>5930448</v>
      </c>
      <c r="AC610" s="34" t="n">
        <f aca="false">+Tabla[[#This Row],[P4]]+Tabla[[#This Row],[P3]]+Tabla[[#This Row],[P2]]+Tabla[[#This Row],[P1]]</f>
        <v>0</v>
      </c>
      <c r="AD610" s="34" t="n">
        <f aca="false">+W610-AC610</f>
        <v>5930448</v>
      </c>
      <c r="AE610" s="21" t="str">
        <f aca="false">IF(AB610&lt;1,"PAGADA","PENDIENTE")</f>
        <v>PENDIENTE</v>
      </c>
      <c r="AF610" s="21"/>
      <c r="AG610" s="29"/>
      <c r="AH610" s="40"/>
      <c r="AI610" s="40" t="n">
        <f aca="false">+IF(Tabla[[#This Row],[FECHA PAGO / ABONO]]&lt;1,0,(MONTH(Tabla[[#This Row],[FECHA PAGO / ABONO]])))</f>
        <v>0</v>
      </c>
      <c r="AJ610" s="40" t="n">
        <f aca="false">+IF(Tabla[[#This Row],[FECHA PAGO / ABONO]]&lt;1,0,(YEAR(Tabla[[#This Row],[FECHA PAGO / ABONO]])))</f>
        <v>0</v>
      </c>
      <c r="AK610" s="41"/>
    </row>
    <row r="611" customFormat="false" ht="14.25" hidden="false" customHeight="false" outlineLevel="0" collapsed="false">
      <c r="A611" s="58" t="s">
        <v>159</v>
      </c>
      <c r="B611" s="21" t="s">
        <v>160</v>
      </c>
      <c r="C611" s="21" t="s">
        <v>69</v>
      </c>
      <c r="D611" s="21" t="n">
        <v>110051</v>
      </c>
      <c r="E611" s="43" t="str">
        <f aca="false">+CONCATENATE(Tabla[[#This Row],[RUT]],Tabla[[#This Row],[PROVEEDOR]],Tabla[[#This Row],[FACTURA]])</f>
        <v>81689800-5TVN110051</v>
      </c>
      <c r="F611" s="30" t="n">
        <v>46134</v>
      </c>
      <c r="G611" s="31" t="n">
        <f aca="false">+F611+30</f>
        <v>46164</v>
      </c>
      <c r="H611" s="29" t="n">
        <f aca="true">+IF(AE611="PAGADA",0,TODAY()-G611)</f>
        <v>40</v>
      </c>
      <c r="I611" s="29" t="str">
        <f aca="false">+IF(H611&gt;180,"Atrasada",IF(H611&gt;150,"150 dias",IF(H611&gt;120,"120 dias",IF(H611&gt;90,"90 dias",IF(H611&gt;60,"60 dias",IF(H611&gt;30,"30 dias","Al Día"))))))</f>
        <v>30 dias</v>
      </c>
      <c r="J611" s="59" t="s">
        <v>80</v>
      </c>
      <c r="K611" s="60" t="s">
        <v>81</v>
      </c>
      <c r="L611" s="61" t="s">
        <v>309</v>
      </c>
      <c r="M611" s="29" t="n">
        <f aca="false">+YEAR(F611)</f>
        <v>2026</v>
      </c>
      <c r="N611" s="62" t="n">
        <v>2026</v>
      </c>
      <c r="O611" s="63" t="n">
        <v>3</v>
      </c>
      <c r="P611" s="29" t="str">
        <f aca="false">+CONCATENATE(Tabla[[#This Row],[MES CAMPAÑA]],"/",Tabla[[#This Row],[AÑO CAMPAÑA]])</f>
        <v>3/2026</v>
      </c>
      <c r="Q611" s="60" t="s">
        <v>105</v>
      </c>
      <c r="R611" s="29"/>
      <c r="S611" s="64" t="n">
        <v>0</v>
      </c>
      <c r="T611" s="64" t="n">
        <v>3906210</v>
      </c>
      <c r="U611" s="64" t="n">
        <v>742180</v>
      </c>
      <c r="V611" s="29"/>
      <c r="W611" s="24" t="n">
        <v>4648390</v>
      </c>
      <c r="X611" s="36"/>
      <c r="Y611" s="37"/>
      <c r="Z611" s="37"/>
      <c r="AA611" s="37"/>
      <c r="AB611" s="38" t="n">
        <f aca="false">+W611-AC611</f>
        <v>4648390</v>
      </c>
      <c r="AC611" s="34" t="n">
        <f aca="false">+Tabla[[#This Row],[P4]]+Tabla[[#This Row],[P3]]+Tabla[[#This Row],[P2]]+Tabla[[#This Row],[P1]]</f>
        <v>0</v>
      </c>
      <c r="AD611" s="34" t="n">
        <f aca="false">+W611-AC611</f>
        <v>4648390</v>
      </c>
      <c r="AE611" s="21" t="str">
        <f aca="false">IF(AB611&lt;1,"PAGADA","PENDIENTE")</f>
        <v>PENDIENTE</v>
      </c>
      <c r="AF611" s="21"/>
      <c r="AG611" s="29"/>
      <c r="AH611" s="40"/>
      <c r="AI611" s="40" t="n">
        <f aca="false">+IF(Tabla[[#This Row],[FECHA PAGO / ABONO]]&lt;1,0,(MONTH(Tabla[[#This Row],[FECHA PAGO / ABONO]])))</f>
        <v>0</v>
      </c>
      <c r="AJ611" s="40" t="n">
        <f aca="false">+IF(Tabla[[#This Row],[FECHA PAGO / ABONO]]&lt;1,0,(YEAR(Tabla[[#This Row],[FECHA PAGO / ABONO]])))</f>
        <v>0</v>
      </c>
      <c r="AK611" s="41"/>
    </row>
    <row r="612" customFormat="false" ht="14.25" hidden="false" customHeight="false" outlineLevel="0" collapsed="false">
      <c r="A612" s="58" t="s">
        <v>159</v>
      </c>
      <c r="B612" s="21" t="s">
        <v>160</v>
      </c>
      <c r="C612" s="21" t="s">
        <v>69</v>
      </c>
      <c r="D612" s="21" t="n">
        <v>110052</v>
      </c>
      <c r="E612" s="43" t="str">
        <f aca="false">+CONCATENATE(Tabla[[#This Row],[RUT]],Tabla[[#This Row],[PROVEEDOR]],Tabla[[#This Row],[FACTURA]])</f>
        <v>81689800-5TVN110052</v>
      </c>
      <c r="F612" s="30" t="n">
        <v>46134</v>
      </c>
      <c r="G612" s="31" t="n">
        <f aca="false">+F612+30</f>
        <v>46164</v>
      </c>
      <c r="H612" s="29" t="n">
        <f aca="true">+IF(AE612="PAGADA",0,TODAY()-G612)</f>
        <v>40</v>
      </c>
      <c r="I612" s="29" t="str">
        <f aca="false">+IF(H612&gt;180,"Atrasada",IF(H612&gt;150,"150 dias",IF(H612&gt;120,"120 dias",IF(H612&gt;90,"90 dias",IF(H612&gt;60,"60 dias",IF(H612&gt;30,"30 dias","Al Día"))))))</f>
        <v>30 dias</v>
      </c>
      <c r="J612" s="59" t="s">
        <v>80</v>
      </c>
      <c r="K612" s="60" t="s">
        <v>81</v>
      </c>
      <c r="L612" s="61" t="s">
        <v>309</v>
      </c>
      <c r="M612" s="29" t="n">
        <f aca="false">+YEAR(F612)</f>
        <v>2026</v>
      </c>
      <c r="N612" s="62" t="n">
        <v>2026</v>
      </c>
      <c r="O612" s="63" t="n">
        <v>3</v>
      </c>
      <c r="P612" s="29" t="str">
        <f aca="false">+CONCATENATE(Tabla[[#This Row],[MES CAMPAÑA]],"/",Tabla[[#This Row],[AÑO CAMPAÑA]])</f>
        <v>3/2026</v>
      </c>
      <c r="Q612" s="60" t="s">
        <v>105</v>
      </c>
      <c r="R612" s="29"/>
      <c r="S612" s="64" t="n">
        <v>0</v>
      </c>
      <c r="T612" s="64" t="n">
        <v>4404450</v>
      </c>
      <c r="U612" s="64" t="n">
        <v>836846</v>
      </c>
      <c r="V612" s="29"/>
      <c r="W612" s="24" t="n">
        <v>5241296</v>
      </c>
      <c r="X612" s="36"/>
      <c r="Y612" s="37"/>
      <c r="Z612" s="37"/>
      <c r="AA612" s="37"/>
      <c r="AB612" s="38" t="n">
        <f aca="false">+W612-AC612</f>
        <v>5241296</v>
      </c>
      <c r="AC612" s="34" t="n">
        <f aca="false">+Tabla[[#This Row],[P4]]+Tabla[[#This Row],[P3]]+Tabla[[#This Row],[P2]]+Tabla[[#This Row],[P1]]</f>
        <v>0</v>
      </c>
      <c r="AD612" s="34" t="n">
        <f aca="false">+W612-AC612</f>
        <v>5241296</v>
      </c>
      <c r="AE612" s="21" t="str">
        <f aca="false">IF(AB612&lt;1,"PAGADA","PENDIENTE")</f>
        <v>PENDIENTE</v>
      </c>
      <c r="AF612" s="21"/>
      <c r="AG612" s="29"/>
      <c r="AH612" s="40"/>
      <c r="AI612" s="40" t="n">
        <f aca="false">+IF(Tabla[[#This Row],[FECHA PAGO / ABONO]]&lt;1,0,(MONTH(Tabla[[#This Row],[FECHA PAGO / ABONO]])))</f>
        <v>0</v>
      </c>
      <c r="AJ612" s="40" t="n">
        <f aca="false">+IF(Tabla[[#This Row],[FECHA PAGO / ABONO]]&lt;1,0,(YEAR(Tabla[[#This Row],[FECHA PAGO / ABONO]])))</f>
        <v>0</v>
      </c>
      <c r="AK612" s="41"/>
    </row>
    <row r="613" customFormat="false" ht="14.25" hidden="false" customHeight="false" outlineLevel="0" collapsed="false">
      <c r="A613" s="58" t="s">
        <v>159</v>
      </c>
      <c r="B613" s="21" t="s">
        <v>160</v>
      </c>
      <c r="C613" s="21" t="s">
        <v>69</v>
      </c>
      <c r="D613" s="21" t="n">
        <v>110053</v>
      </c>
      <c r="E613" s="43" t="str">
        <f aca="false">+CONCATENATE(Tabla[[#This Row],[RUT]],Tabla[[#This Row],[PROVEEDOR]],Tabla[[#This Row],[FACTURA]])</f>
        <v>81689800-5TVN110053</v>
      </c>
      <c r="F613" s="30" t="n">
        <v>46134</v>
      </c>
      <c r="G613" s="31" t="n">
        <f aca="false">+F613+30</f>
        <v>46164</v>
      </c>
      <c r="H613" s="29" t="n">
        <f aca="true">+IF(AE613="PAGADA",0,TODAY()-G613)</f>
        <v>40</v>
      </c>
      <c r="I613" s="29" t="str">
        <f aca="false">+IF(H613&gt;180,"Atrasada",IF(H613&gt;150,"150 dias",IF(H613&gt;120,"120 dias",IF(H613&gt;90,"90 dias",IF(H613&gt;60,"60 dias",IF(H613&gt;30,"30 dias","Al Día"))))))</f>
        <v>30 dias</v>
      </c>
      <c r="J613" s="59" t="s">
        <v>80</v>
      </c>
      <c r="K613" s="60" t="s">
        <v>81</v>
      </c>
      <c r="L613" s="61" t="s">
        <v>309</v>
      </c>
      <c r="M613" s="29" t="n">
        <f aca="false">+YEAR(F613)</f>
        <v>2026</v>
      </c>
      <c r="N613" s="62" t="n">
        <v>2026</v>
      </c>
      <c r="O613" s="63" t="n">
        <v>3</v>
      </c>
      <c r="P613" s="29" t="str">
        <f aca="false">+CONCATENATE(Tabla[[#This Row],[MES CAMPAÑA]],"/",Tabla[[#This Row],[AÑO CAMPAÑA]])</f>
        <v>3/2026</v>
      </c>
      <c r="Q613" s="60" t="s">
        <v>105</v>
      </c>
      <c r="R613" s="29"/>
      <c r="S613" s="64" t="n">
        <v>0</v>
      </c>
      <c r="T613" s="64" t="n">
        <v>798840</v>
      </c>
      <c r="U613" s="64" t="n">
        <v>151780</v>
      </c>
      <c r="V613" s="29"/>
      <c r="W613" s="24" t="n">
        <v>950620</v>
      </c>
      <c r="X613" s="36"/>
      <c r="Y613" s="37"/>
      <c r="Z613" s="37"/>
      <c r="AA613" s="37"/>
      <c r="AB613" s="38" t="n">
        <f aca="false">+W613-AC613</f>
        <v>950620</v>
      </c>
      <c r="AC613" s="34" t="n">
        <f aca="false">+Tabla[[#This Row],[P4]]+Tabla[[#This Row],[P3]]+Tabla[[#This Row],[P2]]+Tabla[[#This Row],[P1]]</f>
        <v>0</v>
      </c>
      <c r="AD613" s="34" t="n">
        <f aca="false">+W613-AC613</f>
        <v>950620</v>
      </c>
      <c r="AE613" s="21" t="str">
        <f aca="false">IF(AB613&lt;1,"PAGADA","PENDIENTE")</f>
        <v>PENDIENTE</v>
      </c>
      <c r="AF613" s="21"/>
      <c r="AG613" s="29"/>
      <c r="AH613" s="40"/>
      <c r="AI613" s="40" t="n">
        <f aca="false">+IF(Tabla[[#This Row],[FECHA PAGO / ABONO]]&lt;1,0,(MONTH(Tabla[[#This Row],[FECHA PAGO / ABONO]])))</f>
        <v>0</v>
      </c>
      <c r="AJ613" s="40" t="n">
        <f aca="false">+IF(Tabla[[#This Row],[FECHA PAGO / ABONO]]&lt;1,0,(YEAR(Tabla[[#This Row],[FECHA PAGO / ABONO]])))</f>
        <v>0</v>
      </c>
      <c r="AK613" s="41"/>
    </row>
    <row r="614" customFormat="false" ht="14.25" hidden="false" customHeight="false" outlineLevel="0" collapsed="false">
      <c r="A614" s="58" t="s">
        <v>175</v>
      </c>
      <c r="B614" s="21" t="s">
        <v>176</v>
      </c>
      <c r="C614" s="21" t="s">
        <v>69</v>
      </c>
      <c r="D614" s="21" t="n">
        <v>2064</v>
      </c>
      <c r="E614" s="43" t="str">
        <f aca="false">+CONCATENATE(Tabla[[#This Row],[RUT]],Tabla[[#This Row],[PROVEEDOR]],Tabla[[#This Row],[FACTURA]])</f>
        <v>77837600-8COMUNICACIONES SAN ANDRES LIMITADA2064</v>
      </c>
      <c r="F614" s="30" t="n">
        <v>46134</v>
      </c>
      <c r="G614" s="31" t="n">
        <f aca="false">+F614+30</f>
        <v>46164</v>
      </c>
      <c r="H614" s="29" t="n">
        <f aca="true">+IF(AE614="PAGADA",0,TODAY()-G614)</f>
        <v>40</v>
      </c>
      <c r="I614" s="29" t="str">
        <f aca="false">+IF(H614&gt;180,"Atrasada",IF(H614&gt;150,"150 dias",IF(H614&gt;120,"120 dias",IF(H614&gt;90,"90 dias",IF(H614&gt;60,"60 dias",IF(H614&gt;30,"30 dias","Al Día"))))))</f>
        <v>30 dias</v>
      </c>
      <c r="J614" s="59" t="s">
        <v>80</v>
      </c>
      <c r="K614" s="60" t="s">
        <v>81</v>
      </c>
      <c r="L614" s="61" t="s">
        <v>309</v>
      </c>
      <c r="M614" s="29" t="n">
        <f aca="false">+YEAR(F614)</f>
        <v>2026</v>
      </c>
      <c r="N614" s="62" t="n">
        <v>2026</v>
      </c>
      <c r="O614" s="63" t="n">
        <v>3</v>
      </c>
      <c r="P614" s="29" t="str">
        <f aca="false">+CONCATENATE(Tabla[[#This Row],[MES CAMPAÑA]],"/",Tabla[[#This Row],[AÑO CAMPAÑA]])</f>
        <v>3/2026</v>
      </c>
      <c r="Q614" s="60" t="s">
        <v>108</v>
      </c>
      <c r="R614" s="29"/>
      <c r="S614" s="64" t="n">
        <v>0</v>
      </c>
      <c r="T614" s="64" t="n">
        <v>500000</v>
      </c>
      <c r="U614" s="64" t="n">
        <v>95000</v>
      </c>
      <c r="V614" s="29"/>
      <c r="W614" s="24" t="n">
        <v>595000</v>
      </c>
      <c r="X614" s="36"/>
      <c r="Y614" s="37"/>
      <c r="Z614" s="37"/>
      <c r="AA614" s="37"/>
      <c r="AB614" s="38" t="n">
        <f aca="false">+W614-AC614</f>
        <v>595000</v>
      </c>
      <c r="AC614" s="34" t="n">
        <f aca="false">+Tabla[[#This Row],[P4]]+Tabla[[#This Row],[P3]]+Tabla[[#This Row],[P2]]+Tabla[[#This Row],[P1]]</f>
        <v>0</v>
      </c>
      <c r="AD614" s="34" t="n">
        <f aca="false">+W614-AC614</f>
        <v>595000</v>
      </c>
      <c r="AE614" s="21" t="str">
        <f aca="false">IF(AB614&lt;1,"PAGADA","PENDIENTE")</f>
        <v>PENDIENTE</v>
      </c>
      <c r="AF614" s="21"/>
      <c r="AG614" s="29"/>
      <c r="AH614" s="40"/>
      <c r="AI614" s="40" t="n">
        <f aca="false">+IF(Tabla[[#This Row],[FECHA PAGO / ABONO]]&lt;1,0,(MONTH(Tabla[[#This Row],[FECHA PAGO / ABONO]])))</f>
        <v>0</v>
      </c>
      <c r="AJ614" s="40" t="n">
        <f aca="false">+IF(Tabla[[#This Row],[FECHA PAGO / ABONO]]&lt;1,0,(YEAR(Tabla[[#This Row],[FECHA PAGO / ABONO]])))</f>
        <v>0</v>
      </c>
      <c r="AK614" s="41"/>
    </row>
    <row r="615" customFormat="false" ht="14.25" hidden="false" customHeight="false" outlineLevel="0" collapsed="false">
      <c r="A615" s="58" t="s">
        <v>145</v>
      </c>
      <c r="B615" s="21" t="s">
        <v>146</v>
      </c>
      <c r="C615" s="21" t="s">
        <v>69</v>
      </c>
      <c r="D615" s="21" t="n">
        <v>245</v>
      </c>
      <c r="E615" s="43" t="str">
        <f aca="false">+CONCATENATE(Tabla[[#This Row],[RUT]],Tabla[[#This Row],[PROVEEDOR]],Tabla[[#This Row],[FACTURA]])</f>
        <v>77131718-9COMUNICACIONES LA HUAYCA SPA245</v>
      </c>
      <c r="F615" s="30" t="n">
        <v>46134</v>
      </c>
      <c r="G615" s="31" t="n">
        <f aca="false">+F615+30</f>
        <v>46164</v>
      </c>
      <c r="H615" s="29" t="n">
        <f aca="true">+IF(AE615="PAGADA",0,TODAY()-G615)</f>
        <v>40</v>
      </c>
      <c r="I615" s="29" t="str">
        <f aca="false">+IF(H615&gt;180,"Atrasada",IF(H615&gt;150,"150 dias",IF(H615&gt;120,"120 dias",IF(H615&gt;90,"90 dias",IF(H615&gt;60,"60 dias",IF(H615&gt;30,"30 dias","Al Día"))))))</f>
        <v>30 dias</v>
      </c>
      <c r="J615" s="59" t="s">
        <v>80</v>
      </c>
      <c r="K615" s="60" t="s">
        <v>81</v>
      </c>
      <c r="L615" s="61" t="s">
        <v>309</v>
      </c>
      <c r="M615" s="29" t="n">
        <f aca="false">+YEAR(F615)</f>
        <v>2026</v>
      </c>
      <c r="N615" s="62" t="n">
        <v>2026</v>
      </c>
      <c r="O615" s="63" t="n">
        <v>3</v>
      </c>
      <c r="P615" s="29" t="str">
        <f aca="false">+CONCATENATE(Tabla[[#This Row],[MES CAMPAÑA]],"/",Tabla[[#This Row],[AÑO CAMPAÑA]])</f>
        <v>3/2026</v>
      </c>
      <c r="Q615" s="60" t="s">
        <v>108</v>
      </c>
      <c r="R615" s="29"/>
      <c r="S615" s="64" t="n">
        <v>0</v>
      </c>
      <c r="T615" s="64" t="n">
        <v>250000</v>
      </c>
      <c r="U615" s="64" t="n">
        <v>47500</v>
      </c>
      <c r="V615" s="29"/>
      <c r="W615" s="24" t="n">
        <v>297500</v>
      </c>
      <c r="X615" s="36"/>
      <c r="Y615" s="37"/>
      <c r="Z615" s="37"/>
      <c r="AA615" s="37"/>
      <c r="AB615" s="38" t="n">
        <f aca="false">+W615-AC615</f>
        <v>297500</v>
      </c>
      <c r="AC615" s="34" t="n">
        <f aca="false">+Tabla[[#This Row],[P4]]+Tabla[[#This Row],[P3]]+Tabla[[#This Row],[P2]]+Tabla[[#This Row],[P1]]</f>
        <v>0</v>
      </c>
      <c r="AD615" s="34" t="n">
        <f aca="false">+W615-AC615</f>
        <v>297500</v>
      </c>
      <c r="AE615" s="21" t="str">
        <f aca="false">IF(AB615&lt;1,"PAGADA","PENDIENTE")</f>
        <v>PENDIENTE</v>
      </c>
      <c r="AF615" s="21"/>
      <c r="AG615" s="29"/>
      <c r="AH615" s="40"/>
      <c r="AI615" s="40" t="n">
        <f aca="false">+IF(Tabla[[#This Row],[FECHA PAGO / ABONO]]&lt;1,0,(MONTH(Tabla[[#This Row],[FECHA PAGO / ABONO]])))</f>
        <v>0</v>
      </c>
      <c r="AJ615" s="40" t="n">
        <f aca="false">+IF(Tabla[[#This Row],[FECHA PAGO / ABONO]]&lt;1,0,(YEAR(Tabla[[#This Row],[FECHA PAGO / ABONO]])))</f>
        <v>0</v>
      </c>
      <c r="AK615" s="41"/>
    </row>
    <row r="616" customFormat="false" ht="14.25" hidden="false" customHeight="false" outlineLevel="0" collapsed="false">
      <c r="A616" s="58" t="s">
        <v>127</v>
      </c>
      <c r="B616" s="21" t="s">
        <v>128</v>
      </c>
      <c r="C616" s="21" t="s">
        <v>69</v>
      </c>
      <c r="D616" s="21" t="n">
        <v>47371</v>
      </c>
      <c r="E616" s="43" t="str">
        <f aca="false">+CONCATENATE(Tabla[[#This Row],[RUT]],Tabla[[#This Row],[PROVEEDOR]],Tabla[[#This Row],[FACTURA]])</f>
        <v>84364100-8Publicidad Exterior Publivia SpA47371</v>
      </c>
      <c r="F616" s="30" t="n">
        <v>46134</v>
      </c>
      <c r="G616" s="31" t="n">
        <f aca="false">+F616+30</f>
        <v>46164</v>
      </c>
      <c r="H616" s="29" t="n">
        <f aca="true">+IF(AE616="PAGADA",0,TODAY()-G616)</f>
        <v>40</v>
      </c>
      <c r="I616" s="29" t="str">
        <f aca="false">+IF(H616&gt;180,"Atrasada",IF(H616&gt;150,"150 dias",IF(H616&gt;120,"120 dias",IF(H616&gt;90,"90 dias",IF(H616&gt;60,"60 dias",IF(H616&gt;30,"30 dias","Al Día"))))))</f>
        <v>30 dias</v>
      </c>
      <c r="J616" s="59" t="s">
        <v>80</v>
      </c>
      <c r="K616" s="60" t="s">
        <v>81</v>
      </c>
      <c r="L616" s="61" t="s">
        <v>309</v>
      </c>
      <c r="M616" s="29" t="n">
        <f aca="false">+YEAR(F616)</f>
        <v>2026</v>
      </c>
      <c r="N616" s="62" t="n">
        <v>2026</v>
      </c>
      <c r="O616" s="63" t="n">
        <v>3</v>
      </c>
      <c r="P616" s="29" t="str">
        <f aca="false">+CONCATENATE(Tabla[[#This Row],[MES CAMPAÑA]],"/",Tabla[[#This Row],[AÑO CAMPAÑA]])</f>
        <v>3/2026</v>
      </c>
      <c r="Q616" s="60" t="s">
        <v>105</v>
      </c>
      <c r="R616" s="29"/>
      <c r="S616" s="64" t="n">
        <v>0</v>
      </c>
      <c r="T616" s="64" t="n">
        <v>3500000</v>
      </c>
      <c r="U616" s="64" t="n">
        <v>665000</v>
      </c>
      <c r="V616" s="29"/>
      <c r="W616" s="24" t="n">
        <v>4165000</v>
      </c>
      <c r="X616" s="36"/>
      <c r="Y616" s="37"/>
      <c r="Z616" s="37"/>
      <c r="AA616" s="37"/>
      <c r="AB616" s="38" t="n">
        <f aca="false">+W616-AC616</f>
        <v>4165000</v>
      </c>
      <c r="AC616" s="34" t="n">
        <f aca="false">+Tabla[[#This Row],[P4]]+Tabla[[#This Row],[P3]]+Tabla[[#This Row],[P2]]+Tabla[[#This Row],[P1]]</f>
        <v>0</v>
      </c>
      <c r="AD616" s="34" t="n">
        <f aca="false">+W616-AC616</f>
        <v>4165000</v>
      </c>
      <c r="AE616" s="21" t="str">
        <f aca="false">IF(AB616&lt;1,"PAGADA","PENDIENTE")</f>
        <v>PENDIENTE</v>
      </c>
      <c r="AF616" s="21"/>
      <c r="AG616" s="29"/>
      <c r="AH616" s="40"/>
      <c r="AI616" s="40" t="n">
        <f aca="false">+IF(Tabla[[#This Row],[FECHA PAGO / ABONO]]&lt;1,0,(MONTH(Tabla[[#This Row],[FECHA PAGO / ABONO]])))</f>
        <v>0</v>
      </c>
      <c r="AJ616" s="40" t="n">
        <f aca="false">+IF(Tabla[[#This Row],[FECHA PAGO / ABONO]]&lt;1,0,(YEAR(Tabla[[#This Row],[FECHA PAGO / ABONO]])))</f>
        <v>0</v>
      </c>
      <c r="AK616" s="41"/>
    </row>
    <row r="617" customFormat="false" ht="14.25" hidden="false" customHeight="false" outlineLevel="0" collapsed="false">
      <c r="A617" s="58" t="s">
        <v>127</v>
      </c>
      <c r="B617" s="21" t="s">
        <v>128</v>
      </c>
      <c r="C617" s="21" t="s">
        <v>69</v>
      </c>
      <c r="D617" s="21" t="n">
        <v>47372</v>
      </c>
      <c r="E617" s="43" t="str">
        <f aca="false">+CONCATENATE(Tabla[[#This Row],[RUT]],Tabla[[#This Row],[PROVEEDOR]],Tabla[[#This Row],[FACTURA]])</f>
        <v>84364100-8Publicidad Exterior Publivia SpA47372</v>
      </c>
      <c r="F617" s="30" t="n">
        <v>46134</v>
      </c>
      <c r="G617" s="31" t="n">
        <f aca="false">+F617+30</f>
        <v>46164</v>
      </c>
      <c r="H617" s="29" t="n">
        <f aca="true">+IF(AE617="PAGADA",0,TODAY()-G617)</f>
        <v>40</v>
      </c>
      <c r="I617" s="29" t="str">
        <f aca="false">+IF(H617&gt;180,"Atrasada",IF(H617&gt;150,"150 dias",IF(H617&gt;120,"120 dias",IF(H617&gt;90,"90 dias",IF(H617&gt;60,"60 dias",IF(H617&gt;30,"30 dias","Al Día"))))))</f>
        <v>30 dias</v>
      </c>
      <c r="J617" s="59" t="s">
        <v>80</v>
      </c>
      <c r="K617" s="60" t="s">
        <v>81</v>
      </c>
      <c r="L617" s="61" t="s">
        <v>309</v>
      </c>
      <c r="M617" s="29" t="n">
        <f aca="false">+YEAR(F617)</f>
        <v>2026</v>
      </c>
      <c r="N617" s="62" t="n">
        <v>2026</v>
      </c>
      <c r="O617" s="63" t="n">
        <v>3</v>
      </c>
      <c r="P617" s="29" t="str">
        <f aca="false">+CONCATENATE(Tabla[[#This Row],[MES CAMPAÑA]],"/",Tabla[[#This Row],[AÑO CAMPAÑA]])</f>
        <v>3/2026</v>
      </c>
      <c r="Q617" s="60" t="s">
        <v>105</v>
      </c>
      <c r="R617" s="29"/>
      <c r="S617" s="64" t="n">
        <v>0</v>
      </c>
      <c r="T617" s="64" t="n">
        <v>700000</v>
      </c>
      <c r="U617" s="64" t="n">
        <v>133000</v>
      </c>
      <c r="V617" s="29"/>
      <c r="W617" s="24" t="n">
        <v>833000</v>
      </c>
      <c r="X617" s="36"/>
      <c r="Y617" s="37"/>
      <c r="Z617" s="37"/>
      <c r="AA617" s="37"/>
      <c r="AB617" s="38" t="n">
        <f aca="false">+W617-AC617</f>
        <v>833000</v>
      </c>
      <c r="AC617" s="34" t="n">
        <f aca="false">+Tabla[[#This Row],[P4]]+Tabla[[#This Row],[P3]]+Tabla[[#This Row],[P2]]+Tabla[[#This Row],[P1]]</f>
        <v>0</v>
      </c>
      <c r="AD617" s="34" t="n">
        <f aca="false">+W617-AC617</f>
        <v>833000</v>
      </c>
      <c r="AE617" s="21" t="str">
        <f aca="false">IF(AB617&lt;1,"PAGADA","PENDIENTE")</f>
        <v>PENDIENTE</v>
      </c>
      <c r="AF617" s="21"/>
      <c r="AG617" s="29"/>
      <c r="AH617" s="40"/>
      <c r="AI617" s="40" t="n">
        <f aca="false">+IF(Tabla[[#This Row],[FECHA PAGO / ABONO]]&lt;1,0,(MONTH(Tabla[[#This Row],[FECHA PAGO / ABONO]])))</f>
        <v>0</v>
      </c>
      <c r="AJ617" s="40" t="n">
        <f aca="false">+IF(Tabla[[#This Row],[FECHA PAGO / ABONO]]&lt;1,0,(YEAR(Tabla[[#This Row],[FECHA PAGO / ABONO]])))</f>
        <v>0</v>
      </c>
      <c r="AK617" s="41"/>
    </row>
    <row r="618" customFormat="false" ht="14.25" hidden="false" customHeight="false" outlineLevel="0" collapsed="false">
      <c r="A618" s="58" t="s">
        <v>151</v>
      </c>
      <c r="B618" s="21" t="s">
        <v>152</v>
      </c>
      <c r="C618" s="21" t="s">
        <v>69</v>
      </c>
      <c r="D618" s="21" t="n">
        <v>9121</v>
      </c>
      <c r="E618" s="43" t="str">
        <f aca="false">+CONCATENATE(Tabla[[#This Row],[RUT]],Tabla[[#This Row],[PROVEEDOR]],Tabla[[#This Row],[FACTURA]])</f>
        <v>70938800-2CORP MUNICIPAL DE DESARROLLO SOCIAL DE IQUIQUE9121</v>
      </c>
      <c r="F618" s="30" t="n">
        <v>46134</v>
      </c>
      <c r="G618" s="31" t="n">
        <f aca="false">+F618+30</f>
        <v>46164</v>
      </c>
      <c r="H618" s="29" t="n">
        <f aca="true">+IF(AE618="PAGADA",0,TODAY()-G618)</f>
        <v>40</v>
      </c>
      <c r="I618" s="29" t="str">
        <f aca="false">+IF(H618&gt;180,"Atrasada",IF(H618&gt;150,"150 dias",IF(H618&gt;120,"120 dias",IF(H618&gt;90,"90 dias",IF(H618&gt;60,"60 dias",IF(H618&gt;30,"30 dias","Al Día"))))))</f>
        <v>30 dias</v>
      </c>
      <c r="J618" s="59" t="s">
        <v>80</v>
      </c>
      <c r="K618" s="60" t="s">
        <v>81</v>
      </c>
      <c r="L618" s="61" t="s">
        <v>309</v>
      </c>
      <c r="M618" s="29" t="n">
        <f aca="false">+YEAR(F618)</f>
        <v>2026</v>
      </c>
      <c r="N618" s="62" t="n">
        <v>2026</v>
      </c>
      <c r="O618" s="63" t="n">
        <v>3</v>
      </c>
      <c r="P618" s="29" t="str">
        <f aca="false">+CONCATENATE(Tabla[[#This Row],[MES CAMPAÑA]],"/",Tabla[[#This Row],[AÑO CAMPAÑA]])</f>
        <v>3/2026</v>
      </c>
      <c r="Q618" s="60" t="s">
        <v>108</v>
      </c>
      <c r="R618" s="29"/>
      <c r="S618" s="64" t="n">
        <v>0</v>
      </c>
      <c r="T618" s="64" t="n">
        <v>500000</v>
      </c>
      <c r="U618" s="64" t="n">
        <v>95000</v>
      </c>
      <c r="V618" s="29"/>
      <c r="W618" s="24" t="n">
        <v>595000</v>
      </c>
      <c r="X618" s="36"/>
      <c r="Y618" s="37"/>
      <c r="Z618" s="37"/>
      <c r="AA618" s="37"/>
      <c r="AB618" s="38" t="n">
        <f aca="false">+W618-AC618</f>
        <v>595000</v>
      </c>
      <c r="AC618" s="34" t="n">
        <f aca="false">+Tabla[[#This Row],[P4]]+Tabla[[#This Row],[P3]]+Tabla[[#This Row],[P2]]+Tabla[[#This Row],[P1]]</f>
        <v>0</v>
      </c>
      <c r="AD618" s="34" t="n">
        <f aca="false">+W618-AC618</f>
        <v>595000</v>
      </c>
      <c r="AE618" s="21" t="str">
        <f aca="false">IF(AB618&lt;1,"PAGADA","PENDIENTE")</f>
        <v>PENDIENTE</v>
      </c>
      <c r="AF618" s="21"/>
      <c r="AG618" s="29"/>
      <c r="AH618" s="40"/>
      <c r="AI618" s="40" t="n">
        <f aca="false">+IF(Tabla[[#This Row],[FECHA PAGO / ABONO]]&lt;1,0,(MONTH(Tabla[[#This Row],[FECHA PAGO / ABONO]])))</f>
        <v>0</v>
      </c>
      <c r="AJ618" s="40" t="n">
        <f aca="false">+IF(Tabla[[#This Row],[FECHA PAGO / ABONO]]&lt;1,0,(YEAR(Tabla[[#This Row],[FECHA PAGO / ABONO]])))</f>
        <v>0</v>
      </c>
      <c r="AK618" s="41"/>
    </row>
    <row r="619" customFormat="false" ht="14.25" hidden="false" customHeight="false" outlineLevel="0" collapsed="false">
      <c r="A619" s="58" t="s">
        <v>153</v>
      </c>
      <c r="B619" s="21" t="s">
        <v>154</v>
      </c>
      <c r="C619" s="21" t="s">
        <v>69</v>
      </c>
      <c r="D619" s="21" t="n">
        <v>1410</v>
      </c>
      <c r="E619" s="43" t="str">
        <f aca="false">+CONCATENATE(Tabla[[#This Row],[RUT]],Tabla[[#This Row],[PROVEEDOR]],Tabla[[#This Row],[FACTURA]])</f>
        <v>77176333-2MARKETING, PUBLICIDAD E INFORMÃTICA GRUPO 4 LIMITADA1410</v>
      </c>
      <c r="F619" s="30" t="n">
        <v>46134</v>
      </c>
      <c r="G619" s="31" t="n">
        <f aca="false">+F619+30</f>
        <v>46164</v>
      </c>
      <c r="H619" s="29" t="n">
        <f aca="true">+IF(AE619="PAGADA",0,TODAY()-G619)</f>
        <v>40</v>
      </c>
      <c r="I619" s="29" t="str">
        <f aca="false">+IF(H619&gt;180,"Atrasada",IF(H619&gt;150,"150 dias",IF(H619&gt;120,"120 dias",IF(H619&gt;90,"90 dias",IF(H619&gt;60,"60 dias",IF(H619&gt;30,"30 dias","Al Día"))))))</f>
        <v>30 dias</v>
      </c>
      <c r="J619" s="59" t="s">
        <v>80</v>
      </c>
      <c r="K619" s="60" t="s">
        <v>81</v>
      </c>
      <c r="L619" s="61" t="s">
        <v>309</v>
      </c>
      <c r="M619" s="29" t="n">
        <f aca="false">+YEAR(F619)</f>
        <v>2026</v>
      </c>
      <c r="N619" s="62" t="n">
        <v>2026</v>
      </c>
      <c r="O619" s="63" t="n">
        <v>3</v>
      </c>
      <c r="P619" s="29" t="str">
        <f aca="false">+CONCATENATE(Tabla[[#This Row],[MES CAMPAÑA]],"/",Tabla[[#This Row],[AÑO CAMPAÑA]])</f>
        <v>3/2026</v>
      </c>
      <c r="Q619" s="60" t="s">
        <v>108</v>
      </c>
      <c r="R619" s="29"/>
      <c r="S619" s="64" t="n">
        <v>0</v>
      </c>
      <c r="T619" s="64" t="n">
        <v>250000</v>
      </c>
      <c r="U619" s="64" t="n">
        <v>47500</v>
      </c>
      <c r="V619" s="29"/>
      <c r="W619" s="24" t="n">
        <v>297500</v>
      </c>
      <c r="X619" s="36"/>
      <c r="Y619" s="37"/>
      <c r="Z619" s="37"/>
      <c r="AA619" s="37"/>
      <c r="AB619" s="38" t="n">
        <f aca="false">+W619-AC619</f>
        <v>297500</v>
      </c>
      <c r="AC619" s="34" t="n">
        <f aca="false">+Tabla[[#This Row],[P4]]+Tabla[[#This Row],[P3]]+Tabla[[#This Row],[P2]]+Tabla[[#This Row],[P1]]</f>
        <v>0</v>
      </c>
      <c r="AD619" s="34" t="n">
        <f aca="false">+W619-AC619</f>
        <v>297500</v>
      </c>
      <c r="AE619" s="21" t="str">
        <f aca="false">IF(AB619&lt;1,"PAGADA","PENDIENTE")</f>
        <v>PENDIENTE</v>
      </c>
      <c r="AF619" s="21"/>
      <c r="AG619" s="29"/>
      <c r="AH619" s="40"/>
      <c r="AI619" s="40" t="n">
        <f aca="false">+IF(Tabla[[#This Row],[FECHA PAGO / ABONO]]&lt;1,0,(MONTH(Tabla[[#This Row],[FECHA PAGO / ABONO]])))</f>
        <v>0</v>
      </c>
      <c r="AJ619" s="40" t="n">
        <f aca="false">+IF(Tabla[[#This Row],[FECHA PAGO / ABONO]]&lt;1,0,(YEAR(Tabla[[#This Row],[FECHA PAGO / ABONO]])))</f>
        <v>0</v>
      </c>
      <c r="AK619" s="41"/>
    </row>
    <row r="620" customFormat="false" ht="14.25" hidden="false" customHeight="false" outlineLevel="0" collapsed="false">
      <c r="A620" s="58" t="s">
        <v>195</v>
      </c>
      <c r="B620" s="21" t="s">
        <v>196</v>
      </c>
      <c r="C620" s="21" t="s">
        <v>69</v>
      </c>
      <c r="D620" s="21" t="n">
        <v>623</v>
      </c>
      <c r="E620" s="43" t="str">
        <f aca="false">+CONCATENATE(Tabla[[#This Row],[RUT]],Tabla[[#This Row],[PROVEEDOR]],Tabla[[#This Row],[FACTURA]])</f>
        <v>5345224-8RICARDO JOSE JESUS ROJAS NAVARRETE623</v>
      </c>
      <c r="F620" s="30" t="n">
        <v>46134</v>
      </c>
      <c r="G620" s="31" t="n">
        <f aca="false">+F620+30</f>
        <v>46164</v>
      </c>
      <c r="H620" s="29" t="n">
        <f aca="true">+IF(AE620="PAGADA",0,TODAY()-G620)</f>
        <v>0</v>
      </c>
      <c r="I620" s="29" t="str">
        <f aca="false">+IF(H620&gt;180,"Atrasada",IF(H620&gt;150,"150 dias",IF(H620&gt;120,"120 dias",IF(H620&gt;90,"90 dias",IF(H620&gt;60,"60 dias",IF(H620&gt;30,"30 dias","Al Día"))))))</f>
        <v>Al Día</v>
      </c>
      <c r="J620" s="59" t="s">
        <v>80</v>
      </c>
      <c r="K620" s="60" t="s">
        <v>81</v>
      </c>
      <c r="L620" s="61" t="s">
        <v>309</v>
      </c>
      <c r="M620" s="29" t="n">
        <f aca="false">+YEAR(F620)</f>
        <v>2026</v>
      </c>
      <c r="N620" s="62" t="n">
        <v>2026</v>
      </c>
      <c r="O620" s="63" t="n">
        <v>3</v>
      </c>
      <c r="P620" s="29" t="str">
        <f aca="false">+CONCATENATE(Tabla[[#This Row],[MES CAMPAÑA]],"/",Tabla[[#This Row],[AÑO CAMPAÑA]])</f>
        <v>3/2026</v>
      </c>
      <c r="Q620" s="60" t="s">
        <v>108</v>
      </c>
      <c r="R620" s="29"/>
      <c r="S620" s="64" t="n">
        <v>0</v>
      </c>
      <c r="T620" s="64" t="n">
        <v>303600</v>
      </c>
      <c r="U620" s="64" t="n">
        <v>57684</v>
      </c>
      <c r="V620" s="29"/>
      <c r="W620" s="24" t="n">
        <v>361284</v>
      </c>
      <c r="X620" s="36" t="n">
        <f aca="false">+Tabla[[#This Row],[TOTAL]]</f>
        <v>361284</v>
      </c>
      <c r="Y620" s="37"/>
      <c r="Z620" s="37"/>
      <c r="AA620" s="37"/>
      <c r="AB620" s="38" t="n">
        <f aca="false">+W620-AC620</f>
        <v>0</v>
      </c>
      <c r="AC620" s="34" t="n">
        <f aca="false">+Tabla[[#This Row],[P4]]+Tabla[[#This Row],[P3]]+Tabla[[#This Row],[P2]]+Tabla[[#This Row],[P1]]</f>
        <v>361284</v>
      </c>
      <c r="AD620" s="34" t="n">
        <f aca="false">+W620-AC620</f>
        <v>0</v>
      </c>
      <c r="AE620" s="21" t="str">
        <f aca="false">IF(AB620&lt;1,"PAGADA","PENDIENTE")</f>
        <v>PAGADA</v>
      </c>
      <c r="AF620" s="21"/>
      <c r="AG620" s="29" t="s">
        <v>77</v>
      </c>
      <c r="AH620" s="39" t="n">
        <v>46161</v>
      </c>
      <c r="AI620" s="40" t="n">
        <f aca="false">+IF(Tabla[[#This Row],[FECHA PAGO / ABONO]]&lt;1,0,(MONTH(Tabla[[#This Row],[FECHA PAGO / ABONO]])))</f>
        <v>5</v>
      </c>
      <c r="AJ620" s="40" t="n">
        <f aca="false">+IF(Tabla[[#This Row],[FECHA PAGO / ABONO]]&lt;1,0,(YEAR(Tabla[[#This Row],[FECHA PAGO / ABONO]])))</f>
        <v>2026</v>
      </c>
      <c r="AK620" s="41"/>
    </row>
    <row r="621" customFormat="false" ht="14.25" hidden="false" customHeight="false" outlineLevel="0" collapsed="false">
      <c r="A621" s="58" t="s">
        <v>270</v>
      </c>
      <c r="B621" s="21" t="s">
        <v>271</v>
      </c>
      <c r="C621" s="21" t="s">
        <v>69</v>
      </c>
      <c r="D621" s="21" t="n">
        <v>3044119</v>
      </c>
      <c r="E621" s="43" t="str">
        <f aca="false">+CONCATENATE(Tabla[[#This Row],[RUT]],Tabla[[#This Row],[PROVEEDOR]],Tabla[[#This Row],[FACTURA]])</f>
        <v>87161100-9DIRECTV Chile TelevisiÃƒÂ³n Limitada3044119</v>
      </c>
      <c r="F621" s="30" t="n">
        <v>46135</v>
      </c>
      <c r="G621" s="31" t="n">
        <f aca="false">+F621+30</f>
        <v>46165</v>
      </c>
      <c r="H621" s="29" t="n">
        <f aca="true">+IF(AE621="PAGADA",0,TODAY()-G621)</f>
        <v>0</v>
      </c>
      <c r="I621" s="29" t="str">
        <f aca="false">+IF(H621&gt;180,"Atrasada",IF(H621&gt;150,"150 dias",IF(H621&gt;120,"120 dias",IF(H621&gt;90,"90 dias",IF(H621&gt;60,"60 dias",IF(H621&gt;30,"30 dias","Al Día"))))))</f>
        <v>Al Día</v>
      </c>
      <c r="J621" s="59" t="s">
        <v>31</v>
      </c>
      <c r="K621" s="60" t="s">
        <v>81</v>
      </c>
      <c r="L621" s="61" t="s">
        <v>309</v>
      </c>
      <c r="M621" s="29" t="n">
        <f aca="false">+YEAR(F621)</f>
        <v>2026</v>
      </c>
      <c r="N621" s="62" t="n">
        <v>2026</v>
      </c>
      <c r="O621" s="63" t="n">
        <v>3</v>
      </c>
      <c r="P621" s="29" t="str">
        <f aca="false">+CONCATENATE(Tabla[[#This Row],[MES CAMPAÑA]],"/",Tabla[[#This Row],[AÑO CAMPAÑA]])</f>
        <v>3/2026</v>
      </c>
      <c r="Q621" s="60" t="s">
        <v>73</v>
      </c>
      <c r="R621" s="29"/>
      <c r="S621" s="64" t="n">
        <v>0</v>
      </c>
      <c r="T621" s="64" t="n">
        <v>58790</v>
      </c>
      <c r="U621" s="64" t="n">
        <v>11170</v>
      </c>
      <c r="V621" s="29"/>
      <c r="W621" s="24" t="n">
        <v>69960</v>
      </c>
      <c r="X621" s="36" t="n">
        <f aca="false">+Tabla[[#This Row],[TOTAL]]</f>
        <v>69960</v>
      </c>
      <c r="Y621" s="37"/>
      <c r="Z621" s="37"/>
      <c r="AA621" s="37"/>
      <c r="AB621" s="38" t="n">
        <f aca="false">+W621-AC621</f>
        <v>0</v>
      </c>
      <c r="AC621" s="34" t="n">
        <f aca="false">+Tabla[[#This Row],[P4]]+Tabla[[#This Row],[P3]]+Tabla[[#This Row],[P2]]+Tabla[[#This Row],[P1]]</f>
        <v>69960</v>
      </c>
      <c r="AD621" s="34" t="n">
        <f aca="false">+W621-AC621</f>
        <v>0</v>
      </c>
      <c r="AE621" s="21" t="str">
        <f aca="false">IF(AB621&lt;1,"PAGADA","PENDIENTE")</f>
        <v>PAGADA</v>
      </c>
      <c r="AF621" s="21"/>
      <c r="AG621" s="29"/>
      <c r="AH621" s="40"/>
      <c r="AI621" s="40" t="n">
        <f aca="false">+IF(Tabla[[#This Row],[FECHA PAGO / ABONO]]&lt;1,0,(MONTH(Tabla[[#This Row],[FECHA PAGO / ABONO]])))</f>
        <v>0</v>
      </c>
      <c r="AJ621" s="40" t="n">
        <f aca="false">+IF(Tabla[[#This Row],[FECHA PAGO / ABONO]]&lt;1,0,(YEAR(Tabla[[#This Row],[FECHA PAGO / ABONO]])))</f>
        <v>0</v>
      </c>
      <c r="AK621" s="41"/>
    </row>
    <row r="622" customFormat="false" ht="14.25" hidden="false" customHeight="false" outlineLevel="0" collapsed="false">
      <c r="A622" s="58" t="s">
        <v>147</v>
      </c>
      <c r="B622" s="21" t="s">
        <v>148</v>
      </c>
      <c r="C622" s="21" t="s">
        <v>69</v>
      </c>
      <c r="D622" s="21" t="n">
        <v>11607</v>
      </c>
      <c r="E622" s="43" t="str">
        <f aca="false">+CONCATENATE(Tabla[[#This Row],[RUT]],Tabla[[#This Row],[PROVEEDOR]],Tabla[[#This Row],[FACTURA]])</f>
        <v>80314100-2EMPRESA PUBLICITARIA ANEPCO SPA11607</v>
      </c>
      <c r="F622" s="30" t="n">
        <v>46136</v>
      </c>
      <c r="G622" s="31" t="n">
        <f aca="false">+F622+30</f>
        <v>46166</v>
      </c>
      <c r="H622" s="29" t="n">
        <f aca="true">+IF(AE622="PAGADA",0,TODAY()-G622)</f>
        <v>0</v>
      </c>
      <c r="I622" s="29" t="str">
        <f aca="false">+IF(H622&gt;180,"Atrasada",IF(H622&gt;150,"150 dias",IF(H622&gt;120,"120 dias",IF(H622&gt;90,"90 dias",IF(H622&gt;60,"60 dias",IF(H622&gt;30,"30 dias","Al Día"))))))</f>
        <v>Al Día</v>
      </c>
      <c r="J622" s="59" t="s">
        <v>80</v>
      </c>
      <c r="K622" s="60" t="s">
        <v>81</v>
      </c>
      <c r="L622" s="61" t="s">
        <v>309</v>
      </c>
      <c r="M622" s="29" t="n">
        <f aca="false">+YEAR(F622)</f>
        <v>2026</v>
      </c>
      <c r="N622" s="62" t="n">
        <v>2026</v>
      </c>
      <c r="O622" s="63" t="n">
        <v>3</v>
      </c>
      <c r="P622" s="29" t="str">
        <f aca="false">+CONCATENATE(Tabla[[#This Row],[MES CAMPAÑA]],"/",Tabla[[#This Row],[AÑO CAMPAÑA]])</f>
        <v>3/2026</v>
      </c>
      <c r="Q622" s="60" t="s">
        <v>92</v>
      </c>
      <c r="R622" s="29"/>
      <c r="S622" s="64" t="n">
        <v>0</v>
      </c>
      <c r="T622" s="64" t="n">
        <v>602620</v>
      </c>
      <c r="U622" s="64" t="n">
        <v>114498</v>
      </c>
      <c r="V622" s="29"/>
      <c r="W622" s="24" t="n">
        <v>717118</v>
      </c>
      <c r="X622" s="36" t="n">
        <f aca="false">+Tabla[[#This Row],[TOTAL]]</f>
        <v>717118</v>
      </c>
      <c r="Y622" s="37"/>
      <c r="Z622" s="37"/>
      <c r="AA622" s="37"/>
      <c r="AB622" s="38" t="n">
        <f aca="false">+W622-AC622</f>
        <v>0</v>
      </c>
      <c r="AC622" s="34" t="n">
        <f aca="false">+Tabla[[#This Row],[P4]]+Tabla[[#This Row],[P3]]+Tabla[[#This Row],[P2]]+Tabla[[#This Row],[P1]]</f>
        <v>717118</v>
      </c>
      <c r="AD622" s="34" t="n">
        <f aca="false">+W622-AC622</f>
        <v>0</v>
      </c>
      <c r="AE622" s="21" t="str">
        <f aca="false">IF(AB622&lt;1,"PAGADA","PENDIENTE")</f>
        <v>PAGADA</v>
      </c>
      <c r="AF622" s="21"/>
      <c r="AG622" s="29" t="s">
        <v>77</v>
      </c>
      <c r="AH622" s="39" t="n">
        <v>45803</v>
      </c>
      <c r="AI622" s="40" t="n">
        <f aca="false">+IF(Tabla[[#This Row],[FECHA PAGO / ABONO]]&lt;1,0,(MONTH(Tabla[[#This Row],[FECHA PAGO / ABONO]])))</f>
        <v>5</v>
      </c>
      <c r="AJ622" s="40" t="n">
        <f aca="false">+IF(Tabla[[#This Row],[FECHA PAGO / ABONO]]&lt;1,0,(YEAR(Tabla[[#This Row],[FECHA PAGO / ABONO]])))</f>
        <v>2025</v>
      </c>
      <c r="AK622" s="41"/>
    </row>
    <row r="623" customFormat="false" ht="14.25" hidden="false" customHeight="false" outlineLevel="0" collapsed="false">
      <c r="A623" s="58" t="s">
        <v>238</v>
      </c>
      <c r="B623" s="21" t="s">
        <v>239</v>
      </c>
      <c r="C623" s="21" t="s">
        <v>229</v>
      </c>
      <c r="D623" s="21" t="n">
        <v>217</v>
      </c>
      <c r="E623" s="43" t="str">
        <f aca="false">+CONCATENATE(Tabla[[#This Row],[RUT]],Tabla[[#This Row],[PROVEEDOR]],Tabla[[#This Row],[FACTURA]])</f>
        <v>77688283-6SOCIEDAD DE PROFESIONALES YY LIMITADA217</v>
      </c>
      <c r="F623" s="30" t="n">
        <v>46136</v>
      </c>
      <c r="G623" s="31" t="n">
        <f aca="false">+F623+30</f>
        <v>46166</v>
      </c>
      <c r="H623" s="29" t="n">
        <f aca="true">+IF(AE623="PAGADA",0,TODAY()-G623)</f>
        <v>0</v>
      </c>
      <c r="I623" s="29" t="str">
        <f aca="false">+IF(H623&gt;180,"Atrasada",IF(H623&gt;150,"150 dias",IF(H623&gt;120,"120 dias",IF(H623&gt;90,"90 dias",IF(H623&gt;60,"60 dias",IF(H623&gt;30,"30 dias","Al Día"))))))</f>
        <v>Al Día</v>
      </c>
      <c r="J623" s="59" t="s">
        <v>31</v>
      </c>
      <c r="K623" s="60" t="s">
        <v>81</v>
      </c>
      <c r="L623" s="61" t="s">
        <v>309</v>
      </c>
      <c r="M623" s="29" t="n">
        <f aca="false">+YEAR(F623)</f>
        <v>2026</v>
      </c>
      <c r="N623" s="62" t="n">
        <v>2026</v>
      </c>
      <c r="O623" s="63" t="n">
        <v>3</v>
      </c>
      <c r="P623" s="29" t="str">
        <f aca="false">+CONCATENATE(Tabla[[#This Row],[MES CAMPAÑA]],"/",Tabla[[#This Row],[AÑO CAMPAÑA]])</f>
        <v>3/2026</v>
      </c>
      <c r="Q623" s="60" t="s">
        <v>73</v>
      </c>
      <c r="R623" s="29"/>
      <c r="S623" s="64" t="n">
        <v>6500000</v>
      </c>
      <c r="T623" s="64" t="n">
        <v>0</v>
      </c>
      <c r="U623" s="64" t="n">
        <v>0</v>
      </c>
      <c r="V623" s="29"/>
      <c r="W623" s="24" t="n">
        <v>6500000</v>
      </c>
      <c r="X623" s="36" t="n">
        <f aca="false">+Tabla[[#This Row],[TOTAL]]</f>
        <v>6500000</v>
      </c>
      <c r="Y623" s="37"/>
      <c r="Z623" s="37"/>
      <c r="AA623" s="37"/>
      <c r="AB623" s="38" t="n">
        <f aca="false">+W623-AC623</f>
        <v>0</v>
      </c>
      <c r="AC623" s="34" t="n">
        <f aca="false">+Tabla[[#This Row],[P4]]+Tabla[[#This Row],[P3]]+Tabla[[#This Row],[P2]]+Tabla[[#This Row],[P1]]</f>
        <v>6500000</v>
      </c>
      <c r="AD623" s="34" t="n">
        <f aca="false">+W623-AC623</f>
        <v>0</v>
      </c>
      <c r="AE623" s="21" t="str">
        <f aca="false">IF(AB623&lt;1,"PAGADA","PENDIENTE")</f>
        <v>PAGADA</v>
      </c>
      <c r="AF623" s="21"/>
      <c r="AG623" s="29" t="s">
        <v>77</v>
      </c>
      <c r="AH623" s="39" t="n">
        <v>46150</v>
      </c>
      <c r="AI623" s="40" t="n">
        <f aca="false">+IF(Tabla[[#This Row],[FECHA PAGO / ABONO]]&lt;1,0,(MONTH(Tabla[[#This Row],[FECHA PAGO / ABONO]])))</f>
        <v>5</v>
      </c>
      <c r="AJ623" s="40" t="n">
        <f aca="false">+IF(Tabla[[#This Row],[FECHA PAGO / ABONO]]&lt;1,0,(YEAR(Tabla[[#This Row],[FECHA PAGO / ABONO]])))</f>
        <v>2026</v>
      </c>
      <c r="AK623" s="41"/>
    </row>
    <row r="624" customFormat="false" ht="14.25" hidden="false" customHeight="false" outlineLevel="0" collapsed="false">
      <c r="A624" s="58" t="s">
        <v>217</v>
      </c>
      <c r="B624" s="21" t="s">
        <v>218</v>
      </c>
      <c r="C624" s="21" t="s">
        <v>69</v>
      </c>
      <c r="D624" s="21" t="n">
        <v>19174</v>
      </c>
      <c r="E624" s="43" t="str">
        <f aca="false">+CONCATENATE(Tabla[[#This Row],[RUT]],Tabla[[#This Row],[PROVEEDOR]],Tabla[[#This Row],[FACTURA]])</f>
        <v>76058347-2COMERCIALIZADORA GC SA19174</v>
      </c>
      <c r="F624" s="30" t="n">
        <v>46139</v>
      </c>
      <c r="G624" s="31" t="n">
        <f aca="false">+F624+30</f>
        <v>46169</v>
      </c>
      <c r="H624" s="29" t="n">
        <f aca="true">+IF(AE624="PAGADA",0,TODAY()-G624)</f>
        <v>35</v>
      </c>
      <c r="I624" s="29" t="str">
        <f aca="false">+IF(H624&gt;180,"Atrasada",IF(H624&gt;150,"150 dias",IF(H624&gt;120,"120 dias",IF(H624&gt;90,"90 dias",IF(H624&gt;60,"60 dias",IF(H624&gt;30,"30 dias","Al Día"))))))</f>
        <v>30 dias</v>
      </c>
      <c r="J624" s="59" t="s">
        <v>80</v>
      </c>
      <c r="K624" s="60" t="s">
        <v>81</v>
      </c>
      <c r="L624" s="61" t="s">
        <v>309</v>
      </c>
      <c r="M624" s="29" t="n">
        <f aca="false">+YEAR(F624)</f>
        <v>2026</v>
      </c>
      <c r="N624" s="62" t="n">
        <v>2026</v>
      </c>
      <c r="O624" s="63" t="n">
        <v>3</v>
      </c>
      <c r="P624" s="29" t="str">
        <f aca="false">+CONCATENATE(Tabla[[#This Row],[MES CAMPAÑA]],"/",Tabla[[#This Row],[AÑO CAMPAÑA]])</f>
        <v>3/2026</v>
      </c>
      <c r="Q624" s="60" t="s">
        <v>317</v>
      </c>
      <c r="R624" s="29"/>
      <c r="S624" s="64" t="n">
        <v>0</v>
      </c>
      <c r="T624" s="64" t="n">
        <v>1200000</v>
      </c>
      <c r="U624" s="64" t="n">
        <v>228000</v>
      </c>
      <c r="V624" s="29"/>
      <c r="W624" s="24" t="n">
        <v>1428000</v>
      </c>
      <c r="X624" s="36"/>
      <c r="Y624" s="37"/>
      <c r="Z624" s="37"/>
      <c r="AA624" s="37"/>
      <c r="AB624" s="38" t="n">
        <f aca="false">+W624-AC624</f>
        <v>1428000</v>
      </c>
      <c r="AC624" s="34" t="n">
        <f aca="false">+Tabla[[#This Row],[P4]]+Tabla[[#This Row],[P3]]+Tabla[[#This Row],[P2]]+Tabla[[#This Row],[P1]]</f>
        <v>0</v>
      </c>
      <c r="AD624" s="34" t="n">
        <f aca="false">+W624-AC624</f>
        <v>1428000</v>
      </c>
      <c r="AE624" s="21" t="str">
        <f aca="false">IF(AB624&lt;1,"PAGADA","PENDIENTE")</f>
        <v>PENDIENTE</v>
      </c>
      <c r="AF624" s="21"/>
      <c r="AG624" s="29"/>
      <c r="AH624" s="40"/>
      <c r="AI624" s="40" t="n">
        <f aca="false">+IF(Tabla[[#This Row],[FECHA PAGO / ABONO]]&lt;1,0,(MONTH(Tabla[[#This Row],[FECHA PAGO / ABONO]])))</f>
        <v>0</v>
      </c>
      <c r="AJ624" s="40" t="n">
        <f aca="false">+IF(Tabla[[#This Row],[FECHA PAGO / ABONO]]&lt;1,0,(YEAR(Tabla[[#This Row],[FECHA PAGO / ABONO]])))</f>
        <v>0</v>
      </c>
      <c r="AK624" s="41"/>
    </row>
    <row r="625" customFormat="false" ht="14.25" hidden="false" customHeight="false" outlineLevel="0" collapsed="false">
      <c r="A625" s="58" t="s">
        <v>217</v>
      </c>
      <c r="B625" s="21" t="s">
        <v>218</v>
      </c>
      <c r="C625" s="21" t="s">
        <v>69</v>
      </c>
      <c r="D625" s="21" t="n">
        <v>19175</v>
      </c>
      <c r="E625" s="43" t="str">
        <f aca="false">+CONCATENATE(Tabla[[#This Row],[RUT]],Tabla[[#This Row],[PROVEEDOR]],Tabla[[#This Row],[FACTURA]])</f>
        <v>76058347-2COMERCIALIZADORA GC SA19175</v>
      </c>
      <c r="F625" s="30" t="n">
        <v>46139</v>
      </c>
      <c r="G625" s="31" t="n">
        <f aca="false">+F625+30</f>
        <v>46169</v>
      </c>
      <c r="H625" s="29" t="n">
        <f aca="true">+IF(AE625="PAGADA",0,TODAY()-G625)</f>
        <v>0</v>
      </c>
      <c r="I625" s="29" t="str">
        <f aca="false">+IF(H625&gt;180,"Atrasada",IF(H625&gt;150,"150 dias",IF(H625&gt;120,"120 dias",IF(H625&gt;90,"90 dias",IF(H625&gt;60,"60 dias",IF(H625&gt;30,"30 dias","Al Día"))))))</f>
        <v>Al Día</v>
      </c>
      <c r="J625" s="59" t="s">
        <v>80</v>
      </c>
      <c r="K625" s="60" t="s">
        <v>81</v>
      </c>
      <c r="L625" s="61" t="s">
        <v>309</v>
      </c>
      <c r="M625" s="29" t="n">
        <f aca="false">+YEAR(F625)</f>
        <v>2026</v>
      </c>
      <c r="N625" s="62" t="n">
        <v>2026</v>
      </c>
      <c r="O625" s="63" t="n">
        <v>3</v>
      </c>
      <c r="P625" s="29" t="str">
        <f aca="false">+CONCATENATE(Tabla[[#This Row],[MES CAMPAÑA]],"/",Tabla[[#This Row],[AÑO CAMPAÑA]])</f>
        <v>3/2026</v>
      </c>
      <c r="Q625" s="60" t="s">
        <v>108</v>
      </c>
      <c r="R625" s="29"/>
      <c r="S625" s="64" t="n">
        <v>0</v>
      </c>
      <c r="T625" s="64" t="n">
        <v>690000</v>
      </c>
      <c r="U625" s="64" t="n">
        <v>131100</v>
      </c>
      <c r="V625" s="29"/>
      <c r="W625" s="24" t="n">
        <v>821100</v>
      </c>
      <c r="X625" s="36" t="n">
        <f aca="false">+Tabla[[#This Row],[TOTAL]]</f>
        <v>821100</v>
      </c>
      <c r="Y625" s="37"/>
      <c r="Z625" s="37"/>
      <c r="AA625" s="37"/>
      <c r="AB625" s="38" t="n">
        <f aca="false">+W625-AC625</f>
        <v>0</v>
      </c>
      <c r="AC625" s="34" t="n">
        <f aca="false">+Tabla[[#This Row],[P4]]+Tabla[[#This Row],[P3]]+Tabla[[#This Row],[P2]]+Tabla[[#This Row],[P1]]</f>
        <v>821100</v>
      </c>
      <c r="AD625" s="34" t="n">
        <f aca="false">+W625-AC625</f>
        <v>0</v>
      </c>
      <c r="AE625" s="21" t="str">
        <f aca="false">IF(AB625&lt;1,"PAGADA","PENDIENTE")</f>
        <v>PAGADA</v>
      </c>
      <c r="AF625" s="21"/>
      <c r="AG625" s="29" t="s">
        <v>77</v>
      </c>
      <c r="AH625" s="39" t="n">
        <v>46192</v>
      </c>
      <c r="AI625" s="40" t="n">
        <f aca="false">+IF(Tabla[[#This Row],[FECHA PAGO / ABONO]]&lt;1,0,(MONTH(Tabla[[#This Row],[FECHA PAGO / ABONO]])))</f>
        <v>6</v>
      </c>
      <c r="AJ625" s="40" t="n">
        <f aca="false">+IF(Tabla[[#This Row],[FECHA PAGO / ABONO]]&lt;1,0,(YEAR(Tabla[[#This Row],[FECHA PAGO / ABONO]])))</f>
        <v>2026</v>
      </c>
      <c r="AK625" s="41"/>
    </row>
    <row r="626" customFormat="false" ht="14.25" hidden="false" customHeight="false" outlineLevel="0" collapsed="false">
      <c r="A626" s="58" t="s">
        <v>217</v>
      </c>
      <c r="B626" s="21" t="s">
        <v>218</v>
      </c>
      <c r="C626" s="21" t="s">
        <v>69</v>
      </c>
      <c r="D626" s="21" t="n">
        <v>19173</v>
      </c>
      <c r="E626" s="43" t="str">
        <f aca="false">+CONCATENATE(Tabla[[#This Row],[RUT]],Tabla[[#This Row],[PROVEEDOR]],Tabla[[#This Row],[FACTURA]])</f>
        <v>76058347-2COMERCIALIZADORA GC SA19173</v>
      </c>
      <c r="F626" s="30" t="n">
        <v>46139</v>
      </c>
      <c r="G626" s="31" t="n">
        <f aca="false">+F626+30</f>
        <v>46169</v>
      </c>
      <c r="H626" s="29" t="n">
        <f aca="true">+IF(AE626="PAGADA",0,TODAY()-G626)</f>
        <v>35</v>
      </c>
      <c r="I626" s="29" t="str">
        <f aca="false">+IF(H626&gt;180,"Atrasada",IF(H626&gt;150,"150 dias",IF(H626&gt;120,"120 dias",IF(H626&gt;90,"90 dias",IF(H626&gt;60,"60 dias",IF(H626&gt;30,"30 dias","Al Día"))))))</f>
        <v>30 dias</v>
      </c>
      <c r="J626" s="59" t="s">
        <v>80</v>
      </c>
      <c r="K626" s="60" t="s">
        <v>81</v>
      </c>
      <c r="L626" s="61" t="s">
        <v>309</v>
      </c>
      <c r="M626" s="29" t="n">
        <f aca="false">+YEAR(F626)</f>
        <v>2026</v>
      </c>
      <c r="N626" s="62" t="n">
        <v>2026</v>
      </c>
      <c r="O626" s="63" t="n">
        <v>3</v>
      </c>
      <c r="P626" s="29" t="str">
        <f aca="false">+CONCATENATE(Tabla[[#This Row],[MES CAMPAÑA]],"/",Tabla[[#This Row],[AÑO CAMPAÑA]])</f>
        <v>3/2026</v>
      </c>
      <c r="Q626" s="60" t="s">
        <v>130</v>
      </c>
      <c r="R626" s="29"/>
      <c r="S626" s="64" t="n">
        <v>0</v>
      </c>
      <c r="T626" s="64" t="n">
        <v>3000000</v>
      </c>
      <c r="U626" s="64" t="n">
        <v>570000</v>
      </c>
      <c r="V626" s="29"/>
      <c r="W626" s="24" t="n">
        <v>3570000</v>
      </c>
      <c r="X626" s="36"/>
      <c r="Y626" s="37"/>
      <c r="Z626" s="37"/>
      <c r="AA626" s="37"/>
      <c r="AB626" s="38" t="n">
        <f aca="false">+W626-AC626</f>
        <v>3570000</v>
      </c>
      <c r="AC626" s="34" t="n">
        <f aca="false">+Tabla[[#This Row],[P4]]+Tabla[[#This Row],[P3]]+Tabla[[#This Row],[P2]]+Tabla[[#This Row],[P1]]</f>
        <v>0</v>
      </c>
      <c r="AD626" s="34" t="n">
        <f aca="false">+W626-AC626</f>
        <v>3570000</v>
      </c>
      <c r="AE626" s="21" t="str">
        <f aca="false">IF(AB626&lt;1,"PAGADA","PENDIENTE")</f>
        <v>PENDIENTE</v>
      </c>
      <c r="AF626" s="21"/>
      <c r="AG626" s="29"/>
      <c r="AH626" s="40"/>
      <c r="AI626" s="40" t="n">
        <f aca="false">+IF(Tabla[[#This Row],[FECHA PAGO / ABONO]]&lt;1,0,(MONTH(Tabla[[#This Row],[FECHA PAGO / ABONO]])))</f>
        <v>0</v>
      </c>
      <c r="AJ626" s="40" t="n">
        <f aca="false">+IF(Tabla[[#This Row],[FECHA PAGO / ABONO]]&lt;1,0,(YEAR(Tabla[[#This Row],[FECHA PAGO / ABONO]])))</f>
        <v>0</v>
      </c>
      <c r="AK626" s="41"/>
    </row>
    <row r="627" customFormat="false" ht="14.25" hidden="false" customHeight="false" outlineLevel="0" collapsed="false">
      <c r="A627" s="58" t="s">
        <v>217</v>
      </c>
      <c r="B627" s="21" t="s">
        <v>218</v>
      </c>
      <c r="C627" s="21" t="s">
        <v>69</v>
      </c>
      <c r="D627" s="21" t="n">
        <v>19176</v>
      </c>
      <c r="E627" s="43" t="str">
        <f aca="false">+CONCATENATE(Tabla[[#This Row],[RUT]],Tabla[[#This Row],[PROVEEDOR]],Tabla[[#This Row],[FACTURA]])</f>
        <v>76058347-2COMERCIALIZADORA GC SA19176</v>
      </c>
      <c r="F627" s="30" t="n">
        <v>46139</v>
      </c>
      <c r="G627" s="31" t="n">
        <f aca="false">+F627+30</f>
        <v>46169</v>
      </c>
      <c r="H627" s="29" t="n">
        <f aca="true">+IF(AE627="PAGADA",0,TODAY()-G627)</f>
        <v>0</v>
      </c>
      <c r="I627" s="29" t="str">
        <f aca="false">+IF(H627&gt;180,"Atrasada",IF(H627&gt;150,"150 dias",IF(H627&gt;120,"120 dias",IF(H627&gt;90,"90 dias",IF(H627&gt;60,"60 dias",IF(H627&gt;30,"30 dias","Al Día"))))))</f>
        <v>Al Día</v>
      </c>
      <c r="J627" s="59" t="s">
        <v>80</v>
      </c>
      <c r="K627" s="60" t="s">
        <v>81</v>
      </c>
      <c r="L627" s="61" t="s">
        <v>309</v>
      </c>
      <c r="M627" s="29" t="n">
        <f aca="false">+YEAR(F627)</f>
        <v>2026</v>
      </c>
      <c r="N627" s="62" t="n">
        <v>2026</v>
      </c>
      <c r="O627" s="63" t="n">
        <v>3</v>
      </c>
      <c r="P627" s="29" t="str">
        <f aca="false">+CONCATENATE(Tabla[[#This Row],[MES CAMPAÑA]],"/",Tabla[[#This Row],[AÑO CAMPAÑA]])</f>
        <v>3/2026</v>
      </c>
      <c r="Q627" s="60" t="s">
        <v>315</v>
      </c>
      <c r="R627" s="29"/>
      <c r="S627" s="64" t="n">
        <v>0</v>
      </c>
      <c r="T627" s="64" t="n">
        <v>2000000</v>
      </c>
      <c r="U627" s="64" t="n">
        <v>380000</v>
      </c>
      <c r="V627" s="29"/>
      <c r="W627" s="24" t="n">
        <v>2380000</v>
      </c>
      <c r="X627" s="36" t="n">
        <f aca="false">+Tabla[[#This Row],[TOTAL]]</f>
        <v>2380000</v>
      </c>
      <c r="Y627" s="37"/>
      <c r="Z627" s="37"/>
      <c r="AA627" s="37"/>
      <c r="AB627" s="38" t="n">
        <f aca="false">+W627-AC627</f>
        <v>0</v>
      </c>
      <c r="AC627" s="34" t="n">
        <f aca="false">+Tabla[[#This Row],[P4]]+Tabla[[#This Row],[P3]]+Tabla[[#This Row],[P2]]+Tabla[[#This Row],[P1]]</f>
        <v>2380000</v>
      </c>
      <c r="AD627" s="34" t="n">
        <f aca="false">+W627-AC627</f>
        <v>0</v>
      </c>
      <c r="AE627" s="21" t="str">
        <f aca="false">IF(AB627&lt;1,"PAGADA","PENDIENTE")</f>
        <v>PAGADA</v>
      </c>
      <c r="AF627" s="21"/>
      <c r="AG627" s="29" t="s">
        <v>77</v>
      </c>
      <c r="AH627" s="39" t="n">
        <v>46192</v>
      </c>
      <c r="AI627" s="40" t="n">
        <f aca="false">+IF(Tabla[[#This Row],[FECHA PAGO / ABONO]]&lt;1,0,(MONTH(Tabla[[#This Row],[FECHA PAGO / ABONO]])))</f>
        <v>6</v>
      </c>
      <c r="AJ627" s="40" t="n">
        <f aca="false">+IF(Tabla[[#This Row],[FECHA PAGO / ABONO]]&lt;1,0,(YEAR(Tabla[[#This Row],[FECHA PAGO / ABONO]])))</f>
        <v>2026</v>
      </c>
      <c r="AK627" s="41"/>
    </row>
    <row r="628" customFormat="false" ht="14.25" hidden="false" customHeight="false" outlineLevel="0" collapsed="false">
      <c r="A628" s="58" t="s">
        <v>227</v>
      </c>
      <c r="B628" s="21" t="s">
        <v>228</v>
      </c>
      <c r="C628" s="21" t="s">
        <v>229</v>
      </c>
      <c r="D628" s="21" t="n">
        <v>11408</v>
      </c>
      <c r="E628" s="43" t="str">
        <f aca="false">+CONCATENATE(Tabla[[#This Row],[RUT]],Tabla[[#This Row],[PROVEEDOR]],Tabla[[#This Row],[FACTURA]])</f>
        <v>77549724-6YHC CONSULTORES LIMITADA11408</v>
      </c>
      <c r="F628" s="30" t="n">
        <v>46139</v>
      </c>
      <c r="G628" s="31" t="n">
        <f aca="false">+F628+30</f>
        <v>46169</v>
      </c>
      <c r="H628" s="29" t="n">
        <f aca="true">+IF(AE628="PAGADA",0,TODAY()-G628)</f>
        <v>0</v>
      </c>
      <c r="I628" s="29" t="str">
        <f aca="false">+IF(H628&gt;180,"Atrasada",IF(H628&gt;150,"150 dias",IF(H628&gt;120,"120 dias",IF(H628&gt;90,"90 dias",IF(H628&gt;60,"60 dias",IF(H628&gt;30,"30 dias","Al Día"))))))</f>
        <v>Al Día</v>
      </c>
      <c r="J628" s="59" t="s">
        <v>31</v>
      </c>
      <c r="K628" s="29" t="s">
        <v>81</v>
      </c>
      <c r="L628" s="33" t="s">
        <v>309</v>
      </c>
      <c r="M628" s="29" t="n">
        <f aca="false">+YEAR(F628)</f>
        <v>2026</v>
      </c>
      <c r="N628" s="62" t="n">
        <v>2026</v>
      </c>
      <c r="O628" s="63" t="n">
        <v>3</v>
      </c>
      <c r="P628" s="29" t="str">
        <f aca="false">+CONCATENATE(Tabla[[#This Row],[MES CAMPAÑA]],"/",Tabla[[#This Row],[AÑO CAMPAÑA]])</f>
        <v>3/2026</v>
      </c>
      <c r="Q628" s="29" t="s">
        <v>73</v>
      </c>
      <c r="R628" s="29"/>
      <c r="S628" s="64" t="n">
        <v>1334065</v>
      </c>
      <c r="T628" s="64" t="n">
        <v>0</v>
      </c>
      <c r="U628" s="64" t="n">
        <v>0</v>
      </c>
      <c r="V628" s="29"/>
      <c r="W628" s="24" t="n">
        <v>1334065</v>
      </c>
      <c r="X628" s="36" t="n">
        <f aca="false">+Tabla[[#This Row],[TOTAL]]</f>
        <v>1334065</v>
      </c>
      <c r="Y628" s="37"/>
      <c r="Z628" s="37"/>
      <c r="AA628" s="37"/>
      <c r="AB628" s="38" t="n">
        <f aca="false">+W628-AC628</f>
        <v>0</v>
      </c>
      <c r="AC628" s="34" t="n">
        <f aca="false">+Tabla[[#This Row],[P4]]+Tabla[[#This Row],[P3]]+Tabla[[#This Row],[P2]]+Tabla[[#This Row],[P1]]</f>
        <v>1334065</v>
      </c>
      <c r="AD628" s="34" t="n">
        <f aca="false">+W628-AC628</f>
        <v>0</v>
      </c>
      <c r="AE628" s="21" t="str">
        <f aca="false">IF(AB628&lt;1,"PAGADA","PENDIENTE")</f>
        <v>PAGADA</v>
      </c>
      <c r="AF628" s="21"/>
      <c r="AG628" s="29" t="s">
        <v>77</v>
      </c>
      <c r="AH628" s="39" t="n">
        <v>46161</v>
      </c>
      <c r="AI628" s="40" t="n">
        <f aca="false">+IF(Tabla[[#This Row],[FECHA PAGO / ABONO]]&lt;1,0,(MONTH(Tabla[[#This Row],[FECHA PAGO / ABONO]])))</f>
        <v>5</v>
      </c>
      <c r="AJ628" s="40" t="n">
        <f aca="false">+IF(Tabla[[#This Row],[FECHA PAGO / ABONO]]&lt;1,0,(YEAR(Tabla[[#This Row],[FECHA PAGO / ABONO]])))</f>
        <v>2026</v>
      </c>
      <c r="AK628" s="41"/>
    </row>
    <row r="629" customFormat="false" ht="14.25" hidden="false" customHeight="false" outlineLevel="0" collapsed="false">
      <c r="A629" s="58" t="s">
        <v>121</v>
      </c>
      <c r="B629" s="21" t="s">
        <v>122</v>
      </c>
      <c r="C629" s="21" t="s">
        <v>125</v>
      </c>
      <c r="D629" s="21" t="n">
        <v>838</v>
      </c>
      <c r="E629" s="43" t="str">
        <f aca="false">+CONCATENATE(Tabla[[#This Row],[RUT]],Tabla[[#This Row],[PROVEEDOR]],Tabla[[#This Row],[FACTURA]])</f>
        <v>76166681-9HS CHILE SPA838</v>
      </c>
      <c r="F629" s="30" t="n">
        <v>46139</v>
      </c>
      <c r="G629" s="31" t="n">
        <f aca="false">+F629+30</f>
        <v>46169</v>
      </c>
      <c r="H629" s="29" t="n">
        <f aca="true">+IF(AE629="PAGADA",0,TODAY()-G629)</f>
        <v>0</v>
      </c>
      <c r="I629" s="29" t="str">
        <f aca="false">+IF(H629&gt;180,"Atrasada",IF(H629&gt;150,"150 dias",IF(H629&gt;120,"120 dias",IF(H629&gt;90,"90 dias",IF(H629&gt;60,"60 dias",IF(H629&gt;30,"30 dias","Al Día"))))))</f>
        <v>Al Día</v>
      </c>
      <c r="J629" s="59" t="s">
        <v>80</v>
      </c>
      <c r="K629" s="60" t="s">
        <v>126</v>
      </c>
      <c r="L629" s="61" t="s">
        <v>309</v>
      </c>
      <c r="M629" s="29" t="n">
        <f aca="false">+YEAR(F629)</f>
        <v>2026</v>
      </c>
      <c r="N629" s="62" t="n">
        <v>2025</v>
      </c>
      <c r="O629" s="63" t="n">
        <v>1</v>
      </c>
      <c r="P629" s="29" t="str">
        <f aca="false">+CONCATENATE(Tabla[[#This Row],[MES CAMPAÑA]],"/",Tabla[[#This Row],[AÑO CAMPAÑA]])</f>
        <v>1/2025</v>
      </c>
      <c r="Q629" s="60" t="s">
        <v>265</v>
      </c>
      <c r="R629" s="29"/>
      <c r="S629" s="64" t="n">
        <v>0</v>
      </c>
      <c r="T629" s="64" t="n">
        <v>8440000</v>
      </c>
      <c r="U629" s="64" t="n">
        <v>1603600</v>
      </c>
      <c r="V629" s="29"/>
      <c r="W629" s="24" t="n">
        <v>10043600</v>
      </c>
      <c r="X629" s="36" t="n">
        <f aca="false">+Tabla[[#This Row],[TOTAL]]</f>
        <v>10043600</v>
      </c>
      <c r="Y629" s="37"/>
      <c r="Z629" s="37"/>
      <c r="AA629" s="37"/>
      <c r="AB629" s="38" t="n">
        <f aca="false">+W629-AC629</f>
        <v>0</v>
      </c>
      <c r="AC629" s="34" t="n">
        <f aca="false">+Tabla[[#This Row],[P4]]+Tabla[[#This Row],[P3]]+Tabla[[#This Row],[P2]]+Tabla[[#This Row],[P1]]</f>
        <v>10043600</v>
      </c>
      <c r="AD629" s="34" t="n">
        <f aca="false">+W629-AC629</f>
        <v>0</v>
      </c>
      <c r="AE629" s="21" t="str">
        <f aca="false">IF(AB629&lt;1,"PAGADA","PENDIENTE")</f>
        <v>PAGADA</v>
      </c>
      <c r="AF629" s="21"/>
      <c r="AG629" s="29" t="str">
        <f aca="false">+Tabla[[#This Row],[ESTADO]]</f>
        <v>ANULA</v>
      </c>
      <c r="AH629" s="40"/>
      <c r="AI629" s="40" t="n">
        <f aca="false">+IF(Tabla[[#This Row],[FECHA PAGO / ABONO]]&lt;1,0,(MONTH(Tabla[[#This Row],[FECHA PAGO / ABONO]])))</f>
        <v>0</v>
      </c>
      <c r="AJ629" s="40" t="n">
        <f aca="false">+IF(Tabla[[#This Row],[FECHA PAGO / ABONO]]&lt;1,0,(YEAR(Tabla[[#This Row],[FECHA PAGO / ABONO]])))</f>
        <v>0</v>
      </c>
      <c r="AK629" s="41"/>
    </row>
    <row r="630" customFormat="false" ht="14.25" hidden="false" customHeight="false" outlineLevel="0" collapsed="false">
      <c r="A630" s="58" t="s">
        <v>121</v>
      </c>
      <c r="B630" s="21" t="s">
        <v>122</v>
      </c>
      <c r="C630" s="21" t="s">
        <v>69</v>
      </c>
      <c r="D630" s="21" t="n">
        <v>11467</v>
      </c>
      <c r="E630" s="43" t="str">
        <f aca="false">+CONCATENATE(Tabla[[#This Row],[RUT]],Tabla[[#This Row],[PROVEEDOR]],Tabla[[#This Row],[FACTURA]])</f>
        <v>76166681-9HS CHILE SPA11467</v>
      </c>
      <c r="F630" s="30" t="n">
        <v>46139</v>
      </c>
      <c r="G630" s="31" t="n">
        <f aca="false">+F630+30</f>
        <v>46169</v>
      </c>
      <c r="H630" s="29" t="n">
        <f aca="true">+IF(AE630="PAGADA",0,TODAY()-G630)</f>
        <v>35</v>
      </c>
      <c r="I630" s="29" t="str">
        <f aca="false">+IF(H630&gt;180,"Atrasada",IF(H630&gt;150,"150 dias",IF(H630&gt;120,"120 dias",IF(H630&gt;90,"90 dias",IF(H630&gt;60,"60 dias",IF(H630&gt;30,"30 dias","Al Día"))))))</f>
        <v>30 dias</v>
      </c>
      <c r="J630" s="59" t="s">
        <v>80</v>
      </c>
      <c r="K630" s="60" t="s">
        <v>81</v>
      </c>
      <c r="L630" s="61" t="s">
        <v>309</v>
      </c>
      <c r="M630" s="29" t="n">
        <f aca="false">+YEAR(F630)</f>
        <v>2026</v>
      </c>
      <c r="N630" s="62" t="n">
        <v>2026</v>
      </c>
      <c r="O630" s="63" t="n">
        <v>1</v>
      </c>
      <c r="P630" s="29" t="str">
        <f aca="false">+CONCATENATE(Tabla[[#This Row],[MES CAMPAÑA]],"/",Tabla[[#This Row],[AÑO CAMPAÑA]])</f>
        <v>1/2026</v>
      </c>
      <c r="Q630" s="60" t="s">
        <v>265</v>
      </c>
      <c r="R630" s="29"/>
      <c r="S630" s="64" t="n">
        <v>0</v>
      </c>
      <c r="T630" s="64" t="n">
        <v>844000</v>
      </c>
      <c r="U630" s="64" t="n">
        <v>160360</v>
      </c>
      <c r="V630" s="29"/>
      <c r="W630" s="24" t="n">
        <v>1004360</v>
      </c>
      <c r="X630" s="36"/>
      <c r="Y630" s="37"/>
      <c r="Z630" s="37"/>
      <c r="AA630" s="37"/>
      <c r="AB630" s="38" t="n">
        <f aca="false">+W630-AC630</f>
        <v>1004360</v>
      </c>
      <c r="AC630" s="34" t="n">
        <f aca="false">+Tabla[[#This Row],[P4]]+Tabla[[#This Row],[P3]]+Tabla[[#This Row],[P2]]+Tabla[[#This Row],[P1]]</f>
        <v>0</v>
      </c>
      <c r="AD630" s="34" t="n">
        <f aca="false">+W630-AC630</f>
        <v>1004360</v>
      </c>
      <c r="AE630" s="21" t="str">
        <f aca="false">IF(AB630&lt;1,"PAGADA","PENDIENTE")</f>
        <v>PENDIENTE</v>
      </c>
      <c r="AF630" s="21"/>
      <c r="AG630" s="29"/>
      <c r="AH630" s="40"/>
      <c r="AI630" s="40" t="n">
        <f aca="false">+IF(Tabla[[#This Row],[FECHA PAGO / ABONO]]&lt;1,0,(MONTH(Tabla[[#This Row],[FECHA PAGO / ABONO]])))</f>
        <v>0</v>
      </c>
      <c r="AJ630" s="40" t="n">
        <f aca="false">+IF(Tabla[[#This Row],[FECHA PAGO / ABONO]]&lt;1,0,(YEAR(Tabla[[#This Row],[FECHA PAGO / ABONO]])))</f>
        <v>0</v>
      </c>
      <c r="AK630" s="41"/>
    </row>
    <row r="631" customFormat="false" ht="14.25" hidden="false" customHeight="false" outlineLevel="0" collapsed="false">
      <c r="A631" s="58" t="s">
        <v>249</v>
      </c>
      <c r="B631" s="21" t="s">
        <v>250</v>
      </c>
      <c r="C631" s="21" t="s">
        <v>69</v>
      </c>
      <c r="D631" s="21" t="n">
        <v>362351</v>
      </c>
      <c r="E631" s="43" t="str">
        <f aca="false">+CONCATENATE(Tabla[[#This Row],[RUT]],Tabla[[#This Row],[PROVEEDOR]],Tabla[[#This Row],[FACTURA]])</f>
        <v>84295700-1Empresa Periodistica El Norte S.A.362351</v>
      </c>
      <c r="F631" s="30" t="n">
        <v>46139</v>
      </c>
      <c r="G631" s="31" t="n">
        <f aca="false">+F631+30</f>
        <v>46169</v>
      </c>
      <c r="H631" s="29" t="n">
        <f aca="true">+IF(AE631="PAGADA",0,TODAY()-G631)</f>
        <v>35</v>
      </c>
      <c r="I631" s="29" t="str">
        <f aca="false">+IF(H631&gt;180,"Atrasada",IF(H631&gt;150,"150 dias",IF(H631&gt;120,"120 dias",IF(H631&gt;90,"90 dias",IF(H631&gt;60,"60 dias",IF(H631&gt;30,"30 dias","Al Día"))))))</f>
        <v>30 dias</v>
      </c>
      <c r="J631" s="59" t="s">
        <v>80</v>
      </c>
      <c r="K631" s="60" t="s">
        <v>81</v>
      </c>
      <c r="L631" s="61" t="s">
        <v>309</v>
      </c>
      <c r="M631" s="29" t="n">
        <f aca="false">+YEAR(F631)</f>
        <v>2026</v>
      </c>
      <c r="N631" s="62" t="n">
        <v>2026</v>
      </c>
      <c r="O631" s="63" t="n">
        <v>3</v>
      </c>
      <c r="P631" s="29" t="str">
        <f aca="false">+CONCATENATE(Tabla[[#This Row],[MES CAMPAÑA]],"/",Tabla[[#This Row],[AÑO CAMPAÑA]])</f>
        <v>3/2026</v>
      </c>
      <c r="Q631" s="60" t="s">
        <v>108</v>
      </c>
      <c r="R631" s="29"/>
      <c r="S631" s="64" t="n">
        <v>0</v>
      </c>
      <c r="T631" s="64" t="n">
        <v>4898000</v>
      </c>
      <c r="U631" s="64" t="n">
        <v>930620</v>
      </c>
      <c r="V631" s="29"/>
      <c r="W631" s="24" t="n">
        <v>5828620</v>
      </c>
      <c r="X631" s="36"/>
      <c r="Y631" s="37"/>
      <c r="Z631" s="37"/>
      <c r="AA631" s="37"/>
      <c r="AB631" s="38" t="n">
        <f aca="false">+W631-AC631</f>
        <v>5828620</v>
      </c>
      <c r="AC631" s="34" t="n">
        <f aca="false">+Tabla[[#This Row],[P4]]+Tabla[[#This Row],[P3]]+Tabla[[#This Row],[P2]]+Tabla[[#This Row],[P1]]</f>
        <v>0</v>
      </c>
      <c r="AD631" s="34" t="n">
        <f aca="false">+W631-AC631</f>
        <v>5828620</v>
      </c>
      <c r="AE631" s="21" t="str">
        <f aca="false">IF(AB631&lt;1,"PAGADA","PENDIENTE")</f>
        <v>PENDIENTE</v>
      </c>
      <c r="AF631" s="21"/>
      <c r="AG631" s="29"/>
      <c r="AH631" s="40"/>
      <c r="AI631" s="40" t="n">
        <f aca="false">+IF(Tabla[[#This Row],[FECHA PAGO / ABONO]]&lt;1,0,(MONTH(Tabla[[#This Row],[FECHA PAGO / ABONO]])))</f>
        <v>0</v>
      </c>
      <c r="AJ631" s="40" t="n">
        <f aca="false">+IF(Tabla[[#This Row],[FECHA PAGO / ABONO]]&lt;1,0,(YEAR(Tabla[[#This Row],[FECHA PAGO / ABONO]])))</f>
        <v>0</v>
      </c>
      <c r="AK631" s="41"/>
    </row>
    <row r="632" customFormat="false" ht="14.25" hidden="false" customHeight="false" outlineLevel="0" collapsed="false">
      <c r="A632" s="58" t="s">
        <v>275</v>
      </c>
      <c r="B632" s="21" t="s">
        <v>276</v>
      </c>
      <c r="C632" s="21" t="s">
        <v>69</v>
      </c>
      <c r="D632" s="21" t="n">
        <v>145752</v>
      </c>
      <c r="E632" s="43" t="str">
        <f aca="false">+CONCATENATE(Tabla[[#This Row],[RUT]],Tabla[[#This Row],[PROVEEDOR]],Tabla[[#This Row],[FACTURA]])</f>
        <v>76047103-8Gestion Regional de Medios S.A.145752</v>
      </c>
      <c r="F632" s="30" t="n">
        <v>46139</v>
      </c>
      <c r="G632" s="31" t="n">
        <f aca="false">+F632+30</f>
        <v>46169</v>
      </c>
      <c r="H632" s="29" t="n">
        <f aca="true">+IF(AE632="PAGADA",0,TODAY()-G632)</f>
        <v>35</v>
      </c>
      <c r="I632" s="29" t="str">
        <f aca="false">+IF(H632&gt;180,"Atrasada",IF(H632&gt;150,"150 dias",IF(H632&gt;120,"120 dias",IF(H632&gt;90,"90 dias",IF(H632&gt;60,"60 dias",IF(H632&gt;30,"30 dias","Al Día"))))))</f>
        <v>30 dias</v>
      </c>
      <c r="J632" s="59" t="s">
        <v>80</v>
      </c>
      <c r="K632" s="60" t="s">
        <v>81</v>
      </c>
      <c r="L632" s="61" t="s">
        <v>309</v>
      </c>
      <c r="M632" s="29" t="n">
        <f aca="false">+YEAR(F632)</f>
        <v>2026</v>
      </c>
      <c r="N632" s="62" t="n">
        <v>2026</v>
      </c>
      <c r="O632" s="63" t="n">
        <v>3</v>
      </c>
      <c r="P632" s="29" t="str">
        <f aca="false">+CONCATENATE(Tabla[[#This Row],[MES CAMPAÑA]],"/",Tabla[[#This Row],[AÑO CAMPAÑA]])</f>
        <v>3/2026</v>
      </c>
      <c r="Q632" s="60" t="s">
        <v>265</v>
      </c>
      <c r="R632" s="29"/>
      <c r="S632" s="64" t="n">
        <v>0</v>
      </c>
      <c r="T632" s="64" t="n">
        <v>400000</v>
      </c>
      <c r="U632" s="64" t="n">
        <v>76000</v>
      </c>
      <c r="V632" s="29"/>
      <c r="W632" s="24" t="n">
        <v>476000</v>
      </c>
      <c r="X632" s="36"/>
      <c r="Y632" s="37"/>
      <c r="Z632" s="37"/>
      <c r="AA632" s="37"/>
      <c r="AB632" s="38" t="n">
        <f aca="false">+W632-AC632</f>
        <v>476000</v>
      </c>
      <c r="AC632" s="34" t="n">
        <f aca="false">+Tabla[[#This Row],[P4]]+Tabla[[#This Row],[P3]]+Tabla[[#This Row],[P2]]+Tabla[[#This Row],[P1]]</f>
        <v>0</v>
      </c>
      <c r="AD632" s="34" t="n">
        <f aca="false">+W632-AC632</f>
        <v>476000</v>
      </c>
      <c r="AE632" s="21" t="str">
        <f aca="false">IF(AB632&lt;1,"PAGADA","PENDIENTE")</f>
        <v>PENDIENTE</v>
      </c>
      <c r="AF632" s="21"/>
      <c r="AG632" s="29"/>
      <c r="AH632" s="40"/>
      <c r="AI632" s="40" t="n">
        <f aca="false">+IF(Tabla[[#This Row],[FECHA PAGO / ABONO]]&lt;1,0,(MONTH(Tabla[[#This Row],[FECHA PAGO / ABONO]])))</f>
        <v>0</v>
      </c>
      <c r="AJ632" s="40" t="n">
        <f aca="false">+IF(Tabla[[#This Row],[FECHA PAGO / ABONO]]&lt;1,0,(YEAR(Tabla[[#This Row],[FECHA PAGO / ABONO]])))</f>
        <v>0</v>
      </c>
      <c r="AK632" s="41"/>
    </row>
    <row r="633" customFormat="false" ht="14.25" hidden="false" customHeight="false" outlineLevel="0" collapsed="false">
      <c r="A633" s="58" t="s">
        <v>275</v>
      </c>
      <c r="B633" s="21" t="s">
        <v>276</v>
      </c>
      <c r="C633" s="21" t="s">
        <v>69</v>
      </c>
      <c r="D633" s="21" t="n">
        <v>145753</v>
      </c>
      <c r="E633" s="43" t="str">
        <f aca="false">+CONCATENATE(Tabla[[#This Row],[RUT]],Tabla[[#This Row],[PROVEEDOR]],Tabla[[#This Row],[FACTURA]])</f>
        <v>76047103-8Gestion Regional de Medios S.A.145753</v>
      </c>
      <c r="F633" s="30" t="n">
        <v>46139</v>
      </c>
      <c r="G633" s="31" t="n">
        <f aca="false">+F633+30</f>
        <v>46169</v>
      </c>
      <c r="H633" s="29" t="n">
        <f aca="true">+IF(AE633="PAGADA",0,TODAY()-G633)</f>
        <v>35</v>
      </c>
      <c r="I633" s="29" t="str">
        <f aca="false">+IF(H633&gt;180,"Atrasada",IF(H633&gt;150,"150 dias",IF(H633&gt;120,"120 dias",IF(H633&gt;90,"90 dias",IF(H633&gt;60,"60 dias",IF(H633&gt;30,"30 dias","Al Día"))))))</f>
        <v>30 dias</v>
      </c>
      <c r="J633" s="59" t="s">
        <v>80</v>
      </c>
      <c r="K633" s="60" t="s">
        <v>81</v>
      </c>
      <c r="L633" s="61" t="s">
        <v>309</v>
      </c>
      <c r="M633" s="29" t="n">
        <f aca="false">+YEAR(F633)</f>
        <v>2026</v>
      </c>
      <c r="N633" s="62" t="n">
        <v>2026</v>
      </c>
      <c r="O633" s="63" t="n">
        <v>3</v>
      </c>
      <c r="P633" s="29" t="str">
        <f aca="false">+CONCATENATE(Tabla[[#This Row],[MES CAMPAÑA]],"/",Tabla[[#This Row],[AÑO CAMPAÑA]])</f>
        <v>3/2026</v>
      </c>
      <c r="Q633" s="60" t="s">
        <v>265</v>
      </c>
      <c r="R633" s="29"/>
      <c r="S633" s="64" t="n">
        <v>0</v>
      </c>
      <c r="T633" s="64" t="n">
        <v>400000</v>
      </c>
      <c r="U633" s="64" t="n">
        <v>76000</v>
      </c>
      <c r="V633" s="29"/>
      <c r="W633" s="24" t="n">
        <v>476000</v>
      </c>
      <c r="X633" s="36"/>
      <c r="Y633" s="37"/>
      <c r="Z633" s="37"/>
      <c r="AA633" s="37"/>
      <c r="AB633" s="38" t="n">
        <f aca="false">+W633-AC633</f>
        <v>476000</v>
      </c>
      <c r="AC633" s="34" t="n">
        <f aca="false">+Tabla[[#This Row],[P4]]+Tabla[[#This Row],[P3]]+Tabla[[#This Row],[P2]]+Tabla[[#This Row],[P1]]</f>
        <v>0</v>
      </c>
      <c r="AD633" s="34" t="n">
        <f aca="false">+W633-AC633</f>
        <v>476000</v>
      </c>
      <c r="AE633" s="21" t="str">
        <f aca="false">IF(AB633&lt;1,"PAGADA","PENDIENTE")</f>
        <v>PENDIENTE</v>
      </c>
      <c r="AF633" s="21"/>
      <c r="AG633" s="29"/>
      <c r="AH633" s="40"/>
      <c r="AI633" s="40" t="n">
        <f aca="false">+IF(Tabla[[#This Row],[FECHA PAGO / ABONO]]&lt;1,0,(MONTH(Tabla[[#This Row],[FECHA PAGO / ABONO]])))</f>
        <v>0</v>
      </c>
      <c r="AJ633" s="40" t="n">
        <f aca="false">+IF(Tabla[[#This Row],[FECHA PAGO / ABONO]]&lt;1,0,(YEAR(Tabla[[#This Row],[FECHA PAGO / ABONO]])))</f>
        <v>0</v>
      </c>
      <c r="AK633" s="41"/>
    </row>
    <row r="634" customFormat="false" ht="14.25" hidden="false" customHeight="false" outlineLevel="0" collapsed="false">
      <c r="A634" s="58" t="s">
        <v>275</v>
      </c>
      <c r="B634" s="21" t="s">
        <v>276</v>
      </c>
      <c r="C634" s="21" t="s">
        <v>69</v>
      </c>
      <c r="D634" s="21" t="n">
        <v>145754</v>
      </c>
      <c r="E634" s="43" t="str">
        <f aca="false">+CONCATENATE(Tabla[[#This Row],[RUT]],Tabla[[#This Row],[PROVEEDOR]],Tabla[[#This Row],[FACTURA]])</f>
        <v>76047103-8Gestion Regional de Medios S.A.145754</v>
      </c>
      <c r="F634" s="30" t="n">
        <v>46139</v>
      </c>
      <c r="G634" s="31" t="n">
        <f aca="false">+F634+30</f>
        <v>46169</v>
      </c>
      <c r="H634" s="29" t="n">
        <f aca="true">+IF(AE634="PAGADA",0,TODAY()-G634)</f>
        <v>35</v>
      </c>
      <c r="I634" s="29" t="str">
        <f aca="false">+IF(H634&gt;180,"Atrasada",IF(H634&gt;150,"150 dias",IF(H634&gt;120,"120 dias",IF(H634&gt;90,"90 dias",IF(H634&gt;60,"60 dias",IF(H634&gt;30,"30 dias","Al Día"))))))</f>
        <v>30 dias</v>
      </c>
      <c r="J634" s="59" t="s">
        <v>80</v>
      </c>
      <c r="K634" s="60" t="s">
        <v>81</v>
      </c>
      <c r="L634" s="61" t="s">
        <v>309</v>
      </c>
      <c r="M634" s="29" t="n">
        <f aca="false">+YEAR(F634)</f>
        <v>2026</v>
      </c>
      <c r="N634" s="62" t="n">
        <v>2026</v>
      </c>
      <c r="O634" s="63" t="n">
        <v>3</v>
      </c>
      <c r="P634" s="29" t="str">
        <f aca="false">+CONCATENATE(Tabla[[#This Row],[MES CAMPAÑA]],"/",Tabla[[#This Row],[AÑO CAMPAÑA]])</f>
        <v>3/2026</v>
      </c>
      <c r="Q634" s="60" t="s">
        <v>265</v>
      </c>
      <c r="R634" s="29"/>
      <c r="S634" s="64" t="n">
        <v>0</v>
      </c>
      <c r="T634" s="64" t="n">
        <v>350000</v>
      </c>
      <c r="U634" s="64" t="n">
        <v>66500</v>
      </c>
      <c r="V634" s="29"/>
      <c r="W634" s="24" t="n">
        <v>416500</v>
      </c>
      <c r="X634" s="36"/>
      <c r="Y634" s="37"/>
      <c r="Z634" s="37"/>
      <c r="AA634" s="37"/>
      <c r="AB634" s="38" t="n">
        <f aca="false">+W634-AC634</f>
        <v>416500</v>
      </c>
      <c r="AC634" s="34" t="n">
        <f aca="false">+Tabla[[#This Row],[P4]]+Tabla[[#This Row],[P3]]+Tabla[[#This Row],[P2]]+Tabla[[#This Row],[P1]]</f>
        <v>0</v>
      </c>
      <c r="AD634" s="34" t="n">
        <f aca="false">+W634-AC634</f>
        <v>416500</v>
      </c>
      <c r="AE634" s="21" t="str">
        <f aca="false">IF(AB634&lt;1,"PAGADA","PENDIENTE")</f>
        <v>PENDIENTE</v>
      </c>
      <c r="AF634" s="21"/>
      <c r="AG634" s="29"/>
      <c r="AH634" s="40"/>
      <c r="AI634" s="40" t="n">
        <f aca="false">+IF(Tabla[[#This Row],[FECHA PAGO / ABONO]]&lt;1,0,(MONTH(Tabla[[#This Row],[FECHA PAGO / ABONO]])))</f>
        <v>0</v>
      </c>
      <c r="AJ634" s="40" t="n">
        <f aca="false">+IF(Tabla[[#This Row],[FECHA PAGO / ABONO]]&lt;1,0,(YEAR(Tabla[[#This Row],[FECHA PAGO / ABONO]])))</f>
        <v>0</v>
      </c>
      <c r="AK634" s="41"/>
    </row>
    <row r="635" customFormat="false" ht="14.25" hidden="false" customHeight="false" outlineLevel="0" collapsed="false">
      <c r="A635" s="58" t="s">
        <v>275</v>
      </c>
      <c r="B635" s="21" t="s">
        <v>276</v>
      </c>
      <c r="C635" s="21" t="s">
        <v>69</v>
      </c>
      <c r="D635" s="21" t="n">
        <v>145755</v>
      </c>
      <c r="E635" s="43" t="str">
        <f aca="false">+CONCATENATE(Tabla[[#This Row],[RUT]],Tabla[[#This Row],[PROVEEDOR]],Tabla[[#This Row],[FACTURA]])</f>
        <v>76047103-8Gestion Regional de Medios S.A.145755</v>
      </c>
      <c r="F635" s="30" t="n">
        <v>46139</v>
      </c>
      <c r="G635" s="31" t="n">
        <f aca="false">+F635+30</f>
        <v>46169</v>
      </c>
      <c r="H635" s="29" t="n">
        <f aca="true">+IF(AE635="PAGADA",0,TODAY()-G635)</f>
        <v>35</v>
      </c>
      <c r="I635" s="29" t="str">
        <f aca="false">+IF(H635&gt;180,"Atrasada",IF(H635&gt;150,"150 dias",IF(H635&gt;120,"120 dias",IF(H635&gt;90,"90 dias",IF(H635&gt;60,"60 dias",IF(H635&gt;30,"30 dias","Al Día"))))))</f>
        <v>30 dias</v>
      </c>
      <c r="J635" s="59" t="s">
        <v>80</v>
      </c>
      <c r="K635" s="60" t="s">
        <v>81</v>
      </c>
      <c r="L635" s="61" t="s">
        <v>309</v>
      </c>
      <c r="M635" s="29" t="n">
        <f aca="false">+YEAR(F635)</f>
        <v>2026</v>
      </c>
      <c r="N635" s="62" t="n">
        <v>2026</v>
      </c>
      <c r="O635" s="63" t="n">
        <v>3</v>
      </c>
      <c r="P635" s="29" t="str">
        <f aca="false">+CONCATENATE(Tabla[[#This Row],[MES CAMPAÑA]],"/",Tabla[[#This Row],[AÑO CAMPAÑA]])</f>
        <v>3/2026</v>
      </c>
      <c r="Q635" s="60" t="s">
        <v>265</v>
      </c>
      <c r="R635" s="29"/>
      <c r="S635" s="64" t="n">
        <v>0</v>
      </c>
      <c r="T635" s="64" t="n">
        <v>450000</v>
      </c>
      <c r="U635" s="64" t="n">
        <v>85500</v>
      </c>
      <c r="V635" s="29"/>
      <c r="W635" s="24" t="n">
        <v>535500</v>
      </c>
      <c r="X635" s="36"/>
      <c r="Y635" s="37"/>
      <c r="Z635" s="37"/>
      <c r="AA635" s="37"/>
      <c r="AB635" s="38" t="n">
        <f aca="false">+W635-AC635</f>
        <v>535500</v>
      </c>
      <c r="AC635" s="34" t="n">
        <f aca="false">+Tabla[[#This Row],[P4]]+Tabla[[#This Row],[P3]]+Tabla[[#This Row],[P2]]+Tabla[[#This Row],[P1]]</f>
        <v>0</v>
      </c>
      <c r="AD635" s="34" t="n">
        <f aca="false">+W635-AC635</f>
        <v>535500</v>
      </c>
      <c r="AE635" s="21" t="str">
        <f aca="false">IF(AB635&lt;1,"PAGADA","PENDIENTE")</f>
        <v>PENDIENTE</v>
      </c>
      <c r="AF635" s="21"/>
      <c r="AG635" s="29"/>
      <c r="AH635" s="40"/>
      <c r="AI635" s="40" t="n">
        <f aca="false">+IF(Tabla[[#This Row],[FECHA PAGO / ABONO]]&lt;1,0,(MONTH(Tabla[[#This Row],[FECHA PAGO / ABONO]])))</f>
        <v>0</v>
      </c>
      <c r="AJ635" s="40" t="n">
        <f aca="false">+IF(Tabla[[#This Row],[FECHA PAGO / ABONO]]&lt;1,0,(YEAR(Tabla[[#This Row],[FECHA PAGO / ABONO]])))</f>
        <v>0</v>
      </c>
      <c r="AK635" s="41"/>
    </row>
    <row r="636" customFormat="false" ht="14.25" hidden="false" customHeight="false" outlineLevel="0" collapsed="false">
      <c r="A636" s="58" t="s">
        <v>231</v>
      </c>
      <c r="B636" s="21" t="s">
        <v>232</v>
      </c>
      <c r="C636" s="21" t="s">
        <v>69</v>
      </c>
      <c r="D636" s="21" t="n">
        <v>321705</v>
      </c>
      <c r="E636" s="43" t="str">
        <f aca="false">+CONCATENATE(Tabla[[#This Row],[RUT]],Tabla[[#This Row],[PROVEEDOR]],Tabla[[#This Row],[FACTURA]])</f>
        <v>99538470-1PORTALES DE NEGOCIOS S.A321705</v>
      </c>
      <c r="F636" s="30" t="n">
        <v>46140</v>
      </c>
      <c r="G636" s="31" t="n">
        <f aca="false">+F636+30</f>
        <v>46170</v>
      </c>
      <c r="H636" s="29" t="n">
        <f aca="true">+IF(AE636="PAGADA",0,TODAY()-G636)</f>
        <v>34</v>
      </c>
      <c r="I636" s="29" t="str">
        <f aca="false">+IF(H636&gt;180,"Atrasada",IF(H636&gt;150,"150 dias",IF(H636&gt;120,"120 dias",IF(H636&gt;90,"90 dias",IF(H636&gt;60,"60 dias",IF(H636&gt;30,"30 dias","Al Día"))))))</f>
        <v>30 dias</v>
      </c>
      <c r="J636" s="59" t="s">
        <v>80</v>
      </c>
      <c r="K636" s="60" t="s">
        <v>81</v>
      </c>
      <c r="L636" s="61" t="s">
        <v>309</v>
      </c>
      <c r="M636" s="29" t="n">
        <f aca="false">+YEAR(F636)</f>
        <v>2026</v>
      </c>
      <c r="N636" s="62" t="n">
        <v>2026</v>
      </c>
      <c r="O636" s="63" t="n">
        <v>3</v>
      </c>
      <c r="P636" s="29" t="str">
        <f aca="false">+CONCATENATE(Tabla[[#This Row],[MES CAMPAÑA]],"/",Tabla[[#This Row],[AÑO CAMPAÑA]])</f>
        <v>3/2026</v>
      </c>
      <c r="Q636" s="60" t="s">
        <v>315</v>
      </c>
      <c r="R636" s="29"/>
      <c r="S636" s="64" t="n">
        <v>0</v>
      </c>
      <c r="T636" s="64" t="n">
        <v>2000000</v>
      </c>
      <c r="U636" s="64" t="n">
        <v>380000</v>
      </c>
      <c r="V636" s="29"/>
      <c r="W636" s="24" t="n">
        <v>2380000</v>
      </c>
      <c r="X636" s="36"/>
      <c r="Y636" s="37"/>
      <c r="Z636" s="37"/>
      <c r="AA636" s="37"/>
      <c r="AB636" s="38" t="n">
        <f aca="false">+W636-AC636</f>
        <v>2380000</v>
      </c>
      <c r="AC636" s="34" t="n">
        <f aca="false">+Tabla[[#This Row],[P4]]+Tabla[[#This Row],[P3]]+Tabla[[#This Row],[P2]]+Tabla[[#This Row],[P1]]</f>
        <v>0</v>
      </c>
      <c r="AD636" s="34" t="n">
        <f aca="false">+W636-AC636</f>
        <v>2380000</v>
      </c>
      <c r="AE636" s="21" t="str">
        <f aca="false">IF(AB636&lt;1,"PAGADA","PENDIENTE")</f>
        <v>PENDIENTE</v>
      </c>
      <c r="AF636" s="21"/>
      <c r="AG636" s="29"/>
      <c r="AH636" s="40"/>
      <c r="AI636" s="40" t="n">
        <f aca="false">+IF(Tabla[[#This Row],[FECHA PAGO / ABONO]]&lt;1,0,(MONTH(Tabla[[#This Row],[FECHA PAGO / ABONO]])))</f>
        <v>0</v>
      </c>
      <c r="AJ636" s="40" t="n">
        <f aca="false">+IF(Tabla[[#This Row],[FECHA PAGO / ABONO]]&lt;1,0,(YEAR(Tabla[[#This Row],[FECHA PAGO / ABONO]])))</f>
        <v>0</v>
      </c>
      <c r="AK636" s="41"/>
    </row>
    <row r="637" customFormat="false" ht="14.25" hidden="false" customHeight="false" outlineLevel="0" collapsed="false">
      <c r="A637" s="58" t="s">
        <v>231</v>
      </c>
      <c r="B637" s="21" t="s">
        <v>232</v>
      </c>
      <c r="C637" s="21" t="s">
        <v>69</v>
      </c>
      <c r="D637" s="21" t="n">
        <v>321706</v>
      </c>
      <c r="E637" s="43" t="str">
        <f aca="false">+CONCATENATE(Tabla[[#This Row],[RUT]],Tabla[[#This Row],[PROVEEDOR]],Tabla[[#This Row],[FACTURA]])</f>
        <v>99538470-1PORTALES DE NEGOCIOS S.A321706</v>
      </c>
      <c r="F637" s="30" t="n">
        <v>46140</v>
      </c>
      <c r="G637" s="31" t="n">
        <f aca="false">+F637+30</f>
        <v>46170</v>
      </c>
      <c r="H637" s="29" t="n">
        <f aca="true">+IF(AE637="PAGADA",0,TODAY()-G637)</f>
        <v>34</v>
      </c>
      <c r="I637" s="29" t="str">
        <f aca="false">+IF(H637&gt;180,"Atrasada",IF(H637&gt;150,"150 dias",IF(H637&gt;120,"120 dias",IF(H637&gt;90,"90 dias",IF(H637&gt;60,"60 dias",IF(H637&gt;30,"30 dias","Al Día"))))))</f>
        <v>30 dias</v>
      </c>
      <c r="J637" s="59" t="s">
        <v>80</v>
      </c>
      <c r="K637" s="60" t="s">
        <v>81</v>
      </c>
      <c r="L637" s="61" t="s">
        <v>309</v>
      </c>
      <c r="M637" s="29" t="n">
        <f aca="false">+YEAR(F637)</f>
        <v>2026</v>
      </c>
      <c r="N637" s="62" t="n">
        <v>2026</v>
      </c>
      <c r="O637" s="63" t="n">
        <v>3</v>
      </c>
      <c r="P637" s="29" t="str">
        <f aca="false">+CONCATENATE(Tabla[[#This Row],[MES CAMPAÑA]],"/",Tabla[[#This Row],[AÑO CAMPAÑA]])</f>
        <v>3/2026</v>
      </c>
      <c r="Q637" s="60" t="s">
        <v>130</v>
      </c>
      <c r="R637" s="29"/>
      <c r="S637" s="64" t="n">
        <v>0</v>
      </c>
      <c r="T637" s="64" t="n">
        <v>3000000</v>
      </c>
      <c r="U637" s="64" t="n">
        <v>570000</v>
      </c>
      <c r="V637" s="29"/>
      <c r="W637" s="24" t="n">
        <v>3570000</v>
      </c>
      <c r="X637" s="36"/>
      <c r="Y637" s="37"/>
      <c r="Z637" s="37"/>
      <c r="AA637" s="37"/>
      <c r="AB637" s="38" t="n">
        <f aca="false">+W637-AC637</f>
        <v>3570000</v>
      </c>
      <c r="AC637" s="34" t="n">
        <f aca="false">+Tabla[[#This Row],[P4]]+Tabla[[#This Row],[P3]]+Tabla[[#This Row],[P2]]+Tabla[[#This Row],[P1]]</f>
        <v>0</v>
      </c>
      <c r="AD637" s="34" t="n">
        <f aca="false">+W637-AC637</f>
        <v>3570000</v>
      </c>
      <c r="AE637" s="21" t="str">
        <f aca="false">IF(AB637&lt;1,"PAGADA","PENDIENTE")</f>
        <v>PENDIENTE</v>
      </c>
      <c r="AF637" s="21"/>
      <c r="AG637" s="29"/>
      <c r="AH637" s="40"/>
      <c r="AI637" s="40" t="n">
        <f aca="false">+IF(Tabla[[#This Row],[FECHA PAGO / ABONO]]&lt;1,0,(MONTH(Tabla[[#This Row],[FECHA PAGO / ABONO]])))</f>
        <v>0</v>
      </c>
      <c r="AJ637" s="40" t="n">
        <f aca="false">+IF(Tabla[[#This Row],[FECHA PAGO / ABONO]]&lt;1,0,(YEAR(Tabla[[#This Row],[FECHA PAGO / ABONO]])))</f>
        <v>0</v>
      </c>
      <c r="AK637" s="41"/>
    </row>
    <row r="638" customFormat="false" ht="14.25" hidden="false" customHeight="false" outlineLevel="0" collapsed="false">
      <c r="A638" s="58" t="s">
        <v>236</v>
      </c>
      <c r="B638" s="21" t="s">
        <v>237</v>
      </c>
      <c r="C638" s="21" t="s">
        <v>69</v>
      </c>
      <c r="D638" s="21" t="n">
        <v>111364</v>
      </c>
      <c r="E638" s="43" t="str">
        <f aca="false">+CONCATENATE(Tabla[[#This Row],[RUT]],Tabla[[#This Row],[PROVEEDOR]],Tabla[[#This Row],[FACTURA]])</f>
        <v>96669520-KRed De Television Chilevision SA111364</v>
      </c>
      <c r="F638" s="30" t="n">
        <v>46140</v>
      </c>
      <c r="G638" s="31" t="n">
        <f aca="false">+F638+30</f>
        <v>46170</v>
      </c>
      <c r="H638" s="29" t="n">
        <f aca="true">+IF(AE638="PAGADA",0,TODAY()-G638)</f>
        <v>34</v>
      </c>
      <c r="I638" s="29" t="str">
        <f aca="false">+IF(H638&gt;180,"Atrasada",IF(H638&gt;150,"150 dias",IF(H638&gt;120,"120 dias",IF(H638&gt;90,"90 dias",IF(H638&gt;60,"60 dias",IF(H638&gt;30,"30 dias","Al Día"))))))</f>
        <v>30 dias</v>
      </c>
      <c r="J638" s="59" t="s">
        <v>80</v>
      </c>
      <c r="K638" s="60" t="s">
        <v>81</v>
      </c>
      <c r="L638" s="61" t="s">
        <v>309</v>
      </c>
      <c r="M638" s="29" t="n">
        <f aca="false">+YEAR(F638)</f>
        <v>2026</v>
      </c>
      <c r="N638" s="62" t="n">
        <v>2025</v>
      </c>
      <c r="O638" s="63" t="n">
        <v>11</v>
      </c>
      <c r="P638" s="29" t="str">
        <f aca="false">+CONCATENATE(Tabla[[#This Row],[MES CAMPAÑA]],"/",Tabla[[#This Row],[AÑO CAMPAÑA]])</f>
        <v>11/2025</v>
      </c>
      <c r="Q638" s="60" t="s">
        <v>105</v>
      </c>
      <c r="R638" s="29"/>
      <c r="S638" s="64" t="n">
        <v>0</v>
      </c>
      <c r="T638" s="64" t="n">
        <v>2440641</v>
      </c>
      <c r="U638" s="64" t="n">
        <v>463722</v>
      </c>
      <c r="V638" s="29"/>
      <c r="W638" s="24" t="n">
        <v>2904363</v>
      </c>
      <c r="X638" s="36"/>
      <c r="Y638" s="37"/>
      <c r="Z638" s="37"/>
      <c r="AA638" s="37"/>
      <c r="AB638" s="38" t="n">
        <f aca="false">+W638-AC638</f>
        <v>2904363</v>
      </c>
      <c r="AC638" s="34" t="n">
        <f aca="false">+Tabla[[#This Row],[P4]]+Tabla[[#This Row],[P3]]+Tabla[[#This Row],[P2]]+Tabla[[#This Row],[P1]]</f>
        <v>0</v>
      </c>
      <c r="AD638" s="34" t="n">
        <f aca="false">+W638-AC638</f>
        <v>2904363</v>
      </c>
      <c r="AE638" s="21" t="str">
        <f aca="false">IF(AB638&lt;1,"PAGADA","PENDIENTE")</f>
        <v>PENDIENTE</v>
      </c>
      <c r="AF638" s="21"/>
      <c r="AG638" s="29"/>
      <c r="AH638" s="40"/>
      <c r="AI638" s="40" t="n">
        <f aca="false">+IF(Tabla[[#This Row],[FECHA PAGO / ABONO]]&lt;1,0,(MONTH(Tabla[[#This Row],[FECHA PAGO / ABONO]])))</f>
        <v>0</v>
      </c>
      <c r="AJ638" s="40" t="n">
        <f aca="false">+IF(Tabla[[#This Row],[FECHA PAGO / ABONO]]&lt;1,0,(YEAR(Tabla[[#This Row],[FECHA PAGO / ABONO]])))</f>
        <v>0</v>
      </c>
      <c r="AK638" s="41"/>
    </row>
    <row r="639" customFormat="false" ht="14.25" hidden="false" customHeight="false" outlineLevel="0" collapsed="false">
      <c r="A639" s="58" t="s">
        <v>240</v>
      </c>
      <c r="B639" s="21" t="s">
        <v>241</v>
      </c>
      <c r="C639" s="21" t="s">
        <v>69</v>
      </c>
      <c r="D639" s="21" t="n">
        <v>55582809</v>
      </c>
      <c r="E639" s="43" t="str">
        <f aca="false">+CONCATENATE(Tabla[[#This Row],[RUT]],Tabla[[#This Row],[PROVEEDOR]],Tabla[[#This Row],[FACTURA]])</f>
        <v>97036000-KSantander - Chile55582809</v>
      </c>
      <c r="F639" s="30" t="n">
        <v>46140</v>
      </c>
      <c r="G639" s="31" t="n">
        <f aca="false">+F639+30</f>
        <v>46170</v>
      </c>
      <c r="H639" s="29" t="n">
        <f aca="true">+IF(AE639="PAGADA",0,TODAY()-G639)</f>
        <v>0</v>
      </c>
      <c r="I639" s="29" t="str">
        <f aca="false">+IF(H639&gt;180,"Atrasada",IF(H639&gt;150,"150 dias",IF(H639&gt;120,"120 dias",IF(H639&gt;90,"90 dias",IF(H639&gt;60,"60 dias",IF(H639&gt;30,"30 dias","Al Día"))))))</f>
        <v>Al Día</v>
      </c>
      <c r="J639" s="59" t="s">
        <v>31</v>
      </c>
      <c r="K639" s="60" t="s">
        <v>81</v>
      </c>
      <c r="L639" s="61" t="s">
        <v>309</v>
      </c>
      <c r="M639" s="29" t="n">
        <f aca="false">+YEAR(F639)</f>
        <v>2026</v>
      </c>
      <c r="N639" s="62" t="n">
        <v>2026</v>
      </c>
      <c r="O639" s="63" t="n">
        <v>4</v>
      </c>
      <c r="P639" s="29" t="str">
        <f aca="false">+CONCATENATE(Tabla[[#This Row],[MES CAMPAÑA]],"/",Tabla[[#This Row],[AÑO CAMPAÑA]])</f>
        <v>4/2026</v>
      </c>
      <c r="Q639" s="60" t="s">
        <v>73</v>
      </c>
      <c r="R639" s="29"/>
      <c r="S639" s="64" t="n">
        <v>0</v>
      </c>
      <c r="T639" s="64" t="n">
        <v>20263</v>
      </c>
      <c r="U639" s="64" t="n">
        <v>3850</v>
      </c>
      <c r="V639" s="29"/>
      <c r="W639" s="24" t="n">
        <v>24113</v>
      </c>
      <c r="X639" s="36" t="n">
        <f aca="false">+Tabla[[#This Row],[TOTAL]]</f>
        <v>24113</v>
      </c>
      <c r="Y639" s="37"/>
      <c r="Z639" s="37"/>
      <c r="AA639" s="37"/>
      <c r="AB639" s="38" t="n">
        <f aca="false">+W639-AC639</f>
        <v>0</v>
      </c>
      <c r="AC639" s="34" t="n">
        <f aca="false">+Tabla[[#This Row],[P4]]+Tabla[[#This Row],[P3]]+Tabla[[#This Row],[P2]]+Tabla[[#This Row],[P1]]</f>
        <v>24113</v>
      </c>
      <c r="AD639" s="34" t="n">
        <f aca="false">+W639-AC639</f>
        <v>0</v>
      </c>
      <c r="AE639" s="21" t="str">
        <f aca="false">IF(AB639&lt;1,"PAGADA","PENDIENTE")</f>
        <v>PAGADA</v>
      </c>
      <c r="AF639" s="21"/>
      <c r="AG639" s="29"/>
      <c r="AH639" s="40"/>
      <c r="AI639" s="40" t="n">
        <f aca="false">+IF(Tabla[[#This Row],[FECHA PAGO / ABONO]]&lt;1,0,(MONTH(Tabla[[#This Row],[FECHA PAGO / ABONO]])))</f>
        <v>0</v>
      </c>
      <c r="AJ639" s="40" t="n">
        <f aca="false">+IF(Tabla[[#This Row],[FECHA PAGO / ABONO]]&lt;1,0,(YEAR(Tabla[[#This Row],[FECHA PAGO / ABONO]])))</f>
        <v>0</v>
      </c>
      <c r="AK639" s="41"/>
    </row>
    <row r="640" customFormat="false" ht="14.25" hidden="false" customHeight="false" outlineLevel="0" collapsed="false">
      <c r="A640" s="58" t="s">
        <v>240</v>
      </c>
      <c r="B640" s="21" t="s">
        <v>241</v>
      </c>
      <c r="C640" s="21" t="s">
        <v>229</v>
      </c>
      <c r="D640" s="21" t="n">
        <v>15058911</v>
      </c>
      <c r="E640" s="43" t="str">
        <f aca="false">+CONCATENATE(Tabla[[#This Row],[RUT]],Tabla[[#This Row],[PROVEEDOR]],Tabla[[#This Row],[FACTURA]])</f>
        <v>97036000-KSantander - Chile15058911</v>
      </c>
      <c r="F640" s="30" t="n">
        <v>46140</v>
      </c>
      <c r="G640" s="31" t="n">
        <f aca="false">+F640+30</f>
        <v>46170</v>
      </c>
      <c r="H640" s="29" t="n">
        <f aca="true">+IF(AE640="PAGADA",0,TODAY()-G640)</f>
        <v>0</v>
      </c>
      <c r="I640" s="29" t="str">
        <f aca="false">+IF(H640&gt;180,"Atrasada",IF(H640&gt;150,"150 dias",IF(H640&gt;120,"120 dias",IF(H640&gt;90,"90 dias",IF(H640&gt;60,"60 dias",IF(H640&gt;30,"30 dias","Al Día"))))))</f>
        <v>Al Día</v>
      </c>
      <c r="J640" s="59" t="s">
        <v>31</v>
      </c>
      <c r="K640" s="60" t="s">
        <v>81</v>
      </c>
      <c r="L640" s="61" t="s">
        <v>309</v>
      </c>
      <c r="M640" s="29" t="n">
        <f aca="false">+YEAR(F640)</f>
        <v>2026</v>
      </c>
      <c r="N640" s="62" t="n">
        <v>2026</v>
      </c>
      <c r="O640" s="63" t="n">
        <v>4</v>
      </c>
      <c r="P640" s="29" t="str">
        <f aca="false">+CONCATENATE(Tabla[[#This Row],[MES CAMPAÑA]],"/",Tabla[[#This Row],[AÑO CAMPAÑA]])</f>
        <v>4/2026</v>
      </c>
      <c r="Q640" s="60" t="s">
        <v>73</v>
      </c>
      <c r="R640" s="29"/>
      <c r="S640" s="64" t="n">
        <v>11346</v>
      </c>
      <c r="T640" s="64" t="n">
        <v>0</v>
      </c>
      <c r="U640" s="64" t="n">
        <v>0</v>
      </c>
      <c r="V640" s="29"/>
      <c r="W640" s="24" t="n">
        <v>11346</v>
      </c>
      <c r="X640" s="36" t="n">
        <f aca="false">+Tabla[[#This Row],[TOTAL]]</f>
        <v>11346</v>
      </c>
      <c r="Y640" s="37"/>
      <c r="Z640" s="37"/>
      <c r="AA640" s="37"/>
      <c r="AB640" s="38" t="n">
        <f aca="false">+W640-AC640</f>
        <v>0</v>
      </c>
      <c r="AC640" s="34" t="n">
        <f aca="false">+Tabla[[#This Row],[P4]]+Tabla[[#This Row],[P3]]+Tabla[[#This Row],[P2]]+Tabla[[#This Row],[P1]]</f>
        <v>11346</v>
      </c>
      <c r="AD640" s="34" t="n">
        <f aca="false">+W640-AC640</f>
        <v>0</v>
      </c>
      <c r="AE640" s="21" t="str">
        <f aca="false">IF(AB640&lt;1,"PAGADA","PENDIENTE")</f>
        <v>PAGADA</v>
      </c>
      <c r="AF640" s="21"/>
      <c r="AG640" s="29" t="str">
        <f aca="false">+Tabla[[#This Row],[ESTADO]]</f>
        <v>ACEPTADA</v>
      </c>
      <c r="AH640" s="40"/>
      <c r="AI640" s="40" t="n">
        <f aca="false">+IF(Tabla[[#This Row],[FECHA PAGO / ABONO]]&lt;1,0,(MONTH(Tabla[[#This Row],[FECHA PAGO / ABONO]])))</f>
        <v>0</v>
      </c>
      <c r="AJ640" s="40" t="n">
        <f aca="false">+IF(Tabla[[#This Row],[FECHA PAGO / ABONO]]&lt;1,0,(YEAR(Tabla[[#This Row],[FECHA PAGO / ABONO]])))</f>
        <v>0</v>
      </c>
      <c r="AK640" s="41"/>
    </row>
    <row r="641" customFormat="false" ht="14.25" hidden="false" customHeight="false" outlineLevel="0" collapsed="false">
      <c r="A641" s="58" t="s">
        <v>318</v>
      </c>
      <c r="B641" s="21" t="s">
        <v>319</v>
      </c>
      <c r="C641" s="21" t="s">
        <v>69</v>
      </c>
      <c r="D641" s="21" t="n">
        <v>8696</v>
      </c>
      <c r="E641" s="43" t="str">
        <f aca="false">+CONCATENATE(Tabla[[#This Row],[RUT]],Tabla[[#This Row],[PROVEEDOR]],Tabla[[#This Row],[FACTURA]])</f>
        <v>76877046-8PUBLICIDAD VIA PUBLICA CHILE SPA8696</v>
      </c>
      <c r="F641" s="30" t="n">
        <v>46141</v>
      </c>
      <c r="G641" s="31" t="n">
        <f aca="false">+F641+30</f>
        <v>46171</v>
      </c>
      <c r="H641" s="29" t="n">
        <f aca="true">+IF(AE641="PAGADA",0,TODAY()-G641)</f>
        <v>0</v>
      </c>
      <c r="I641" s="29" t="str">
        <f aca="false">+IF(H641&gt;180,"Atrasada",IF(H641&gt;150,"150 dias",IF(H641&gt;120,"120 dias",IF(H641&gt;90,"90 dias",IF(H641&gt;60,"60 dias",IF(H641&gt;30,"30 dias","Al Día"))))))</f>
        <v>Al Día</v>
      </c>
      <c r="J641" s="59" t="s">
        <v>80</v>
      </c>
      <c r="K641" s="60" t="s">
        <v>81</v>
      </c>
      <c r="L641" s="61" t="s">
        <v>309</v>
      </c>
      <c r="M641" s="29" t="n">
        <f aca="false">+YEAR(F641)</f>
        <v>2026</v>
      </c>
      <c r="N641" s="62" t="n">
        <v>2026</v>
      </c>
      <c r="O641" s="63" t="n">
        <v>5</v>
      </c>
      <c r="P641" s="29" t="str">
        <f aca="false">+CONCATENATE(Tabla[[#This Row],[MES CAMPAÑA]],"/",Tabla[[#This Row],[AÑO CAMPAÑA]])</f>
        <v>5/2026</v>
      </c>
      <c r="Q641" s="60" t="s">
        <v>105</v>
      </c>
      <c r="R641" s="29"/>
      <c r="S641" s="64" t="n">
        <v>0</v>
      </c>
      <c r="T641" s="64" t="n">
        <v>1278000</v>
      </c>
      <c r="U641" s="64" t="n">
        <v>242820</v>
      </c>
      <c r="V641" s="29"/>
      <c r="W641" s="24" t="n">
        <v>1520820</v>
      </c>
      <c r="X641" s="36" t="n">
        <f aca="false">+Tabla[[#This Row],[TOTAL]]</f>
        <v>1520820</v>
      </c>
      <c r="Y641" s="37"/>
      <c r="Z641" s="37"/>
      <c r="AA641" s="37"/>
      <c r="AB641" s="38" t="n">
        <f aca="false">+W641-AC641</f>
        <v>0</v>
      </c>
      <c r="AC641" s="34" t="n">
        <f aca="false">+Tabla[[#This Row],[P4]]+Tabla[[#This Row],[P3]]+Tabla[[#This Row],[P2]]+Tabla[[#This Row],[P1]]</f>
        <v>1520820</v>
      </c>
      <c r="AD641" s="34" t="n">
        <f aca="false">+W641-AC641</f>
        <v>0</v>
      </c>
      <c r="AE641" s="21" t="str">
        <f aca="false">IF(AB641&lt;1,"PAGADA","PENDIENTE")</f>
        <v>PAGADA</v>
      </c>
      <c r="AF641" s="21"/>
      <c r="AG641" s="29" t="s">
        <v>77</v>
      </c>
      <c r="AH641" s="39" t="n">
        <v>46142</v>
      </c>
      <c r="AI641" s="40" t="n">
        <f aca="false">+IF(Tabla[[#This Row],[FECHA PAGO / ABONO]]&lt;1,0,(MONTH(Tabla[[#This Row],[FECHA PAGO / ABONO]])))</f>
        <v>4</v>
      </c>
      <c r="AJ641" s="40" t="n">
        <f aca="false">+IF(Tabla[[#This Row],[FECHA PAGO / ABONO]]&lt;1,0,(YEAR(Tabla[[#This Row],[FECHA PAGO / ABONO]])))</f>
        <v>2026</v>
      </c>
      <c r="AK641" s="41"/>
    </row>
    <row r="642" customFormat="false" ht="14.25" hidden="false" customHeight="false" outlineLevel="0" collapsed="false">
      <c r="A642" s="58" t="s">
        <v>318</v>
      </c>
      <c r="B642" s="21" t="s">
        <v>319</v>
      </c>
      <c r="C642" s="21" t="s">
        <v>69</v>
      </c>
      <c r="D642" s="21" t="n">
        <v>8697</v>
      </c>
      <c r="E642" s="43" t="str">
        <f aca="false">+CONCATENATE(Tabla[[#This Row],[RUT]],Tabla[[#This Row],[PROVEEDOR]],Tabla[[#This Row],[FACTURA]])</f>
        <v>76877046-8PUBLICIDAD VIA PUBLICA CHILE SPA8697</v>
      </c>
      <c r="F642" s="30" t="n">
        <v>46141</v>
      </c>
      <c r="G642" s="31" t="n">
        <f aca="false">+F642+30</f>
        <v>46171</v>
      </c>
      <c r="H642" s="29" t="n">
        <f aca="true">+IF(AE642="PAGADA",0,TODAY()-G642)</f>
        <v>0</v>
      </c>
      <c r="I642" s="29" t="str">
        <f aca="false">+IF(H642&gt;180,"Atrasada",IF(H642&gt;150,"150 dias",IF(H642&gt;120,"120 dias",IF(H642&gt;90,"90 dias",IF(H642&gt;60,"60 dias",IF(H642&gt;30,"30 dias","Al Día"))))))</f>
        <v>Al Día</v>
      </c>
      <c r="J642" s="59" t="s">
        <v>80</v>
      </c>
      <c r="K642" s="60" t="s">
        <v>81</v>
      </c>
      <c r="L642" s="61" t="s">
        <v>309</v>
      </c>
      <c r="M642" s="29" t="n">
        <f aca="false">+YEAR(F642)</f>
        <v>2026</v>
      </c>
      <c r="N642" s="62" t="n">
        <v>2026</v>
      </c>
      <c r="O642" s="63" t="n">
        <v>5</v>
      </c>
      <c r="P642" s="29" t="str">
        <f aca="false">+CONCATENATE(Tabla[[#This Row],[MES CAMPAÑA]],"/",Tabla[[#This Row],[AÑO CAMPAÑA]])</f>
        <v>5/2026</v>
      </c>
      <c r="Q642" s="60" t="s">
        <v>105</v>
      </c>
      <c r="R642" s="29"/>
      <c r="S642" s="64" t="n">
        <v>0</v>
      </c>
      <c r="T642" s="64" t="n">
        <v>128000</v>
      </c>
      <c r="U642" s="64" t="n">
        <v>24320</v>
      </c>
      <c r="V642" s="29"/>
      <c r="W642" s="24" t="n">
        <v>152320</v>
      </c>
      <c r="X642" s="36" t="n">
        <f aca="false">+Tabla[[#This Row],[TOTAL]]</f>
        <v>152320</v>
      </c>
      <c r="Y642" s="37"/>
      <c r="Z642" s="37"/>
      <c r="AA642" s="37"/>
      <c r="AB642" s="38" t="n">
        <f aca="false">+W642-AC642</f>
        <v>0</v>
      </c>
      <c r="AC642" s="34" t="n">
        <f aca="false">+Tabla[[#This Row],[P4]]+Tabla[[#This Row],[P3]]+Tabla[[#This Row],[P2]]+Tabla[[#This Row],[P1]]</f>
        <v>152320</v>
      </c>
      <c r="AD642" s="34" t="n">
        <f aca="false">+W642-AC642</f>
        <v>0</v>
      </c>
      <c r="AE642" s="21" t="str">
        <f aca="false">IF(AB642&lt;1,"PAGADA","PENDIENTE")</f>
        <v>PAGADA</v>
      </c>
      <c r="AF642" s="21"/>
      <c r="AG642" s="29" t="s">
        <v>77</v>
      </c>
      <c r="AH642" s="39" t="n">
        <v>46142</v>
      </c>
      <c r="AI642" s="40" t="n">
        <f aca="false">+IF(Tabla[[#This Row],[FECHA PAGO / ABONO]]&lt;1,0,(MONTH(Tabla[[#This Row],[FECHA PAGO / ABONO]])))</f>
        <v>4</v>
      </c>
      <c r="AJ642" s="40" t="n">
        <f aca="false">+IF(Tabla[[#This Row],[FECHA PAGO / ABONO]]&lt;1,0,(YEAR(Tabla[[#This Row],[FECHA PAGO / ABONO]])))</f>
        <v>2026</v>
      </c>
      <c r="AK642" s="41"/>
    </row>
    <row r="643" customFormat="false" ht="14.25" hidden="false" customHeight="false" outlineLevel="0" collapsed="false">
      <c r="A643" s="58" t="s">
        <v>318</v>
      </c>
      <c r="B643" s="21" t="s">
        <v>319</v>
      </c>
      <c r="C643" s="21" t="s">
        <v>69</v>
      </c>
      <c r="D643" s="21" t="n">
        <v>8698</v>
      </c>
      <c r="E643" s="43" t="str">
        <f aca="false">+CONCATENATE(Tabla[[#This Row],[RUT]],Tabla[[#This Row],[PROVEEDOR]],Tabla[[#This Row],[FACTURA]])</f>
        <v>76877046-8PUBLICIDAD VIA PUBLICA CHILE SPA8698</v>
      </c>
      <c r="F643" s="30" t="n">
        <v>46141</v>
      </c>
      <c r="G643" s="31" t="n">
        <f aca="false">+F643+30</f>
        <v>46171</v>
      </c>
      <c r="H643" s="29" t="n">
        <f aca="true">+IF(AE643="PAGADA",0,TODAY()-G643)</f>
        <v>0</v>
      </c>
      <c r="I643" s="29" t="str">
        <f aca="false">+IF(H643&gt;180,"Atrasada",IF(H643&gt;150,"150 dias",IF(H643&gt;120,"120 dias",IF(H643&gt;90,"90 dias",IF(H643&gt;60,"60 dias",IF(H643&gt;30,"30 dias","Al Día"))))))</f>
        <v>Al Día</v>
      </c>
      <c r="J643" s="59" t="s">
        <v>80</v>
      </c>
      <c r="K643" s="60" t="s">
        <v>81</v>
      </c>
      <c r="L643" s="61" t="s">
        <v>309</v>
      </c>
      <c r="M643" s="29" t="n">
        <f aca="false">+YEAR(F643)</f>
        <v>2026</v>
      </c>
      <c r="N643" s="62" t="n">
        <v>2026</v>
      </c>
      <c r="O643" s="63" t="n">
        <v>5</v>
      </c>
      <c r="P643" s="29" t="str">
        <f aca="false">+CONCATENATE(Tabla[[#This Row],[MES CAMPAÑA]],"/",Tabla[[#This Row],[AÑO CAMPAÑA]])</f>
        <v>5/2026</v>
      </c>
      <c r="Q643" s="60" t="s">
        <v>105</v>
      </c>
      <c r="R643" s="29"/>
      <c r="S643" s="64" t="n">
        <v>0</v>
      </c>
      <c r="T643" s="64" t="n">
        <v>70000</v>
      </c>
      <c r="U643" s="64" t="n">
        <v>13300</v>
      </c>
      <c r="V643" s="29"/>
      <c r="W643" s="24" t="n">
        <v>83300</v>
      </c>
      <c r="X643" s="36" t="n">
        <f aca="false">+Tabla[[#This Row],[TOTAL]]</f>
        <v>83300</v>
      </c>
      <c r="Y643" s="37"/>
      <c r="Z643" s="37"/>
      <c r="AA643" s="37"/>
      <c r="AB643" s="38" t="n">
        <f aca="false">+W643-AC643</f>
        <v>0</v>
      </c>
      <c r="AC643" s="34" t="n">
        <f aca="false">+Tabla[[#This Row],[P4]]+Tabla[[#This Row],[P3]]+Tabla[[#This Row],[P2]]+Tabla[[#This Row],[P1]]</f>
        <v>83300</v>
      </c>
      <c r="AD643" s="34" t="n">
        <f aca="false">+W643-AC643</f>
        <v>0</v>
      </c>
      <c r="AE643" s="21" t="str">
        <f aca="false">IF(AB643&lt;1,"PAGADA","PENDIENTE")</f>
        <v>PAGADA</v>
      </c>
      <c r="AF643" s="21"/>
      <c r="AG643" s="29" t="s">
        <v>77</v>
      </c>
      <c r="AH643" s="39" t="n">
        <v>46142</v>
      </c>
      <c r="AI643" s="40" t="n">
        <f aca="false">+IF(Tabla[[#This Row],[FECHA PAGO / ABONO]]&lt;1,0,(MONTH(Tabla[[#This Row],[FECHA PAGO / ABONO]])))</f>
        <v>4</v>
      </c>
      <c r="AJ643" s="40" t="n">
        <f aca="false">+IF(Tabla[[#This Row],[FECHA PAGO / ABONO]]&lt;1,0,(YEAR(Tabla[[#This Row],[FECHA PAGO / ABONO]])))</f>
        <v>2026</v>
      </c>
      <c r="AK643" s="41"/>
    </row>
    <row r="644" customFormat="false" ht="14.25" hidden="false" customHeight="false" outlineLevel="0" collapsed="false">
      <c r="A644" s="58" t="s">
        <v>320</v>
      </c>
      <c r="B644" s="21" t="s">
        <v>321</v>
      </c>
      <c r="C644" s="21" t="s">
        <v>69</v>
      </c>
      <c r="D644" s="21" t="n">
        <v>97</v>
      </c>
      <c r="E644" s="43" t="str">
        <f aca="false">+CONCATENATE(Tabla[[#This Row],[RUT]],Tabla[[#This Row],[PROVEEDOR]],Tabla[[#This Row],[FACTURA]])</f>
        <v>77765116-1Atera Media Group SPA97</v>
      </c>
      <c r="F644" s="30" t="n">
        <v>46141</v>
      </c>
      <c r="G644" s="31" t="n">
        <f aca="false">+F644+30</f>
        <v>46171</v>
      </c>
      <c r="H644" s="29" t="n">
        <f aca="true">+IF(AE644="PAGADA",0,TODAY()-G644)</f>
        <v>33</v>
      </c>
      <c r="I644" s="29" t="str">
        <f aca="false">+IF(H644&gt;180,"Atrasada",IF(H644&gt;150,"150 dias",IF(H644&gt;120,"120 dias",IF(H644&gt;90,"90 dias",IF(H644&gt;60,"60 dias",IF(H644&gt;30,"30 dias","Al Día"))))))</f>
        <v>30 dias</v>
      </c>
      <c r="J644" s="59" t="s">
        <v>80</v>
      </c>
      <c r="K644" s="60" t="s">
        <v>81</v>
      </c>
      <c r="L644" s="61" t="s">
        <v>309</v>
      </c>
      <c r="M644" s="29" t="n">
        <f aca="false">+YEAR(F644)</f>
        <v>2026</v>
      </c>
      <c r="N644" s="62" t="n">
        <v>2026</v>
      </c>
      <c r="O644" s="63" t="n">
        <v>1</v>
      </c>
      <c r="P644" s="29" t="str">
        <f aca="false">+CONCATENATE(Tabla[[#This Row],[MES CAMPAÑA]],"/",Tabla[[#This Row],[AÑO CAMPAÑA]])</f>
        <v>1/2026</v>
      </c>
      <c r="Q644" s="60" t="s">
        <v>322</v>
      </c>
      <c r="R644" s="29"/>
      <c r="S644" s="64" t="n">
        <v>0</v>
      </c>
      <c r="T644" s="64" t="n">
        <v>229183</v>
      </c>
      <c r="U644" s="64" t="n">
        <v>43545</v>
      </c>
      <c r="V644" s="29"/>
      <c r="W644" s="24" t="n">
        <v>272728</v>
      </c>
      <c r="X644" s="36"/>
      <c r="Y644" s="37"/>
      <c r="Z644" s="37"/>
      <c r="AA644" s="37"/>
      <c r="AB644" s="38" t="n">
        <f aca="false">+W644-AC644</f>
        <v>272728</v>
      </c>
      <c r="AC644" s="34" t="n">
        <f aca="false">+Tabla[[#This Row],[P4]]+Tabla[[#This Row],[P3]]+Tabla[[#This Row],[P2]]+Tabla[[#This Row],[P1]]</f>
        <v>0</v>
      </c>
      <c r="AD644" s="34" t="n">
        <f aca="false">+W644-AC644</f>
        <v>272728</v>
      </c>
      <c r="AE644" s="21" t="str">
        <f aca="false">IF(AB644&lt;1,"PAGADA","PENDIENTE")</f>
        <v>PENDIENTE</v>
      </c>
      <c r="AF644" s="21"/>
      <c r="AG644" s="29"/>
      <c r="AH644" s="40"/>
      <c r="AI644" s="40" t="n">
        <f aca="false">+IF(Tabla[[#This Row],[FECHA PAGO / ABONO]]&lt;1,0,(MONTH(Tabla[[#This Row],[FECHA PAGO / ABONO]])))</f>
        <v>0</v>
      </c>
      <c r="AJ644" s="40" t="n">
        <f aca="false">+IF(Tabla[[#This Row],[FECHA PAGO / ABONO]]&lt;1,0,(YEAR(Tabla[[#This Row],[FECHA PAGO / ABONO]])))</f>
        <v>0</v>
      </c>
      <c r="AK644" s="41"/>
    </row>
    <row r="645" customFormat="false" ht="14.25" hidden="false" customHeight="false" outlineLevel="0" collapsed="false">
      <c r="A645" s="58" t="s">
        <v>320</v>
      </c>
      <c r="B645" s="21" t="s">
        <v>321</v>
      </c>
      <c r="C645" s="21" t="s">
        <v>69</v>
      </c>
      <c r="D645" s="21" t="n">
        <v>98</v>
      </c>
      <c r="E645" s="43" t="str">
        <f aca="false">+CONCATENATE(Tabla[[#This Row],[RUT]],Tabla[[#This Row],[PROVEEDOR]],Tabla[[#This Row],[FACTURA]])</f>
        <v>77765116-1Atera Media Group SPA98</v>
      </c>
      <c r="F645" s="30" t="n">
        <v>46141</v>
      </c>
      <c r="G645" s="31" t="n">
        <f aca="false">+F645+30</f>
        <v>46171</v>
      </c>
      <c r="H645" s="29" t="n">
        <f aca="true">+IF(AE645="PAGADA",0,TODAY()-G645)</f>
        <v>33</v>
      </c>
      <c r="I645" s="29" t="str">
        <f aca="false">+IF(H645&gt;180,"Atrasada",IF(H645&gt;150,"150 dias",IF(H645&gt;120,"120 dias",IF(H645&gt;90,"90 dias",IF(H645&gt;60,"60 dias",IF(H645&gt;30,"30 dias","Al Día"))))))</f>
        <v>30 dias</v>
      </c>
      <c r="J645" s="59" t="s">
        <v>80</v>
      </c>
      <c r="K645" s="60" t="s">
        <v>81</v>
      </c>
      <c r="L645" s="61" t="s">
        <v>309</v>
      </c>
      <c r="M645" s="29" t="n">
        <f aca="false">+YEAR(F645)</f>
        <v>2026</v>
      </c>
      <c r="N645" s="62" t="n">
        <v>2026</v>
      </c>
      <c r="O645" s="63" t="n">
        <v>2</v>
      </c>
      <c r="P645" s="29" t="str">
        <f aca="false">+CONCATENATE(Tabla[[#This Row],[MES CAMPAÑA]],"/",Tabla[[#This Row],[AÑO CAMPAÑA]])</f>
        <v>2/2026</v>
      </c>
      <c r="Q645" s="60" t="s">
        <v>322</v>
      </c>
      <c r="R645" s="29"/>
      <c r="S645" s="64" t="n">
        <v>0</v>
      </c>
      <c r="T645" s="64" t="n">
        <v>1451490</v>
      </c>
      <c r="U645" s="64" t="n">
        <v>275783</v>
      </c>
      <c r="V645" s="29"/>
      <c r="W645" s="24" t="n">
        <v>1727273</v>
      </c>
      <c r="X645" s="36"/>
      <c r="Y645" s="37"/>
      <c r="Z645" s="37"/>
      <c r="AA645" s="37"/>
      <c r="AB645" s="38" t="n">
        <f aca="false">+W645-AC645</f>
        <v>1727273</v>
      </c>
      <c r="AC645" s="34" t="n">
        <f aca="false">+Tabla[[#This Row],[P4]]+Tabla[[#This Row],[P3]]+Tabla[[#This Row],[P2]]+Tabla[[#This Row],[P1]]</f>
        <v>0</v>
      </c>
      <c r="AD645" s="34" t="n">
        <f aca="false">+W645-AC645</f>
        <v>1727273</v>
      </c>
      <c r="AE645" s="21" t="str">
        <f aca="false">IF(AB645&lt;1,"PAGADA","PENDIENTE")</f>
        <v>PENDIENTE</v>
      </c>
      <c r="AF645" s="21"/>
      <c r="AG645" s="29"/>
      <c r="AH645" s="40"/>
      <c r="AI645" s="40" t="n">
        <f aca="false">+IF(Tabla[[#This Row],[FECHA PAGO / ABONO]]&lt;1,0,(MONTH(Tabla[[#This Row],[FECHA PAGO / ABONO]])))</f>
        <v>0</v>
      </c>
      <c r="AJ645" s="40" t="n">
        <f aca="false">+IF(Tabla[[#This Row],[FECHA PAGO / ABONO]]&lt;1,0,(YEAR(Tabla[[#This Row],[FECHA PAGO / ABONO]])))</f>
        <v>0</v>
      </c>
      <c r="AK645" s="41"/>
    </row>
    <row r="646" customFormat="false" ht="14.25" hidden="false" customHeight="false" outlineLevel="0" collapsed="false">
      <c r="A646" s="58" t="s">
        <v>242</v>
      </c>
      <c r="B646" s="21" t="s">
        <v>243</v>
      </c>
      <c r="C646" s="21" t="s">
        <v>69</v>
      </c>
      <c r="D646" s="21" t="n">
        <v>15734686</v>
      </c>
      <c r="E646" s="43" t="str">
        <f aca="false">+CONCATENATE(Tabla[[#This Row],[RUT]],Tabla[[#This Row],[PROVEEDOR]],Tabla[[#This Row],[FACTURA]])</f>
        <v>90193000-7Empresa El Mercurio S.A.P.15734686</v>
      </c>
      <c r="F646" s="30" t="n">
        <v>46141</v>
      </c>
      <c r="G646" s="31" t="n">
        <f aca="false">+F646+30</f>
        <v>46171</v>
      </c>
      <c r="H646" s="29" t="n">
        <f aca="true">+IF(AE646="PAGADA",0,TODAY()-G646)</f>
        <v>33</v>
      </c>
      <c r="I646" s="29" t="str">
        <f aca="false">+IF(H646&gt;180,"Atrasada",IF(H646&gt;150,"150 dias",IF(H646&gt;120,"120 dias",IF(H646&gt;90,"90 dias",IF(H646&gt;60,"60 dias",IF(H646&gt;30,"30 dias","Al Día"))))))</f>
        <v>30 dias</v>
      </c>
      <c r="J646" s="59" t="s">
        <v>80</v>
      </c>
      <c r="K646" s="60" t="s">
        <v>81</v>
      </c>
      <c r="L646" s="61" t="s">
        <v>309</v>
      </c>
      <c r="M646" s="29" t="n">
        <f aca="false">+YEAR(F646)</f>
        <v>2026</v>
      </c>
      <c r="N646" s="62" t="n">
        <v>2026</v>
      </c>
      <c r="O646" s="63" t="n">
        <v>3</v>
      </c>
      <c r="P646" s="29" t="str">
        <f aca="false">+CONCATENATE(Tabla[[#This Row],[MES CAMPAÑA]],"/",Tabla[[#This Row],[AÑO CAMPAÑA]])</f>
        <v>3/2026</v>
      </c>
      <c r="Q646" s="60" t="s">
        <v>265</v>
      </c>
      <c r="R646" s="29"/>
      <c r="S646" s="64" t="n">
        <v>0</v>
      </c>
      <c r="T646" s="64" t="n">
        <v>2600000</v>
      </c>
      <c r="U646" s="64" t="n">
        <v>494000</v>
      </c>
      <c r="V646" s="29"/>
      <c r="W646" s="24" t="n">
        <v>3094000</v>
      </c>
      <c r="X646" s="36"/>
      <c r="Y646" s="37"/>
      <c r="Z646" s="37"/>
      <c r="AA646" s="37"/>
      <c r="AB646" s="38" t="n">
        <f aca="false">+W646-AC646</f>
        <v>3094000</v>
      </c>
      <c r="AC646" s="34" t="n">
        <f aca="false">+Tabla[[#This Row],[P4]]+Tabla[[#This Row],[P3]]+Tabla[[#This Row],[P2]]+Tabla[[#This Row],[P1]]</f>
        <v>0</v>
      </c>
      <c r="AD646" s="34" t="n">
        <f aca="false">+W646-AC646</f>
        <v>3094000</v>
      </c>
      <c r="AE646" s="21" t="str">
        <f aca="false">IF(AB646&lt;1,"PAGADA","PENDIENTE")</f>
        <v>PENDIENTE</v>
      </c>
      <c r="AF646" s="21" t="s">
        <v>251</v>
      </c>
      <c r="AG646" s="29"/>
      <c r="AH646" s="40"/>
      <c r="AI646" s="40" t="n">
        <f aca="false">+IF(Tabla[[#This Row],[FECHA PAGO / ABONO]]&lt;1,0,(MONTH(Tabla[[#This Row],[FECHA PAGO / ABONO]])))</f>
        <v>0</v>
      </c>
      <c r="AJ646" s="40" t="n">
        <f aca="false">+IF(Tabla[[#This Row],[FECHA PAGO / ABONO]]&lt;1,0,(YEAR(Tabla[[#This Row],[FECHA PAGO / ABONO]])))</f>
        <v>0</v>
      </c>
      <c r="AK646" s="41"/>
    </row>
    <row r="647" customFormat="false" ht="14.25" hidden="false" customHeight="false" outlineLevel="0" collapsed="false">
      <c r="A647" s="58" t="s">
        <v>320</v>
      </c>
      <c r="B647" s="21" t="s">
        <v>321</v>
      </c>
      <c r="C647" s="21" t="s">
        <v>69</v>
      </c>
      <c r="D647" s="21" t="n">
        <v>99</v>
      </c>
      <c r="E647" s="43" t="str">
        <f aca="false">+CONCATENATE(Tabla[[#This Row],[RUT]],Tabla[[#This Row],[PROVEEDOR]],Tabla[[#This Row],[FACTURA]])</f>
        <v>77765116-1Atera Media Group SPA99</v>
      </c>
      <c r="F647" s="30" t="n">
        <v>46141</v>
      </c>
      <c r="G647" s="31" t="n">
        <f aca="false">+F647+30</f>
        <v>46171</v>
      </c>
      <c r="H647" s="29" t="n">
        <f aca="true">+IF(AE647="PAGADA",0,TODAY()-G647)</f>
        <v>0</v>
      </c>
      <c r="I647" s="29" t="str">
        <f aca="false">+IF(H647&gt;180,"Atrasada",IF(H647&gt;150,"150 dias",IF(H647&gt;120,"120 dias",IF(H647&gt;90,"90 dias",IF(H647&gt;60,"60 dias",IF(H647&gt;30,"30 dias","Al Día"))))))</f>
        <v>Al Día</v>
      </c>
      <c r="J647" s="59" t="s">
        <v>80</v>
      </c>
      <c r="K647" s="60" t="s">
        <v>124</v>
      </c>
      <c r="L647" s="61" t="s">
        <v>309</v>
      </c>
      <c r="M647" s="29" t="n">
        <f aca="false">+YEAR(F647)</f>
        <v>2026</v>
      </c>
      <c r="N647" s="62" t="n">
        <v>2026</v>
      </c>
      <c r="O647" s="63" t="n">
        <v>2</v>
      </c>
      <c r="P647" s="29" t="str">
        <f aca="false">+CONCATENATE(Tabla[[#This Row],[MES CAMPAÑA]],"/",Tabla[[#This Row],[AÑO CAMPAÑA]])</f>
        <v>2/2026</v>
      </c>
      <c r="Q647" s="60" t="s">
        <v>322</v>
      </c>
      <c r="R647" s="29"/>
      <c r="S647" s="64" t="n">
        <v>0</v>
      </c>
      <c r="T647" s="64" t="n">
        <v>1451490</v>
      </c>
      <c r="U647" s="64" t="n">
        <v>275783</v>
      </c>
      <c r="V647" s="29"/>
      <c r="W647" s="24" t="n">
        <v>1727273</v>
      </c>
      <c r="X647" s="36" t="n">
        <f aca="false">+Tabla[[#This Row],[TOTAL]]</f>
        <v>1727273</v>
      </c>
      <c r="Y647" s="37"/>
      <c r="Z647" s="37"/>
      <c r="AA647" s="37"/>
      <c r="AB647" s="38" t="n">
        <f aca="false">+W647-AC647</f>
        <v>0</v>
      </c>
      <c r="AC647" s="34" t="n">
        <f aca="false">+Tabla[[#This Row],[P4]]+Tabla[[#This Row],[P3]]+Tabla[[#This Row],[P2]]+Tabla[[#This Row],[P1]]</f>
        <v>1727273</v>
      </c>
      <c r="AD647" s="34" t="n">
        <f aca="false">+W647-AC647</f>
        <v>0</v>
      </c>
      <c r="AE647" s="21" t="str">
        <f aca="false">IF(AB647&lt;1,"PAGADA","PENDIENTE")</f>
        <v>PAGADA</v>
      </c>
      <c r="AF647" s="21"/>
      <c r="AG647" s="29" t="str">
        <f aca="false">+Tabla[[#This Row],[ESTADO]]</f>
        <v>NULA</v>
      </c>
      <c r="AH647" s="40"/>
      <c r="AI647" s="40" t="n">
        <f aca="false">+IF(Tabla[[#This Row],[FECHA PAGO / ABONO]]&lt;1,0,(MONTH(Tabla[[#This Row],[FECHA PAGO / ABONO]])))</f>
        <v>0</v>
      </c>
      <c r="AJ647" s="40" t="n">
        <f aca="false">+IF(Tabla[[#This Row],[FECHA PAGO / ABONO]]&lt;1,0,(YEAR(Tabla[[#This Row],[FECHA PAGO / ABONO]])))</f>
        <v>0</v>
      </c>
      <c r="AK647" s="41"/>
    </row>
    <row r="648" customFormat="false" ht="14.25" hidden="false" customHeight="false" outlineLevel="0" collapsed="false">
      <c r="A648" s="58" t="s">
        <v>320</v>
      </c>
      <c r="B648" s="21" t="s">
        <v>321</v>
      </c>
      <c r="C648" s="21" t="s">
        <v>125</v>
      </c>
      <c r="D648" s="21" t="n">
        <v>11</v>
      </c>
      <c r="E648" s="43" t="str">
        <f aca="false">+CONCATENATE(Tabla[[#This Row],[RUT]],Tabla[[#This Row],[PROVEEDOR]],Tabla[[#This Row],[FACTURA]])</f>
        <v>77765116-1Atera Media Group SPA11</v>
      </c>
      <c r="F648" s="30" t="n">
        <v>46141</v>
      </c>
      <c r="G648" s="31" t="n">
        <f aca="false">+F648+30</f>
        <v>46171</v>
      </c>
      <c r="H648" s="29" t="n">
        <f aca="true">+IF(AE648="PAGADA",0,TODAY()-G648)</f>
        <v>0</v>
      </c>
      <c r="I648" s="29" t="str">
        <f aca="false">+IF(H648&gt;180,"Atrasada",IF(H648&gt;150,"150 dias",IF(H648&gt;120,"120 dias",IF(H648&gt;90,"90 dias",IF(H648&gt;60,"60 dias",IF(H648&gt;30,"30 dias","Al Día"))))))</f>
        <v>Al Día</v>
      </c>
      <c r="J648" s="59" t="s">
        <v>80</v>
      </c>
      <c r="K648" s="60" t="s">
        <v>126</v>
      </c>
      <c r="L648" s="61" t="s">
        <v>309</v>
      </c>
      <c r="M648" s="29" t="n">
        <f aca="false">+YEAR(F648)</f>
        <v>2026</v>
      </c>
      <c r="N648" s="62" t="n">
        <v>2026</v>
      </c>
      <c r="O648" s="63" t="n">
        <v>3</v>
      </c>
      <c r="P648" s="29" t="str">
        <f aca="false">+CONCATENATE(Tabla[[#This Row],[MES CAMPAÑA]],"/",Tabla[[#This Row],[AÑO CAMPAÑA]])</f>
        <v>3/2026</v>
      </c>
      <c r="Q648" s="60" t="s">
        <v>322</v>
      </c>
      <c r="R648" s="29"/>
      <c r="S648" s="64" t="n">
        <v>0</v>
      </c>
      <c r="T648" s="64" t="n">
        <v>1451490</v>
      </c>
      <c r="U648" s="64" t="n">
        <v>275783</v>
      </c>
      <c r="V648" s="29"/>
      <c r="W648" s="24" t="n">
        <v>1727273</v>
      </c>
      <c r="X648" s="36" t="n">
        <f aca="false">+Tabla[[#This Row],[NETO]]</f>
        <v>1451490</v>
      </c>
      <c r="Y648" s="37"/>
      <c r="Z648" s="37"/>
      <c r="AA648" s="37"/>
      <c r="AB648" s="38" t="n">
        <f aca="false">+W648-AC648</f>
        <v>275783</v>
      </c>
      <c r="AC648" s="34" t="n">
        <f aca="false">+Tabla[[#This Row],[P4]]+Tabla[[#This Row],[P3]]+Tabla[[#This Row],[P2]]+Tabla[[#This Row],[P1]]</f>
        <v>1451490</v>
      </c>
      <c r="AD648" s="34" t="n">
        <f aca="false">+W648-AC648</f>
        <v>275783</v>
      </c>
      <c r="AE648" s="21" t="s">
        <v>245</v>
      </c>
      <c r="AF648" s="21"/>
      <c r="AG648" s="29" t="str">
        <f aca="false">+Tabla[[#This Row],[ESTADO]]</f>
        <v>ANULA</v>
      </c>
      <c r="AH648" s="40"/>
      <c r="AI648" s="40" t="n">
        <f aca="false">+IF(Tabla[[#This Row],[FECHA PAGO / ABONO]]&lt;1,0,(MONTH(Tabla[[#This Row],[FECHA PAGO / ABONO]])))</f>
        <v>0</v>
      </c>
      <c r="AJ648" s="40" t="n">
        <f aca="false">+IF(Tabla[[#This Row],[FECHA PAGO / ABONO]]&lt;1,0,(YEAR(Tabla[[#This Row],[FECHA PAGO / ABONO]])))</f>
        <v>0</v>
      </c>
      <c r="AK648" s="41"/>
    </row>
    <row r="649" customFormat="false" ht="14.25" hidden="false" customHeight="false" outlineLevel="0" collapsed="false">
      <c r="A649" s="58" t="s">
        <v>234</v>
      </c>
      <c r="B649" s="21" t="s">
        <v>235</v>
      </c>
      <c r="C649" s="21" t="s">
        <v>69</v>
      </c>
      <c r="D649" s="21" t="n">
        <v>36062</v>
      </c>
      <c r="E649" s="43" t="str">
        <f aca="false">+CONCATENATE(Tabla[[#This Row],[RUT]],Tabla[[#This Row],[PROVEEDOR]],Tabla[[#This Row],[FACTURA]])</f>
        <v>77022910-3MASSIVA  S.A.36062</v>
      </c>
      <c r="F649" s="30" t="n">
        <v>46141</v>
      </c>
      <c r="G649" s="31" t="n">
        <f aca="false">+F649+30</f>
        <v>46171</v>
      </c>
      <c r="H649" s="29" t="n">
        <f aca="true">+IF(AE649="PAGADA",0,TODAY()-G649)</f>
        <v>33</v>
      </c>
      <c r="I649" s="29" t="str">
        <f aca="false">+IF(H649&gt;180,"Atrasada",IF(H649&gt;150,"150 dias",IF(H649&gt;120,"120 dias",IF(H649&gt;90,"90 dias",IF(H649&gt;60,"60 dias",IF(H649&gt;30,"30 dias","Al Día"))))))</f>
        <v>30 dias</v>
      </c>
      <c r="J649" s="59" t="s">
        <v>80</v>
      </c>
      <c r="K649" s="60" t="s">
        <v>81</v>
      </c>
      <c r="L649" s="61" t="s">
        <v>309</v>
      </c>
      <c r="M649" s="29" t="n">
        <f aca="false">+YEAR(F649)</f>
        <v>2026</v>
      </c>
      <c r="N649" s="62" t="n">
        <v>2026</v>
      </c>
      <c r="O649" s="63" t="n">
        <v>3</v>
      </c>
      <c r="P649" s="29" t="str">
        <f aca="false">+CONCATENATE(Tabla[[#This Row],[MES CAMPAÑA]],"/",Tabla[[#This Row],[AÑO CAMPAÑA]])</f>
        <v>3/2026</v>
      </c>
      <c r="Q649" s="60" t="s">
        <v>123</v>
      </c>
      <c r="R649" s="29"/>
      <c r="S649" s="64" t="n">
        <v>0</v>
      </c>
      <c r="T649" s="64" t="n">
        <v>338168</v>
      </c>
      <c r="U649" s="64" t="n">
        <v>64252</v>
      </c>
      <c r="V649" s="29"/>
      <c r="W649" s="24" t="n">
        <v>402420</v>
      </c>
      <c r="X649" s="36"/>
      <c r="Y649" s="37"/>
      <c r="Z649" s="37"/>
      <c r="AA649" s="37"/>
      <c r="AB649" s="38" t="n">
        <f aca="false">+W649-AC649</f>
        <v>402420</v>
      </c>
      <c r="AC649" s="34" t="n">
        <f aca="false">+Tabla[[#This Row],[P4]]+Tabla[[#This Row],[P3]]+Tabla[[#This Row],[P2]]+Tabla[[#This Row],[P1]]</f>
        <v>0</v>
      </c>
      <c r="AD649" s="34" t="n">
        <f aca="false">+W649-AC649</f>
        <v>402420</v>
      </c>
      <c r="AE649" s="21" t="str">
        <f aca="false">IF(AB649&lt;1,"PAGADA","PENDIENTE")</f>
        <v>PENDIENTE</v>
      </c>
      <c r="AF649" s="21"/>
      <c r="AG649" s="29"/>
      <c r="AH649" s="40"/>
      <c r="AI649" s="40" t="n">
        <f aca="false">+IF(Tabla[[#This Row],[FECHA PAGO / ABONO]]&lt;1,0,(MONTH(Tabla[[#This Row],[FECHA PAGO / ABONO]])))</f>
        <v>0</v>
      </c>
      <c r="AJ649" s="40" t="n">
        <f aca="false">+IF(Tabla[[#This Row],[FECHA PAGO / ABONO]]&lt;1,0,(YEAR(Tabla[[#This Row],[FECHA PAGO / ABONO]])))</f>
        <v>0</v>
      </c>
      <c r="AK649" s="41"/>
    </row>
    <row r="650" customFormat="false" ht="14.25" hidden="false" customHeight="false" outlineLevel="0" collapsed="false">
      <c r="A650" s="58" t="s">
        <v>234</v>
      </c>
      <c r="B650" s="21" t="s">
        <v>235</v>
      </c>
      <c r="C650" s="21" t="s">
        <v>69</v>
      </c>
      <c r="D650" s="21" t="n">
        <v>36063</v>
      </c>
      <c r="E650" s="43" t="str">
        <f aca="false">+CONCATENATE(Tabla[[#This Row],[RUT]],Tabla[[#This Row],[PROVEEDOR]],Tabla[[#This Row],[FACTURA]])</f>
        <v>77022910-3MASSIVA  S.A.36063</v>
      </c>
      <c r="F650" s="30" t="n">
        <v>46141</v>
      </c>
      <c r="G650" s="31" t="n">
        <f aca="false">+F650+30</f>
        <v>46171</v>
      </c>
      <c r="H650" s="29" t="n">
        <f aca="true">+IF(AE650="PAGADA",0,TODAY()-G650)</f>
        <v>33</v>
      </c>
      <c r="I650" s="29" t="str">
        <f aca="false">+IF(H650&gt;180,"Atrasada",IF(H650&gt;150,"150 dias",IF(H650&gt;120,"120 dias",IF(H650&gt;90,"90 dias",IF(H650&gt;60,"60 dias",IF(H650&gt;30,"30 dias","Al Día"))))))</f>
        <v>30 dias</v>
      </c>
      <c r="J650" s="59" t="s">
        <v>80</v>
      </c>
      <c r="K650" s="60" t="s">
        <v>81</v>
      </c>
      <c r="L650" s="61" t="s">
        <v>309</v>
      </c>
      <c r="M650" s="29" t="n">
        <f aca="false">+YEAR(F650)</f>
        <v>2026</v>
      </c>
      <c r="N650" s="62" t="n">
        <v>2026</v>
      </c>
      <c r="O650" s="63" t="n">
        <v>3</v>
      </c>
      <c r="P650" s="29" t="str">
        <f aca="false">+CONCATENATE(Tabla[[#This Row],[MES CAMPAÑA]],"/",Tabla[[#This Row],[AÑO CAMPAÑA]])</f>
        <v>3/2026</v>
      </c>
      <c r="Q650" s="60" t="s">
        <v>108</v>
      </c>
      <c r="R650" s="29"/>
      <c r="S650" s="64" t="n">
        <v>0</v>
      </c>
      <c r="T650" s="64" t="n">
        <v>4200281</v>
      </c>
      <c r="U650" s="64" t="n">
        <v>798053</v>
      </c>
      <c r="V650" s="29"/>
      <c r="W650" s="24" t="n">
        <v>4998334</v>
      </c>
      <c r="X650" s="36"/>
      <c r="Y650" s="37"/>
      <c r="Z650" s="37"/>
      <c r="AA650" s="37"/>
      <c r="AB650" s="38" t="n">
        <f aca="false">+W650-AC650</f>
        <v>4998334</v>
      </c>
      <c r="AC650" s="34" t="n">
        <f aca="false">+Tabla[[#This Row],[P4]]+Tabla[[#This Row],[P3]]+Tabla[[#This Row],[P2]]+Tabla[[#This Row],[P1]]</f>
        <v>0</v>
      </c>
      <c r="AD650" s="34" t="n">
        <f aca="false">+W650-AC650</f>
        <v>4998334</v>
      </c>
      <c r="AE650" s="21" t="str">
        <f aca="false">IF(AB650&lt;1,"PAGADA","PENDIENTE")</f>
        <v>PENDIENTE</v>
      </c>
      <c r="AF650" s="21"/>
      <c r="AG650" s="29"/>
      <c r="AH650" s="40"/>
      <c r="AI650" s="40" t="n">
        <f aca="false">+IF(Tabla[[#This Row],[FECHA PAGO / ABONO]]&lt;1,0,(MONTH(Tabla[[#This Row],[FECHA PAGO / ABONO]])))</f>
        <v>0</v>
      </c>
      <c r="AJ650" s="40" t="n">
        <f aca="false">+IF(Tabla[[#This Row],[FECHA PAGO / ABONO]]&lt;1,0,(YEAR(Tabla[[#This Row],[FECHA PAGO / ABONO]])))</f>
        <v>0</v>
      </c>
      <c r="AK650" s="41"/>
    </row>
    <row r="651" customFormat="false" ht="14.25" hidden="false" customHeight="false" outlineLevel="0" collapsed="false">
      <c r="A651" s="58" t="s">
        <v>234</v>
      </c>
      <c r="B651" s="21" t="s">
        <v>235</v>
      </c>
      <c r="C651" s="21" t="s">
        <v>69</v>
      </c>
      <c r="D651" s="21" t="n">
        <v>36064</v>
      </c>
      <c r="E651" s="43" t="str">
        <f aca="false">+CONCATENATE(Tabla[[#This Row],[RUT]],Tabla[[#This Row],[PROVEEDOR]],Tabla[[#This Row],[FACTURA]])</f>
        <v>77022910-3MASSIVA  S.A.36064</v>
      </c>
      <c r="F651" s="30" t="n">
        <v>46141</v>
      </c>
      <c r="G651" s="31" t="n">
        <f aca="false">+F651+30</f>
        <v>46171</v>
      </c>
      <c r="H651" s="29" t="n">
        <f aca="true">+IF(AE651="PAGADA",0,TODAY()-G651)</f>
        <v>33</v>
      </c>
      <c r="I651" s="29" t="str">
        <f aca="false">+IF(H651&gt;180,"Atrasada",IF(H651&gt;150,"150 dias",IF(H651&gt;120,"120 dias",IF(H651&gt;90,"90 dias",IF(H651&gt;60,"60 dias",IF(H651&gt;30,"30 dias","Al Día"))))))</f>
        <v>30 dias</v>
      </c>
      <c r="J651" s="59" t="s">
        <v>80</v>
      </c>
      <c r="K651" s="60" t="s">
        <v>81</v>
      </c>
      <c r="L651" s="61" t="s">
        <v>309</v>
      </c>
      <c r="M651" s="29" t="n">
        <f aca="false">+YEAR(F651)</f>
        <v>2026</v>
      </c>
      <c r="N651" s="62" t="n">
        <v>2026</v>
      </c>
      <c r="O651" s="63" t="n">
        <v>3</v>
      </c>
      <c r="P651" s="29" t="str">
        <f aca="false">+CONCATENATE(Tabla[[#This Row],[MES CAMPAÑA]],"/",Tabla[[#This Row],[AÑO CAMPAÑA]])</f>
        <v>3/2026</v>
      </c>
      <c r="Q651" s="60" t="s">
        <v>105</v>
      </c>
      <c r="R651" s="29"/>
      <c r="S651" s="64" t="n">
        <v>0</v>
      </c>
      <c r="T651" s="64" t="n">
        <v>1495507</v>
      </c>
      <c r="U651" s="64" t="n">
        <v>284146</v>
      </c>
      <c r="V651" s="29"/>
      <c r="W651" s="24" t="n">
        <v>1779653</v>
      </c>
      <c r="X651" s="36"/>
      <c r="Y651" s="37"/>
      <c r="Z651" s="37"/>
      <c r="AA651" s="37"/>
      <c r="AB651" s="38" t="n">
        <f aca="false">+W651-AC651</f>
        <v>1779653</v>
      </c>
      <c r="AC651" s="34" t="n">
        <f aca="false">+Tabla[[#This Row],[P4]]+Tabla[[#This Row],[P3]]+Tabla[[#This Row],[P2]]+Tabla[[#This Row],[P1]]</f>
        <v>0</v>
      </c>
      <c r="AD651" s="34" t="n">
        <f aca="false">+W651-AC651</f>
        <v>1779653</v>
      </c>
      <c r="AE651" s="21" t="str">
        <f aca="false">IF(AB651&lt;1,"PAGADA","PENDIENTE")</f>
        <v>PENDIENTE</v>
      </c>
      <c r="AF651" s="21"/>
      <c r="AG651" s="29"/>
      <c r="AH651" s="40"/>
      <c r="AI651" s="40" t="n">
        <f aca="false">+IF(Tabla[[#This Row],[FECHA PAGO / ABONO]]&lt;1,0,(MONTH(Tabla[[#This Row],[FECHA PAGO / ABONO]])))</f>
        <v>0</v>
      </c>
      <c r="AJ651" s="40" t="n">
        <f aca="false">+IF(Tabla[[#This Row],[FECHA PAGO / ABONO]]&lt;1,0,(YEAR(Tabla[[#This Row],[FECHA PAGO / ABONO]])))</f>
        <v>0</v>
      </c>
      <c r="AK651" s="41"/>
    </row>
    <row r="652" customFormat="false" ht="14.25" hidden="false" customHeight="false" outlineLevel="0" collapsed="false">
      <c r="A652" s="58" t="s">
        <v>234</v>
      </c>
      <c r="B652" s="21" t="s">
        <v>235</v>
      </c>
      <c r="C652" s="21" t="s">
        <v>69</v>
      </c>
      <c r="D652" s="21" t="n">
        <v>36065</v>
      </c>
      <c r="E652" s="43" t="str">
        <f aca="false">+CONCATENATE(Tabla[[#This Row],[RUT]],Tabla[[#This Row],[PROVEEDOR]],Tabla[[#This Row],[FACTURA]])</f>
        <v>77022910-3MASSIVA  S.A.36065</v>
      </c>
      <c r="F652" s="30" t="n">
        <v>46141</v>
      </c>
      <c r="G652" s="31" t="n">
        <f aca="false">+F652+30</f>
        <v>46171</v>
      </c>
      <c r="H652" s="29" t="n">
        <f aca="true">+IF(AE652="PAGADA",0,TODAY()-G652)</f>
        <v>33</v>
      </c>
      <c r="I652" s="29" t="str">
        <f aca="false">+IF(H652&gt;180,"Atrasada",IF(H652&gt;150,"150 dias",IF(H652&gt;120,"120 dias",IF(H652&gt;90,"90 dias",IF(H652&gt;60,"60 dias",IF(H652&gt;30,"30 dias","Al Día"))))))</f>
        <v>30 dias</v>
      </c>
      <c r="J652" s="59" t="s">
        <v>80</v>
      </c>
      <c r="K652" s="60" t="s">
        <v>81</v>
      </c>
      <c r="L652" s="61" t="s">
        <v>309</v>
      </c>
      <c r="M652" s="29" t="n">
        <f aca="false">+YEAR(F652)</f>
        <v>2026</v>
      </c>
      <c r="N652" s="62" t="n">
        <v>2026</v>
      </c>
      <c r="O652" s="63" t="n">
        <v>3</v>
      </c>
      <c r="P652" s="29" t="str">
        <f aca="false">+CONCATENATE(Tabla[[#This Row],[MES CAMPAÑA]],"/",Tabla[[#This Row],[AÑO CAMPAÑA]])</f>
        <v>3/2026</v>
      </c>
      <c r="Q652" s="60" t="s">
        <v>105</v>
      </c>
      <c r="R652" s="29"/>
      <c r="S652" s="64" t="n">
        <v>0</v>
      </c>
      <c r="T652" s="64" t="n">
        <v>2557840</v>
      </c>
      <c r="U652" s="64" t="n">
        <v>485990</v>
      </c>
      <c r="V652" s="29"/>
      <c r="W652" s="24" t="n">
        <v>3043830</v>
      </c>
      <c r="X652" s="36"/>
      <c r="Y652" s="37"/>
      <c r="Z652" s="37"/>
      <c r="AA652" s="37"/>
      <c r="AB652" s="38" t="n">
        <f aca="false">+W652-AC652</f>
        <v>3043830</v>
      </c>
      <c r="AC652" s="34" t="n">
        <f aca="false">+Tabla[[#This Row],[P4]]+Tabla[[#This Row],[P3]]+Tabla[[#This Row],[P2]]+Tabla[[#This Row],[P1]]</f>
        <v>0</v>
      </c>
      <c r="AD652" s="34" t="n">
        <f aca="false">+W652-AC652</f>
        <v>3043830</v>
      </c>
      <c r="AE652" s="21" t="str">
        <f aca="false">IF(AB652&lt;1,"PAGADA","PENDIENTE")</f>
        <v>PENDIENTE</v>
      </c>
      <c r="AF652" s="21"/>
      <c r="AG652" s="29"/>
      <c r="AH652" s="40"/>
      <c r="AI652" s="40" t="n">
        <f aca="false">+IF(Tabla[[#This Row],[FECHA PAGO / ABONO]]&lt;1,0,(MONTH(Tabla[[#This Row],[FECHA PAGO / ABONO]])))</f>
        <v>0</v>
      </c>
      <c r="AJ652" s="40" t="n">
        <f aca="false">+IF(Tabla[[#This Row],[FECHA PAGO / ABONO]]&lt;1,0,(YEAR(Tabla[[#This Row],[FECHA PAGO / ABONO]])))</f>
        <v>0</v>
      </c>
      <c r="AK652" s="41"/>
    </row>
    <row r="653" customFormat="false" ht="14.25" hidden="false" customHeight="false" outlineLevel="0" collapsed="false">
      <c r="A653" s="58" t="s">
        <v>242</v>
      </c>
      <c r="B653" s="21" t="s">
        <v>243</v>
      </c>
      <c r="C653" s="21" t="s">
        <v>69</v>
      </c>
      <c r="D653" s="21" t="n">
        <v>15734755</v>
      </c>
      <c r="E653" s="43" t="str">
        <f aca="false">+CONCATENATE(Tabla[[#This Row],[RUT]],Tabla[[#This Row],[PROVEEDOR]],Tabla[[#This Row],[FACTURA]])</f>
        <v>90193000-7Empresa El Mercurio S.A.P.15734755</v>
      </c>
      <c r="F653" s="30" t="n">
        <v>46141</v>
      </c>
      <c r="G653" s="31" t="n">
        <f aca="false">+F653+30</f>
        <v>46171</v>
      </c>
      <c r="H653" s="29" t="n">
        <f aca="true">+IF(AE653="PAGADA",0,TODAY()-G653)</f>
        <v>33</v>
      </c>
      <c r="I653" s="29" t="str">
        <f aca="false">+IF(H653&gt;180,"Atrasada",IF(H653&gt;150,"150 dias",IF(H653&gt;120,"120 dias",IF(H653&gt;90,"90 dias",IF(H653&gt;60,"60 dias",IF(H653&gt;30,"30 dias","Al Día"))))))</f>
        <v>30 dias</v>
      </c>
      <c r="J653" s="59" t="s">
        <v>80</v>
      </c>
      <c r="K653" s="60" t="s">
        <v>81</v>
      </c>
      <c r="L653" s="61" t="s">
        <v>309</v>
      </c>
      <c r="M653" s="29" t="n">
        <f aca="false">+YEAR(F653)</f>
        <v>2026</v>
      </c>
      <c r="N653" s="62" t="n">
        <v>2026</v>
      </c>
      <c r="O653" s="63" t="n">
        <v>3</v>
      </c>
      <c r="P653" s="29" t="str">
        <f aca="false">+CONCATENATE(Tabla[[#This Row],[MES CAMPAÑA]],"/",Tabla[[#This Row],[AÑO CAMPAÑA]])</f>
        <v>3/2026</v>
      </c>
      <c r="Q653" s="60" t="s">
        <v>265</v>
      </c>
      <c r="R653" s="29"/>
      <c r="S653" s="64" t="n">
        <v>0</v>
      </c>
      <c r="T653" s="64" t="n">
        <v>1750000</v>
      </c>
      <c r="U653" s="64" t="n">
        <v>332500</v>
      </c>
      <c r="V653" s="29"/>
      <c r="W653" s="24" t="n">
        <v>2082500</v>
      </c>
      <c r="X653" s="36"/>
      <c r="Y653" s="37"/>
      <c r="Z653" s="37"/>
      <c r="AA653" s="37"/>
      <c r="AB653" s="38" t="n">
        <f aca="false">+W653-AC653</f>
        <v>2082500</v>
      </c>
      <c r="AC653" s="34" t="n">
        <f aca="false">+Tabla[[#This Row],[P4]]+Tabla[[#This Row],[P3]]+Tabla[[#This Row],[P2]]+Tabla[[#This Row],[P1]]</f>
        <v>0</v>
      </c>
      <c r="AD653" s="34" t="n">
        <f aca="false">+W653-AC653</f>
        <v>2082500</v>
      </c>
      <c r="AE653" s="21" t="str">
        <f aca="false">IF(AB653&lt;1,"PAGADA","PENDIENTE")</f>
        <v>PENDIENTE</v>
      </c>
      <c r="AF653" s="21" t="s">
        <v>251</v>
      </c>
      <c r="AG653" s="29"/>
      <c r="AH653" s="40"/>
      <c r="AI653" s="40" t="n">
        <f aca="false">+IF(Tabla[[#This Row],[FECHA PAGO / ABONO]]&lt;1,0,(MONTH(Tabla[[#This Row],[FECHA PAGO / ABONO]])))</f>
        <v>0</v>
      </c>
      <c r="AJ653" s="40" t="n">
        <f aca="false">+IF(Tabla[[#This Row],[FECHA PAGO / ABONO]]&lt;1,0,(YEAR(Tabla[[#This Row],[FECHA PAGO / ABONO]])))</f>
        <v>0</v>
      </c>
      <c r="AK653" s="41"/>
    </row>
    <row r="654" customFormat="false" ht="14.25" hidden="false" customHeight="false" outlineLevel="0" collapsed="false">
      <c r="A654" s="58" t="s">
        <v>242</v>
      </c>
      <c r="B654" s="21" t="s">
        <v>243</v>
      </c>
      <c r="C654" s="21" t="s">
        <v>69</v>
      </c>
      <c r="D654" s="21" t="n">
        <v>15734756</v>
      </c>
      <c r="E654" s="43" t="str">
        <f aca="false">+CONCATENATE(Tabla[[#This Row],[RUT]],Tabla[[#This Row],[PROVEEDOR]],Tabla[[#This Row],[FACTURA]])</f>
        <v>90193000-7Empresa El Mercurio S.A.P.15734756</v>
      </c>
      <c r="F654" s="30" t="n">
        <v>46141</v>
      </c>
      <c r="G654" s="31" t="n">
        <f aca="false">+F654+30</f>
        <v>46171</v>
      </c>
      <c r="H654" s="29" t="n">
        <f aca="true">+IF(AE654="PAGADA",0,TODAY()-G654)</f>
        <v>33</v>
      </c>
      <c r="I654" s="29" t="str">
        <f aca="false">+IF(H654&gt;180,"Atrasada",IF(H654&gt;150,"150 dias",IF(H654&gt;120,"120 dias",IF(H654&gt;90,"90 dias",IF(H654&gt;60,"60 dias",IF(H654&gt;30,"30 dias","Al Día"))))))</f>
        <v>30 dias</v>
      </c>
      <c r="J654" s="59" t="s">
        <v>80</v>
      </c>
      <c r="K654" s="60" t="s">
        <v>81</v>
      </c>
      <c r="L654" s="61" t="s">
        <v>309</v>
      </c>
      <c r="M654" s="29" t="n">
        <f aca="false">+YEAR(F654)</f>
        <v>2026</v>
      </c>
      <c r="N654" s="62" t="n">
        <v>2026</v>
      </c>
      <c r="O654" s="63" t="n">
        <v>3</v>
      </c>
      <c r="P654" s="29" t="str">
        <f aca="false">+CONCATENATE(Tabla[[#This Row],[MES CAMPAÑA]],"/",Tabla[[#This Row],[AÑO CAMPAÑA]])</f>
        <v>3/2026</v>
      </c>
      <c r="Q654" s="60" t="s">
        <v>323</v>
      </c>
      <c r="R654" s="29"/>
      <c r="S654" s="64" t="n">
        <v>0</v>
      </c>
      <c r="T654" s="64" t="n">
        <v>6500000</v>
      </c>
      <c r="U654" s="64" t="n">
        <v>1235000</v>
      </c>
      <c r="V654" s="29"/>
      <c r="W654" s="24" t="n">
        <v>7735000</v>
      </c>
      <c r="X654" s="36"/>
      <c r="Y654" s="37"/>
      <c r="Z654" s="37"/>
      <c r="AA654" s="37"/>
      <c r="AB654" s="38" t="n">
        <f aca="false">+W654-AC654</f>
        <v>7735000</v>
      </c>
      <c r="AC654" s="34" t="n">
        <f aca="false">+Tabla[[#This Row],[P4]]+Tabla[[#This Row],[P3]]+Tabla[[#This Row],[P2]]+Tabla[[#This Row],[P1]]</f>
        <v>0</v>
      </c>
      <c r="AD654" s="34" t="n">
        <f aca="false">+W654-AC654</f>
        <v>7735000</v>
      </c>
      <c r="AE654" s="21" t="str">
        <f aca="false">IF(AB654&lt;1,"PAGADA","PENDIENTE")</f>
        <v>PENDIENTE</v>
      </c>
      <c r="AF654" s="21" t="s">
        <v>251</v>
      </c>
      <c r="AG654" s="29"/>
      <c r="AH654" s="40"/>
      <c r="AI654" s="40" t="n">
        <f aca="false">+IF(Tabla[[#This Row],[FECHA PAGO / ABONO]]&lt;1,0,(MONTH(Tabla[[#This Row],[FECHA PAGO / ABONO]])))</f>
        <v>0</v>
      </c>
      <c r="AJ654" s="40" t="n">
        <f aca="false">+IF(Tabla[[#This Row],[FECHA PAGO / ABONO]]&lt;1,0,(YEAR(Tabla[[#This Row],[FECHA PAGO / ABONO]])))</f>
        <v>0</v>
      </c>
      <c r="AK654" s="41"/>
    </row>
    <row r="655" customFormat="false" ht="14.25" hidden="false" customHeight="false" outlineLevel="0" collapsed="false">
      <c r="A655" s="58" t="s">
        <v>242</v>
      </c>
      <c r="B655" s="21" t="s">
        <v>243</v>
      </c>
      <c r="C655" s="21" t="s">
        <v>69</v>
      </c>
      <c r="D655" s="21" t="n">
        <v>15734861</v>
      </c>
      <c r="E655" s="43" t="str">
        <f aca="false">+CONCATENATE(Tabla[[#This Row],[RUT]],Tabla[[#This Row],[PROVEEDOR]],Tabla[[#This Row],[FACTURA]])</f>
        <v>90193000-7Empresa El Mercurio S.A.P.15734861</v>
      </c>
      <c r="F655" s="30" t="n">
        <v>46142</v>
      </c>
      <c r="G655" s="31" t="n">
        <f aca="false">+F655+30</f>
        <v>46172</v>
      </c>
      <c r="H655" s="29" t="n">
        <f aca="true">+IF(AE655="PAGADA",0,TODAY()-G655)</f>
        <v>32</v>
      </c>
      <c r="I655" s="29" t="str">
        <f aca="false">+IF(H655&gt;180,"Atrasada",IF(H655&gt;150,"150 dias",IF(H655&gt;120,"120 dias",IF(H655&gt;90,"90 dias",IF(H655&gt;60,"60 dias",IF(H655&gt;30,"30 dias","Al Día"))))))</f>
        <v>30 dias</v>
      </c>
      <c r="J655" s="59" t="s">
        <v>80</v>
      </c>
      <c r="K655" s="60" t="s">
        <v>81</v>
      </c>
      <c r="L655" s="61" t="s">
        <v>309</v>
      </c>
      <c r="M655" s="29" t="n">
        <f aca="false">+YEAR(F655)</f>
        <v>2026</v>
      </c>
      <c r="N655" s="62" t="n">
        <v>2026</v>
      </c>
      <c r="O655" s="63" t="n">
        <v>3</v>
      </c>
      <c r="P655" s="29" t="str">
        <f aca="false">+CONCATENATE(Tabla[[#This Row],[MES CAMPAÑA]],"/",Tabla[[#This Row],[AÑO CAMPAÑA]])</f>
        <v>3/2026</v>
      </c>
      <c r="Q655" s="60" t="s">
        <v>317</v>
      </c>
      <c r="R655" s="29"/>
      <c r="S655" s="64" t="n">
        <v>0</v>
      </c>
      <c r="T655" s="64" t="n">
        <v>1800000</v>
      </c>
      <c r="U655" s="64" t="n">
        <v>342000</v>
      </c>
      <c r="V655" s="29"/>
      <c r="W655" s="24" t="n">
        <v>2142000</v>
      </c>
      <c r="X655" s="36"/>
      <c r="Y655" s="37"/>
      <c r="Z655" s="37"/>
      <c r="AA655" s="37"/>
      <c r="AB655" s="38" t="n">
        <f aca="false">+W655-AC655</f>
        <v>2142000</v>
      </c>
      <c r="AC655" s="34" t="n">
        <f aca="false">+Tabla[[#This Row],[P4]]+Tabla[[#This Row],[P3]]+Tabla[[#This Row],[P2]]+Tabla[[#This Row],[P1]]</f>
        <v>0</v>
      </c>
      <c r="AD655" s="34" t="n">
        <f aca="false">+W655-AC655</f>
        <v>2142000</v>
      </c>
      <c r="AE655" s="21" t="str">
        <f aca="false">IF(AB655&lt;1,"PAGADA","PENDIENTE")</f>
        <v>PENDIENTE</v>
      </c>
      <c r="AF655" s="21" t="s">
        <v>251</v>
      </c>
      <c r="AG655" s="29"/>
      <c r="AH655" s="40"/>
      <c r="AI655" s="40" t="n">
        <f aca="false">+IF(Tabla[[#This Row],[FECHA PAGO / ABONO]]&lt;1,0,(MONTH(Tabla[[#This Row],[FECHA PAGO / ABONO]])))</f>
        <v>0</v>
      </c>
      <c r="AJ655" s="40" t="n">
        <f aca="false">+IF(Tabla[[#This Row],[FECHA PAGO / ABONO]]&lt;1,0,(YEAR(Tabla[[#This Row],[FECHA PAGO / ABONO]])))</f>
        <v>0</v>
      </c>
      <c r="AK655" s="41"/>
    </row>
    <row r="656" customFormat="false" ht="14.25" hidden="false" customHeight="false" outlineLevel="0" collapsed="false">
      <c r="A656" s="17" t="s">
        <v>324</v>
      </c>
      <c r="B656" s="18" t="s">
        <v>325</v>
      </c>
      <c r="C656" s="18" t="s">
        <v>69</v>
      </c>
      <c r="D656" s="18" t="n">
        <v>658109</v>
      </c>
      <c r="E656" s="43" t="str">
        <f aca="false">+CONCATENATE(Tabla[[#This Row],[RUT]],Tabla[[#This Row],[PROVEEDOR]],Tabla[[#This Row],[FACTURA]])</f>
        <v>96720830-2BCI FACTORING S.A.658109</v>
      </c>
      <c r="F656" s="30" t="n">
        <v>46142</v>
      </c>
      <c r="G656" s="45" t="n">
        <f aca="false">+F656+30</f>
        <v>46172</v>
      </c>
      <c r="H656" s="43" t="n">
        <f aca="true">+IF(AE656="PAGADA",0,TODAY()-G656)</f>
        <v>0</v>
      </c>
      <c r="I656" s="43" t="str">
        <f aca="false">+IF(H656&gt;180,"Atrasada",IF(H656&gt;150,"150 dias",IF(H656&gt;120,"120 dias",IF(H656&gt;90,"90 dias",IF(H656&gt;60,"60 dias",IF(H656&gt;30,"30 dias","Al Día"))))))</f>
        <v>Al Día</v>
      </c>
      <c r="J656" s="59" t="s">
        <v>80</v>
      </c>
      <c r="K656" s="59" t="s">
        <v>31</v>
      </c>
      <c r="L656" s="61" t="s">
        <v>326</v>
      </c>
      <c r="M656" s="43" t="n">
        <f aca="false">+YEAR(F656)</f>
        <v>2026</v>
      </c>
      <c r="N656" s="62" t="n">
        <v>2026</v>
      </c>
      <c r="O656" s="63" t="n">
        <v>5</v>
      </c>
      <c r="P656" s="43" t="str">
        <f aca="false">+CONCATENATE(Tabla[[#This Row],[MES CAMPAÑA]],"/",Tabla[[#This Row],[AÑO CAMPAÑA]])</f>
        <v>5/2026</v>
      </c>
      <c r="Q656" s="60" t="s">
        <v>73</v>
      </c>
      <c r="R656" s="43"/>
      <c r="S656" s="64" t="n">
        <v>0</v>
      </c>
      <c r="T656" s="64" t="n">
        <v>299675</v>
      </c>
      <c r="U656" s="64" t="n">
        <v>56938</v>
      </c>
      <c r="V656" s="43"/>
      <c r="W656" s="24" t="n">
        <v>356613</v>
      </c>
      <c r="X656" s="25" t="n">
        <f aca="false">+Tabla[[#This Row],[TOTAL]]</f>
        <v>356613</v>
      </c>
      <c r="Y656" s="51"/>
      <c r="Z656" s="51"/>
      <c r="AA656" s="51"/>
      <c r="AB656" s="23" t="n">
        <f aca="false">+W656-AC656</f>
        <v>0</v>
      </c>
      <c r="AC656" s="48" t="n">
        <f aca="false">+Tabla[[#This Row],[P4]]+Tabla[[#This Row],[P3]]+Tabla[[#This Row],[P2]]+Tabla[[#This Row],[P1]]</f>
        <v>356613</v>
      </c>
      <c r="AD656" s="48" t="n">
        <f aca="false">+W656-AC656</f>
        <v>0</v>
      </c>
      <c r="AE656" s="18" t="str">
        <f aca="false">IF(AB656&lt;1,"PAGADA","PENDIENTE")</f>
        <v>PAGADA</v>
      </c>
      <c r="AF656" s="18"/>
      <c r="AG656" s="43"/>
      <c r="AH656" s="53"/>
      <c r="AI656" s="53" t="n">
        <f aca="false">+IF(Tabla[[#This Row],[FECHA PAGO / ABONO]]&lt;1,0,(MONTH(Tabla[[#This Row],[FECHA PAGO / ABONO]])))</f>
        <v>0</v>
      </c>
      <c r="AJ656" s="53" t="n">
        <f aca="false">+IF(Tabla[[#This Row],[FECHA PAGO / ABONO]]&lt;1,0,(YEAR(Tabla[[#This Row],[FECHA PAGO / ABONO]])))</f>
        <v>0</v>
      </c>
      <c r="AK656" s="54"/>
    </row>
    <row r="657" customFormat="false" ht="14.25" hidden="false" customHeight="false" outlineLevel="0" collapsed="false">
      <c r="A657" s="17" t="s">
        <v>262</v>
      </c>
      <c r="B657" s="18" t="s">
        <v>263</v>
      </c>
      <c r="C657" s="18" t="s">
        <v>69</v>
      </c>
      <c r="D657" s="18" t="n">
        <v>2671</v>
      </c>
      <c r="E657" s="21" t="str">
        <f aca="false">+CONCATENATE(Tabla[[#This Row],[RUT]],Tabla[[#This Row],[PROVEEDOR]],Tabla[[#This Row],[FACTURA]])</f>
        <v>76215078-6SOCIEDAD COMERCIAL FUTBOL SITES NETWORK CHILE LIMITADA2671</v>
      </c>
      <c r="F657" s="19" t="n">
        <v>46022</v>
      </c>
      <c r="G657" s="45" t="n">
        <f aca="false">+F657+30</f>
        <v>46052</v>
      </c>
      <c r="H657" s="43" t="n">
        <f aca="true">+IF(AE657="PAGADA",0,TODAY()-G657)</f>
        <v>0</v>
      </c>
      <c r="I657" s="43" t="str">
        <f aca="false">+IF(H657&gt;180,"Atrasada",IF(H657&gt;150,"150 dias",IF(H657&gt;120,"120 dias",IF(H657&gt;90,"90 dias",IF(H657&gt;60,"60 dias",IF(H657&gt;30,"30 dias","Al Día"))))))</f>
        <v>Al Día</v>
      </c>
      <c r="J657" s="32" t="s">
        <v>80</v>
      </c>
      <c r="K657" s="29" t="s">
        <v>81</v>
      </c>
      <c r="L657" s="33" t="s">
        <v>248</v>
      </c>
      <c r="M657" s="43" t="n">
        <f aca="false">+YEAR(F657)</f>
        <v>2025</v>
      </c>
      <c r="N657" s="29" t="n">
        <v>2025</v>
      </c>
      <c r="O657" s="29" t="n">
        <v>12</v>
      </c>
      <c r="P657" s="43" t="str">
        <f aca="false">+CONCATENATE(Tabla[[#This Row],[MES CAMPAÑA]],"/",Tabla[[#This Row],[AÑO CAMPAÑA]])</f>
        <v>12/2025</v>
      </c>
      <c r="Q657" s="29" t="s">
        <v>82</v>
      </c>
      <c r="R657" s="43"/>
      <c r="S657" s="48" t="n">
        <v>0</v>
      </c>
      <c r="T657" s="34" t="n">
        <v>852632</v>
      </c>
      <c r="U657" s="48" t="n">
        <f aca="false">+Tabla[[#This Row],[NETO]]*19%</f>
        <v>162000.08</v>
      </c>
      <c r="V657" s="43"/>
      <c r="W657" s="24" t="n">
        <f aca="false">+Tabla[[#This Row],[NETO]]+Tabla[[#This Row],[IVA RECUP]]</f>
        <v>1014632.08</v>
      </c>
      <c r="X657" s="25" t="n">
        <f aca="false">+Tabla[[#This Row],[TOTAL]]</f>
        <v>1014632.08</v>
      </c>
      <c r="Y657" s="51"/>
      <c r="Z657" s="51"/>
      <c r="AA657" s="51"/>
      <c r="AB657" s="23" t="n">
        <f aca="false">+W657-AC657</f>
        <v>0</v>
      </c>
      <c r="AC657" s="48" t="n">
        <f aca="false">+Tabla[[#This Row],[P4]]+Tabla[[#This Row],[P3]]+Tabla[[#This Row],[P2]]+Tabla[[#This Row],[P1]]</f>
        <v>1014632.08</v>
      </c>
      <c r="AD657" s="48" t="n">
        <f aca="false">+W657-AC657</f>
        <v>0</v>
      </c>
      <c r="AE657" s="18" t="str">
        <f aca="false">IF(AB657&lt;1,"PAGADA","PENDIENTE")</f>
        <v>PAGADA</v>
      </c>
      <c r="AF657" s="18"/>
      <c r="AG657" s="43" t="s">
        <v>77</v>
      </c>
      <c r="AH657" s="52" t="n">
        <v>46169</v>
      </c>
      <c r="AI657" s="53" t="n">
        <f aca="false">+IF(Tabla[[#This Row],[FECHA PAGO / ABONO]]&lt;1,0,(MONTH(Tabla[[#This Row],[FECHA PAGO / ABONO]])))</f>
        <v>5</v>
      </c>
      <c r="AJ657" s="53" t="n">
        <f aca="false">+IF(Tabla[[#This Row],[FECHA PAGO / ABONO]]&lt;1,0,(YEAR(Tabla[[#This Row],[FECHA PAGO / ABONO]])))</f>
        <v>2026</v>
      </c>
      <c r="AK657" s="54"/>
    </row>
    <row r="658" customFormat="false" ht="14.25" hidden="false" customHeight="false" outlineLevel="0" collapsed="false">
      <c r="A658" s="17" t="s">
        <v>67</v>
      </c>
      <c r="B658" s="18" t="s">
        <v>68</v>
      </c>
      <c r="C658" s="18" t="s">
        <v>69</v>
      </c>
      <c r="D658" s="18" t="n">
        <v>57239</v>
      </c>
      <c r="E658" s="21" t="str">
        <f aca="false">+CONCATENATE(Tabla[[#This Row],[RUT]],Tabla[[#This Row],[PROVEEDOR]],Tabla[[#This Row],[FACTURA]])</f>
        <v>76453707-6DUEMINT SPA57239</v>
      </c>
      <c r="F658" s="30" t="n">
        <v>46143</v>
      </c>
      <c r="G658" s="31" t="n">
        <f aca="false">+F658+30</f>
        <v>46173</v>
      </c>
      <c r="H658" s="29" t="n">
        <f aca="true">+IF(AE658="PAGADA",0,TODAY()-G658)</f>
        <v>0</v>
      </c>
      <c r="I658" s="29" t="str">
        <f aca="false">+IF(H658&gt;180,"Atrasada",IF(H658&gt;150,"150 dias",IF(H658&gt;120,"120 dias",IF(H658&gt;90,"90 dias",IF(H658&gt;60,"60 dias",IF(H658&gt;30,"30 dias","Al Día"))))))</f>
        <v>Al Día</v>
      </c>
      <c r="J658" s="59" t="s">
        <v>80</v>
      </c>
      <c r="K658" s="59" t="s">
        <v>31</v>
      </c>
      <c r="L658" s="61" t="s">
        <v>326</v>
      </c>
      <c r="M658" s="29" t="n">
        <f aca="false">+YEAR(F658)</f>
        <v>2026</v>
      </c>
      <c r="N658" s="62" t="n">
        <v>2026</v>
      </c>
      <c r="O658" s="63" t="n">
        <v>5</v>
      </c>
      <c r="P658" s="29" t="str">
        <f aca="false">+CONCATENATE(Tabla[[#This Row],[MES CAMPAÑA]],"/",Tabla[[#This Row],[AÑO CAMPAÑA]])</f>
        <v>5/2026</v>
      </c>
      <c r="Q658" s="60" t="s">
        <v>73</v>
      </c>
      <c r="R658" s="29"/>
      <c r="S658" s="64" t="n">
        <v>0</v>
      </c>
      <c r="T658" s="64" t="n">
        <v>120401</v>
      </c>
      <c r="U658" s="64" t="n">
        <v>22876</v>
      </c>
      <c r="V658" s="65"/>
      <c r="W658" s="24" t="n">
        <v>143277</v>
      </c>
      <c r="X658" s="36" t="n">
        <f aca="false">+Tabla[[#This Row],[TOTAL]]</f>
        <v>143277</v>
      </c>
      <c r="Y658" s="66"/>
      <c r="Z658" s="66"/>
      <c r="AA658" s="66"/>
      <c r="AB658" s="38" t="n">
        <f aca="false">+W658-AC658</f>
        <v>0</v>
      </c>
      <c r="AC658" s="34" t="n">
        <f aca="false">+Tabla[[#This Row],[P4]]+Tabla[[#This Row],[P3]]+Tabla[[#This Row],[P2]]+Tabla[[#This Row],[P1]]</f>
        <v>143277</v>
      </c>
      <c r="AD658" s="34" t="n">
        <f aca="false">+W658-AC658</f>
        <v>0</v>
      </c>
      <c r="AE658" s="21" t="str">
        <f aca="false">IF(AB658&lt;1,"PAGADA","PENDIENTE")</f>
        <v>PAGADA</v>
      </c>
      <c r="AF658" s="67"/>
      <c r="AG658" s="29" t="s">
        <v>327</v>
      </c>
      <c r="AH658" s="68"/>
      <c r="AI658" s="40" t="n">
        <f aca="false">+IF(Tabla[[#This Row],[FECHA PAGO / ABONO]]&lt;1,0,(MONTH(Tabla[[#This Row],[FECHA PAGO / ABONO]])))</f>
        <v>0</v>
      </c>
      <c r="AJ658" s="40" t="n">
        <f aca="false">+IF(Tabla[[#This Row],[FECHA PAGO / ABONO]]&lt;1,0,(YEAR(Tabla[[#This Row],[FECHA PAGO / ABONO]])))</f>
        <v>0</v>
      </c>
      <c r="AK658" s="41"/>
    </row>
    <row r="659" customFormat="false" ht="14.25" hidden="false" customHeight="false" outlineLevel="0" collapsed="false">
      <c r="A659" s="17" t="s">
        <v>75</v>
      </c>
      <c r="B659" s="18" t="s">
        <v>76</v>
      </c>
      <c r="C659" s="18" t="s">
        <v>69</v>
      </c>
      <c r="D659" s="18" t="n">
        <v>451</v>
      </c>
      <c r="E659" s="21" t="str">
        <f aca="false">+CONCATENATE(Tabla[[#This Row],[RUT]],Tabla[[#This Row],[PROVEEDOR]],Tabla[[#This Row],[FACTURA]])</f>
        <v>76744663-2INVERSIONES ON-MEDIA CHILE SPA451</v>
      </c>
      <c r="F659" s="57" t="n">
        <v>46144</v>
      </c>
      <c r="G659" s="31" t="n">
        <f aca="false">+F659+30</f>
        <v>46174</v>
      </c>
      <c r="H659" s="29" t="n">
        <f aca="true">+IF(AE659="PAGADA",0,TODAY()-G659)</f>
        <v>0</v>
      </c>
      <c r="I659" s="29" t="str">
        <f aca="false">+IF(H659&gt;180,"Atrasada",IF(H659&gt;150,"150 dias",IF(H659&gt;120,"120 dias",IF(H659&gt;90,"90 dias",IF(H659&gt;60,"60 dias",IF(H659&gt;30,"30 dias","Al Día"))))))</f>
        <v>Al Día</v>
      </c>
      <c r="J659" s="32" t="s">
        <v>31</v>
      </c>
      <c r="K659" s="29" t="s">
        <v>81</v>
      </c>
      <c r="L659" s="33" t="s">
        <v>326</v>
      </c>
      <c r="M659" s="29" t="n">
        <f aca="false">+YEAR(F659)</f>
        <v>2026</v>
      </c>
      <c r="N659" s="62" t="n">
        <v>2026</v>
      </c>
      <c r="O659" s="63" t="n">
        <v>5</v>
      </c>
      <c r="P659" s="29" t="str">
        <f aca="false">+CONCATENATE(Tabla[[#This Row],[MES CAMPAÑA]],"/",Tabla[[#This Row],[AÑO CAMPAÑA]])</f>
        <v>5/2026</v>
      </c>
      <c r="Q659" s="60" t="s">
        <v>73</v>
      </c>
      <c r="R659" s="29"/>
      <c r="S659" s="64" t="n">
        <v>0</v>
      </c>
      <c r="T659" s="64" t="n">
        <v>369364</v>
      </c>
      <c r="U659" s="64" t="n">
        <v>70179</v>
      </c>
      <c r="V659" s="65"/>
      <c r="W659" s="24" t="n">
        <v>439543</v>
      </c>
      <c r="X659" s="36" t="n">
        <f aca="false">+Tabla[[#This Row],[TOTAL]]</f>
        <v>439543</v>
      </c>
      <c r="Y659" s="66"/>
      <c r="Z659" s="66"/>
      <c r="AA659" s="66"/>
      <c r="AB659" s="38" t="n">
        <f aca="false">+W659-AC659</f>
        <v>0</v>
      </c>
      <c r="AC659" s="34" t="n">
        <f aca="false">+Tabla[[#This Row],[P4]]+Tabla[[#This Row],[P3]]+Tabla[[#This Row],[P2]]+Tabla[[#This Row],[P1]]</f>
        <v>439543</v>
      </c>
      <c r="AD659" s="34" t="n">
        <f aca="false">+W659-AC659</f>
        <v>0</v>
      </c>
      <c r="AE659" s="21" t="str">
        <f aca="false">IF(AB659&lt;1,"PAGADA","PENDIENTE")</f>
        <v>PAGADA</v>
      </c>
      <c r="AF659" s="67"/>
      <c r="AG659" s="29" t="s">
        <v>77</v>
      </c>
      <c r="AH659" s="69" t="n">
        <v>46184</v>
      </c>
      <c r="AI659" s="40" t="n">
        <f aca="false">+IF(Tabla[[#This Row],[FECHA PAGO / ABONO]]&lt;1,0,(MONTH(Tabla[[#This Row],[FECHA PAGO / ABONO]])))</f>
        <v>6</v>
      </c>
      <c r="AJ659" s="40" t="n">
        <f aca="false">+IF(Tabla[[#This Row],[FECHA PAGO / ABONO]]&lt;1,0,(YEAR(Tabla[[#This Row],[FECHA PAGO / ABONO]])))</f>
        <v>2026</v>
      </c>
      <c r="AK659" s="41"/>
    </row>
    <row r="660" customFormat="false" ht="14.25" hidden="false" customHeight="false" outlineLevel="0" collapsed="false">
      <c r="A660" s="17" t="s">
        <v>291</v>
      </c>
      <c r="B660" s="18" t="s">
        <v>292</v>
      </c>
      <c r="C660" s="18" t="s">
        <v>69</v>
      </c>
      <c r="D660" s="18" t="n">
        <v>3020</v>
      </c>
      <c r="E660" s="21" t="str">
        <f aca="false">+CONCATENATE(Tabla[[#This Row],[RUT]],Tabla[[#This Row],[PROVEEDOR]],Tabla[[#This Row],[FACTURA]])</f>
        <v>76213392-KQ MARKETING S.A3020</v>
      </c>
      <c r="F660" s="30" t="n">
        <v>46146</v>
      </c>
      <c r="G660" s="31" t="n">
        <f aca="false">+F660+30</f>
        <v>46176</v>
      </c>
      <c r="H660" s="29" t="n">
        <f aca="true">+IF(AE660="PAGADA",0,TODAY()-G660)</f>
        <v>28</v>
      </c>
      <c r="I660" s="29" t="str">
        <f aca="false">+IF(H660&gt;180,"Atrasada",IF(H660&gt;150,"150 dias",IF(H660&gt;120,"120 dias",IF(H660&gt;90,"90 dias",IF(H660&gt;60,"60 dias",IF(H660&gt;30,"30 dias","Al Día"))))))</f>
        <v>Al Día</v>
      </c>
      <c r="J660" s="59" t="s">
        <v>80</v>
      </c>
      <c r="K660" s="59" t="s">
        <v>31</v>
      </c>
      <c r="L660" s="61" t="s">
        <v>326</v>
      </c>
      <c r="M660" s="29" t="n">
        <f aca="false">+YEAR(F660)</f>
        <v>2026</v>
      </c>
      <c r="N660" s="62" t="n">
        <v>2026</v>
      </c>
      <c r="O660" s="63" t="n">
        <v>5</v>
      </c>
      <c r="P660" s="29" t="str">
        <f aca="false">+CONCATENATE(Tabla[[#This Row],[MES CAMPAÑA]],"/",Tabla[[#This Row],[AÑO CAMPAÑA]])</f>
        <v>5/2026</v>
      </c>
      <c r="Q660" s="60" t="s">
        <v>73</v>
      </c>
      <c r="R660" s="29"/>
      <c r="S660" s="64" t="n">
        <v>0</v>
      </c>
      <c r="T660" s="64" t="n">
        <v>1700000</v>
      </c>
      <c r="U660" s="64" t="n">
        <v>323000</v>
      </c>
      <c r="V660" s="65"/>
      <c r="W660" s="24" t="n">
        <v>2023000</v>
      </c>
      <c r="X660" s="36"/>
      <c r="Y660" s="66"/>
      <c r="Z660" s="66"/>
      <c r="AA660" s="66"/>
      <c r="AB660" s="38" t="n">
        <f aca="false">+W660-AC660</f>
        <v>2023000</v>
      </c>
      <c r="AC660" s="34" t="n">
        <f aca="false">+Tabla[[#This Row],[P4]]+Tabla[[#This Row],[P3]]+Tabla[[#This Row],[P2]]+Tabla[[#This Row],[P1]]</f>
        <v>0</v>
      </c>
      <c r="AD660" s="34" t="n">
        <f aca="false">+W660-AC660</f>
        <v>2023000</v>
      </c>
      <c r="AE660" s="21" t="str">
        <f aca="false">IF(AB660&lt;1,"PAGADA","PENDIENTE")</f>
        <v>PENDIENTE</v>
      </c>
      <c r="AF660" s="67"/>
      <c r="AG660" s="29"/>
      <c r="AH660" s="68"/>
      <c r="AI660" s="40" t="n">
        <f aca="false">+IF(Tabla[[#This Row],[FECHA PAGO / ABONO]]&lt;1,0,(MONTH(Tabla[[#This Row],[FECHA PAGO / ABONO]])))</f>
        <v>0</v>
      </c>
      <c r="AJ660" s="40" t="n">
        <f aca="false">+IF(Tabla[[#This Row],[FECHA PAGO / ABONO]]&lt;1,0,(YEAR(Tabla[[#This Row],[FECHA PAGO / ABONO]])))</f>
        <v>0</v>
      </c>
      <c r="AK660" s="41"/>
    </row>
    <row r="661" customFormat="false" ht="14.25" hidden="false" customHeight="false" outlineLevel="0" collapsed="false">
      <c r="A661" s="17" t="s">
        <v>101</v>
      </c>
      <c r="B661" s="18" t="s">
        <v>102</v>
      </c>
      <c r="C661" s="18" t="s">
        <v>69</v>
      </c>
      <c r="D661" s="18" t="n">
        <v>29942505</v>
      </c>
      <c r="E661" s="21" t="str">
        <f aca="false">+CONCATENATE(Tabla[[#This Row],[RUT]],Tabla[[#This Row],[PROVEEDOR]],Tabla[[#This Row],[FACTURA]])</f>
        <v>97006000-6BANCO DE CREDITO E INVERSIONES29942505</v>
      </c>
      <c r="F661" s="30" t="n">
        <v>46146</v>
      </c>
      <c r="G661" s="31" t="n">
        <f aca="false">+F661+30</f>
        <v>46176</v>
      </c>
      <c r="H661" s="29" t="n">
        <f aca="true">+IF(AE661="PAGADA",0,TODAY()-G661)</f>
        <v>0</v>
      </c>
      <c r="I661" s="29" t="str">
        <f aca="false">+IF(H661&gt;180,"Atrasada",IF(H661&gt;150,"150 dias",IF(H661&gt;120,"120 dias",IF(H661&gt;90,"90 dias",IF(H661&gt;60,"60 dias",IF(H661&gt;30,"30 dias","Al Día"))))))</f>
        <v>Al Día</v>
      </c>
      <c r="J661" s="59" t="s">
        <v>80</v>
      </c>
      <c r="K661" s="59" t="s">
        <v>31</v>
      </c>
      <c r="L661" s="61" t="s">
        <v>326</v>
      </c>
      <c r="M661" s="29" t="n">
        <f aca="false">+YEAR(F661)</f>
        <v>2026</v>
      </c>
      <c r="N661" s="62" t="n">
        <v>2026</v>
      </c>
      <c r="O661" s="63" t="n">
        <v>5</v>
      </c>
      <c r="P661" s="29" t="str">
        <f aca="false">+CONCATENATE(Tabla[[#This Row],[MES CAMPAÑA]],"/",Tabla[[#This Row],[AÑO CAMPAÑA]])</f>
        <v>5/2026</v>
      </c>
      <c r="Q661" s="60" t="s">
        <v>73</v>
      </c>
      <c r="R661" s="29"/>
      <c r="S661" s="64" t="n">
        <v>0</v>
      </c>
      <c r="T661" s="64" t="n">
        <v>7089</v>
      </c>
      <c r="U661" s="64" t="n">
        <v>1347</v>
      </c>
      <c r="V661" s="65"/>
      <c r="W661" s="24" t="n">
        <v>8436</v>
      </c>
      <c r="X661" s="36" t="n">
        <f aca="false">+Tabla[[#This Row],[TOTAL]]</f>
        <v>8436</v>
      </c>
      <c r="Y661" s="66"/>
      <c r="Z661" s="66"/>
      <c r="AA661" s="66"/>
      <c r="AB661" s="38" t="n">
        <f aca="false">+W661-AC661</f>
        <v>0</v>
      </c>
      <c r="AC661" s="34" t="n">
        <f aca="false">+Tabla[[#This Row],[P4]]+Tabla[[#This Row],[P3]]+Tabla[[#This Row],[P2]]+Tabla[[#This Row],[P1]]</f>
        <v>8436</v>
      </c>
      <c r="AD661" s="34" t="n">
        <f aca="false">+W661-AC661</f>
        <v>0</v>
      </c>
      <c r="AE661" s="21" t="str">
        <f aca="false">IF(AB661&lt;1,"PAGADA","PENDIENTE")</f>
        <v>PAGADA</v>
      </c>
      <c r="AF661" s="67"/>
      <c r="AG661" s="29" t="s">
        <v>327</v>
      </c>
      <c r="AH661" s="68"/>
      <c r="AI661" s="40" t="n">
        <f aca="false">+IF(Tabla[[#This Row],[FECHA PAGO / ABONO]]&lt;1,0,(MONTH(Tabla[[#This Row],[FECHA PAGO / ABONO]])))</f>
        <v>0</v>
      </c>
      <c r="AJ661" s="40" t="n">
        <f aca="false">+IF(Tabla[[#This Row],[FECHA PAGO / ABONO]]&lt;1,0,(YEAR(Tabla[[#This Row],[FECHA PAGO / ABONO]])))</f>
        <v>0</v>
      </c>
      <c r="AK661" s="41"/>
    </row>
    <row r="662" customFormat="false" ht="14.25" hidden="false" customHeight="false" outlineLevel="0" collapsed="false">
      <c r="A662" s="17" t="s">
        <v>88</v>
      </c>
      <c r="B662" s="18" t="s">
        <v>89</v>
      </c>
      <c r="C662" s="18" t="s">
        <v>69</v>
      </c>
      <c r="D662" s="18" t="n">
        <v>15157</v>
      </c>
      <c r="E662" s="21" t="str">
        <f aca="false">+CONCATENATE(Tabla[[#This Row],[RUT]],Tabla[[#This Row],[PROVEEDOR]],Tabla[[#This Row],[FACTURA]])</f>
        <v>96721110-9VerificaciÃ³n e Inversiones Publicitarias SpA15157</v>
      </c>
      <c r="F662" s="30" t="n">
        <v>46147</v>
      </c>
      <c r="G662" s="31" t="n">
        <f aca="false">+F662+30</f>
        <v>46177</v>
      </c>
      <c r="H662" s="29" t="n">
        <f aca="true">+IF(AE662="PAGADA",0,TODAY()-G662)</f>
        <v>27</v>
      </c>
      <c r="I662" s="29" t="str">
        <f aca="false">+IF(H662&gt;180,"Atrasada",IF(H662&gt;150,"150 dias",IF(H662&gt;120,"120 dias",IF(H662&gt;90,"90 dias",IF(H662&gt;60,"60 dias",IF(H662&gt;30,"30 dias","Al Día"))))))</f>
        <v>Al Día</v>
      </c>
      <c r="J662" s="59" t="s">
        <v>80</v>
      </c>
      <c r="K662" s="59" t="s">
        <v>31</v>
      </c>
      <c r="L662" s="61" t="s">
        <v>326</v>
      </c>
      <c r="M662" s="29" t="n">
        <f aca="false">+YEAR(F662)</f>
        <v>2026</v>
      </c>
      <c r="N662" s="62" t="n">
        <v>2026</v>
      </c>
      <c r="O662" s="63" t="n">
        <v>5</v>
      </c>
      <c r="P662" s="29" t="str">
        <f aca="false">+CONCATENATE(Tabla[[#This Row],[MES CAMPAÑA]],"/",Tabla[[#This Row],[AÑO CAMPAÑA]])</f>
        <v>5/2026</v>
      </c>
      <c r="Q662" s="60" t="s">
        <v>73</v>
      </c>
      <c r="R662" s="29"/>
      <c r="S662" s="64" t="n">
        <v>0</v>
      </c>
      <c r="T662" s="64" t="n">
        <v>3210680</v>
      </c>
      <c r="U662" s="64" t="n">
        <v>610029</v>
      </c>
      <c r="V662" s="65"/>
      <c r="W662" s="24" t="n">
        <v>3820709</v>
      </c>
      <c r="X662" s="36"/>
      <c r="Y662" s="66"/>
      <c r="Z662" s="66"/>
      <c r="AA662" s="66"/>
      <c r="AB662" s="38" t="n">
        <f aca="false">+W662-AC662</f>
        <v>3820709</v>
      </c>
      <c r="AC662" s="34" t="n">
        <f aca="false">+Tabla[[#This Row],[P4]]+Tabla[[#This Row],[P3]]+Tabla[[#This Row],[P2]]+Tabla[[#This Row],[P1]]</f>
        <v>0</v>
      </c>
      <c r="AD662" s="34" t="n">
        <f aca="false">+W662-AC662</f>
        <v>3820709</v>
      </c>
      <c r="AE662" s="21" t="str">
        <f aca="false">IF(AB662&lt;1,"PAGADA","PENDIENTE")</f>
        <v>PENDIENTE</v>
      </c>
      <c r="AF662" s="67"/>
      <c r="AG662" s="29"/>
      <c r="AH662" s="68"/>
      <c r="AI662" s="40" t="n">
        <f aca="false">+IF(Tabla[[#This Row],[FECHA PAGO / ABONO]]&lt;1,0,(MONTH(Tabla[[#This Row],[FECHA PAGO / ABONO]])))</f>
        <v>0</v>
      </c>
      <c r="AJ662" s="40" t="n">
        <f aca="false">+IF(Tabla[[#This Row],[FECHA PAGO / ABONO]]&lt;1,0,(YEAR(Tabla[[#This Row],[FECHA PAGO / ABONO]])))</f>
        <v>0</v>
      </c>
      <c r="AK662" s="41"/>
    </row>
    <row r="663" customFormat="false" ht="14.25" hidden="false" customHeight="false" outlineLevel="0" collapsed="false">
      <c r="A663" s="17" t="s">
        <v>164</v>
      </c>
      <c r="B663" s="18" t="s">
        <v>165</v>
      </c>
      <c r="C663" s="18" t="s">
        <v>69</v>
      </c>
      <c r="D663" s="18" t="n">
        <v>47</v>
      </c>
      <c r="E663" s="21" t="str">
        <f aca="false">+CONCATENATE(Tabla[[#This Row],[RUT]],Tabla[[#This Row],[PROVEEDOR]],Tabla[[#This Row],[FACTURA]])</f>
        <v>77983786-6COMUNICACIONES HDR SPA47</v>
      </c>
      <c r="F663" s="30" t="n">
        <v>46147</v>
      </c>
      <c r="G663" s="31" t="n">
        <f aca="false">+F663+30</f>
        <v>46177</v>
      </c>
      <c r="H663" s="29" t="n">
        <f aca="true">+IF(AE663="PAGADA",0,TODAY()-G663)</f>
        <v>0</v>
      </c>
      <c r="I663" s="29" t="str">
        <f aca="false">+IF(H663&gt;180,"Atrasada",IF(H663&gt;150,"150 dias",IF(H663&gt;120,"120 dias",IF(H663&gt;90,"90 dias",IF(H663&gt;60,"60 dias",IF(H663&gt;30,"30 dias","Al Día"))))))</f>
        <v>Al Día</v>
      </c>
      <c r="J663" s="59" t="s">
        <v>80</v>
      </c>
      <c r="K663" s="60" t="s">
        <v>81</v>
      </c>
      <c r="L663" s="61" t="s">
        <v>326</v>
      </c>
      <c r="M663" s="29" t="n">
        <f aca="false">+YEAR(F663)</f>
        <v>2026</v>
      </c>
      <c r="N663" s="62" t="n">
        <v>2026</v>
      </c>
      <c r="O663" s="63" t="n">
        <v>3</v>
      </c>
      <c r="P663" s="29" t="str">
        <f aca="false">+CONCATENATE(Tabla[[#This Row],[MES CAMPAÑA]],"/",Tabla[[#This Row],[AÑO CAMPAÑA]])</f>
        <v>3/2026</v>
      </c>
      <c r="Q663" s="60" t="s">
        <v>108</v>
      </c>
      <c r="R663" s="29"/>
      <c r="S663" s="64" t="n">
        <v>0</v>
      </c>
      <c r="T663" s="64" t="n">
        <v>325000</v>
      </c>
      <c r="U663" s="64" t="n">
        <v>61750</v>
      </c>
      <c r="V663" s="65"/>
      <c r="W663" s="24" t="n">
        <v>386750</v>
      </c>
      <c r="X663" s="36" t="n">
        <f aca="false">+Tabla[[#This Row],[TOTAL]]</f>
        <v>386750</v>
      </c>
      <c r="Y663" s="66"/>
      <c r="Z663" s="66"/>
      <c r="AA663" s="66"/>
      <c r="AB663" s="38" t="n">
        <f aca="false">+W663-AC663</f>
        <v>0</v>
      </c>
      <c r="AC663" s="34" t="n">
        <f aca="false">+Tabla[[#This Row],[P4]]+Tabla[[#This Row],[P3]]+Tabla[[#This Row],[P2]]+Tabla[[#This Row],[P1]]</f>
        <v>386750</v>
      </c>
      <c r="AD663" s="34" t="n">
        <f aca="false">+W663-AC663</f>
        <v>0</v>
      </c>
      <c r="AE663" s="21" t="str">
        <f aca="false">IF(AB663&lt;1,"PAGADA","PENDIENTE")</f>
        <v>PAGADA</v>
      </c>
      <c r="AF663" s="67" t="s">
        <v>328</v>
      </c>
      <c r="AG663" s="29" t="s">
        <v>77</v>
      </c>
      <c r="AH663" s="69" t="n">
        <v>46184</v>
      </c>
      <c r="AI663" s="40" t="n">
        <f aca="false">+IF(Tabla[[#This Row],[FECHA PAGO / ABONO]]&lt;1,0,(MONTH(Tabla[[#This Row],[FECHA PAGO / ABONO]])))</f>
        <v>6</v>
      </c>
      <c r="AJ663" s="40" t="n">
        <f aca="false">+IF(Tabla[[#This Row],[FECHA PAGO / ABONO]]&lt;1,0,(YEAR(Tabla[[#This Row],[FECHA PAGO / ABONO]])))</f>
        <v>2026</v>
      </c>
      <c r="AK663" s="41"/>
    </row>
    <row r="664" customFormat="false" ht="14.25" hidden="false" customHeight="false" outlineLevel="0" collapsed="false">
      <c r="A664" s="17" t="s">
        <v>93</v>
      </c>
      <c r="B664" s="18" t="s">
        <v>94</v>
      </c>
      <c r="C664" s="18" t="s">
        <v>69</v>
      </c>
      <c r="D664" s="18" t="n">
        <v>548</v>
      </c>
      <c r="E664" s="21" t="str">
        <f aca="false">+CONCATENATE(Tabla[[#This Row],[RUT]],Tabla[[#This Row],[PROVEEDOR]],Tabla[[#This Row],[FACTURA]])</f>
        <v>77278997-1CHILE 4 SPA548</v>
      </c>
      <c r="F664" s="30" t="n">
        <v>46149</v>
      </c>
      <c r="G664" s="45" t="n">
        <f aca="false">+F664+30</f>
        <v>46179</v>
      </c>
      <c r="H664" s="43" t="n">
        <f aca="true">+IF(AE664="PAGADA",0,TODAY()-G664)</f>
        <v>25</v>
      </c>
      <c r="I664" s="43" t="str">
        <f aca="false">+IF(H664&gt;180,"Atrasada",IF(H664&gt;150,"150 dias",IF(H664&gt;120,"120 dias",IF(H664&gt;90,"90 dias",IF(H664&gt;60,"60 dias",IF(H664&gt;30,"30 dias","Al Día"))))))</f>
        <v>Al Día</v>
      </c>
      <c r="J664" s="59" t="s">
        <v>31</v>
      </c>
      <c r="K664" s="60" t="s">
        <v>81</v>
      </c>
      <c r="L664" s="61" t="s">
        <v>326</v>
      </c>
      <c r="M664" s="43" t="n">
        <f aca="false">+YEAR(F664)</f>
        <v>2026</v>
      </c>
      <c r="N664" s="62" t="n">
        <v>2026</v>
      </c>
      <c r="O664" s="63" t="n">
        <v>4</v>
      </c>
      <c r="P664" s="43" t="str">
        <f aca="false">+CONCATENATE(Tabla[[#This Row],[MES CAMPAÑA]],"/",Tabla[[#This Row],[AÑO CAMPAÑA]])</f>
        <v>4/2026</v>
      </c>
      <c r="Q664" s="60" t="s">
        <v>73</v>
      </c>
      <c r="R664" s="43"/>
      <c r="S664" s="64" t="n">
        <v>0</v>
      </c>
      <c r="T664" s="64" t="n">
        <v>3001410</v>
      </c>
      <c r="U664" s="64" t="n">
        <v>570268</v>
      </c>
      <c r="V664" s="70"/>
      <c r="W664" s="24" t="n">
        <v>3571678</v>
      </c>
      <c r="X664" s="25"/>
      <c r="Y664" s="71"/>
      <c r="Z664" s="71"/>
      <c r="AA664" s="71"/>
      <c r="AB664" s="23" t="n">
        <f aca="false">+W664-AC664</f>
        <v>3571678</v>
      </c>
      <c r="AC664" s="48" t="n">
        <f aca="false">+Tabla[[#This Row],[P4]]+Tabla[[#This Row],[P3]]+Tabla[[#This Row],[P2]]+Tabla[[#This Row],[P1]]</f>
        <v>0</v>
      </c>
      <c r="AD664" s="48" t="n">
        <f aca="false">+W664-AC664</f>
        <v>3571678</v>
      </c>
      <c r="AE664" s="18" t="str">
        <f aca="false">IF(AB664&lt;1,"PAGADA","PENDIENTE")</f>
        <v>PENDIENTE</v>
      </c>
      <c r="AF664" s="72"/>
      <c r="AG664" s="43"/>
      <c r="AH664" s="73"/>
      <c r="AI664" s="53" t="n">
        <f aca="false">+IF(Tabla[[#This Row],[FECHA PAGO / ABONO]]&lt;1,0,(MONTH(Tabla[[#This Row],[FECHA PAGO / ABONO]])))</f>
        <v>0</v>
      </c>
      <c r="AJ664" s="53" t="n">
        <f aca="false">+IF(Tabla[[#This Row],[FECHA PAGO / ABONO]]&lt;1,0,(YEAR(Tabla[[#This Row],[FECHA PAGO / ABONO]])))</f>
        <v>0</v>
      </c>
      <c r="AK664" s="54"/>
    </row>
    <row r="665" customFormat="false" ht="14.25" hidden="false" customHeight="false" outlineLevel="0" collapsed="false">
      <c r="A665" s="17" t="s">
        <v>101</v>
      </c>
      <c r="B665" s="18" t="s">
        <v>102</v>
      </c>
      <c r="C665" s="18" t="s">
        <v>69</v>
      </c>
      <c r="D665" s="18" t="n">
        <v>29992765</v>
      </c>
      <c r="E665" s="21" t="str">
        <f aca="false">+CONCATENATE(Tabla[[#This Row],[RUT]],Tabla[[#This Row],[PROVEEDOR]],Tabla[[#This Row],[FACTURA]])</f>
        <v>97006000-6BANCO DE CREDITO E INVERSIONES29992765</v>
      </c>
      <c r="F665" s="30" t="n">
        <v>46149</v>
      </c>
      <c r="G665" s="31" t="n">
        <f aca="false">+F665+30</f>
        <v>46179</v>
      </c>
      <c r="H665" s="29" t="n">
        <f aca="true">+IF(AE665="PAGADA",0,TODAY()-G665)</f>
        <v>0</v>
      </c>
      <c r="I665" s="29" t="str">
        <f aca="false">+IF(H665&gt;180,"Atrasada",IF(H665&gt;150,"150 dias",IF(H665&gt;120,"120 dias",IF(H665&gt;90,"90 dias",IF(H665&gt;60,"60 dias",IF(H665&gt;30,"30 dias","Al Día"))))))</f>
        <v>Al Día</v>
      </c>
      <c r="J665" s="59" t="s">
        <v>80</v>
      </c>
      <c r="K665" s="59" t="s">
        <v>31</v>
      </c>
      <c r="L665" s="61" t="s">
        <v>326</v>
      </c>
      <c r="M665" s="29" t="n">
        <f aca="false">+YEAR(F665)</f>
        <v>2026</v>
      </c>
      <c r="N665" s="62" t="n">
        <v>2026</v>
      </c>
      <c r="O665" s="63" t="n">
        <v>5</v>
      </c>
      <c r="P665" s="29" t="str">
        <f aca="false">+CONCATENATE(Tabla[[#This Row],[MES CAMPAÑA]],"/",Tabla[[#This Row],[AÑO CAMPAÑA]])</f>
        <v>5/2026</v>
      </c>
      <c r="Q665" s="60" t="s">
        <v>73</v>
      </c>
      <c r="R665" s="29"/>
      <c r="S665" s="64" t="n">
        <v>0</v>
      </c>
      <c r="T665" s="64" t="n">
        <v>14879</v>
      </c>
      <c r="U665" s="64" t="n">
        <v>2827</v>
      </c>
      <c r="V665" s="65"/>
      <c r="W665" s="24" t="n">
        <v>17706</v>
      </c>
      <c r="X665" s="36" t="n">
        <f aca="false">+Tabla[[#This Row],[TOTAL]]</f>
        <v>17706</v>
      </c>
      <c r="Y665" s="66"/>
      <c r="Z665" s="66"/>
      <c r="AA665" s="66"/>
      <c r="AB665" s="38" t="n">
        <f aca="false">+W665-AC665</f>
        <v>0</v>
      </c>
      <c r="AC665" s="34" t="n">
        <f aca="false">+Tabla[[#This Row],[P4]]+Tabla[[#This Row],[P3]]+Tabla[[#This Row],[P2]]+Tabla[[#This Row],[P1]]</f>
        <v>17706</v>
      </c>
      <c r="AD665" s="34" t="n">
        <f aca="false">+W665-AC665</f>
        <v>0</v>
      </c>
      <c r="AE665" s="21" t="str">
        <f aca="false">IF(AB665&lt;1,"PAGADA","PENDIENTE")</f>
        <v>PAGADA</v>
      </c>
      <c r="AF665" s="67"/>
      <c r="AG665" s="29" t="s">
        <v>327</v>
      </c>
      <c r="AH665" s="68"/>
      <c r="AI665" s="40" t="n">
        <f aca="false">+IF(Tabla[[#This Row],[FECHA PAGO / ABONO]]&lt;1,0,(MONTH(Tabla[[#This Row],[FECHA PAGO / ABONO]])))</f>
        <v>0</v>
      </c>
      <c r="AJ665" s="40" t="n">
        <f aca="false">+IF(Tabla[[#This Row],[FECHA PAGO / ABONO]]&lt;1,0,(YEAR(Tabla[[#This Row],[FECHA PAGO / ABONO]])))</f>
        <v>0</v>
      </c>
      <c r="AK665" s="41"/>
    </row>
    <row r="666" customFormat="false" ht="14.25" hidden="false" customHeight="false" outlineLevel="0" collapsed="false">
      <c r="A666" s="17" t="s">
        <v>90</v>
      </c>
      <c r="B666" s="18" t="s">
        <v>91</v>
      </c>
      <c r="C666" s="18" t="s">
        <v>69</v>
      </c>
      <c r="D666" s="18" t="n">
        <v>409</v>
      </c>
      <c r="E666" s="21" t="str">
        <f aca="false">+CONCATENATE(Tabla[[#This Row],[RUT]],Tabla[[#This Row],[PROVEEDOR]],Tabla[[#This Row],[FACTURA]])</f>
        <v>76984948-3CONECCIONLINEAL PUBLICIDAD Y MARKETING SPA409</v>
      </c>
      <c r="F666" s="30" t="n">
        <v>46153</v>
      </c>
      <c r="G666" s="31" t="n">
        <f aca="false">+F666+30</f>
        <v>46183</v>
      </c>
      <c r="H666" s="29" t="n">
        <f aca="true">+IF(AE666="PAGADA",0,TODAY()-G666)</f>
        <v>0</v>
      </c>
      <c r="I666" s="29" t="str">
        <f aca="false">+IF(H666&gt;180,"Atrasada",IF(H666&gt;150,"150 dias",IF(H666&gt;120,"120 dias",IF(H666&gt;90,"90 dias",IF(H666&gt;60,"60 dias",IF(H666&gt;30,"30 dias","Al Día"))))))</f>
        <v>Al Día</v>
      </c>
      <c r="J666" s="59" t="s">
        <v>80</v>
      </c>
      <c r="K666" s="60" t="s">
        <v>81</v>
      </c>
      <c r="L666" s="61" t="s">
        <v>326</v>
      </c>
      <c r="M666" s="29" t="n">
        <f aca="false">+YEAR(F666)</f>
        <v>2026</v>
      </c>
      <c r="N666" s="62" t="n">
        <v>2026</v>
      </c>
      <c r="O666" s="63" t="n">
        <v>4</v>
      </c>
      <c r="P666" s="29" t="str">
        <f aca="false">+CONCATENATE(Tabla[[#This Row],[MES CAMPAÑA]],"/",Tabla[[#This Row],[AÑO CAMPAÑA]])</f>
        <v>4/2026</v>
      </c>
      <c r="Q666" s="60" t="s">
        <v>92</v>
      </c>
      <c r="R666" s="29"/>
      <c r="S666" s="64" t="n">
        <v>0</v>
      </c>
      <c r="T666" s="64" t="n">
        <v>465400</v>
      </c>
      <c r="U666" s="64" t="n">
        <v>88426</v>
      </c>
      <c r="V666" s="65"/>
      <c r="W666" s="24" t="n">
        <v>553826</v>
      </c>
      <c r="X666" s="36" t="n">
        <f aca="false">+Tabla[[#This Row],[TOTAL]]</f>
        <v>553826</v>
      </c>
      <c r="Y666" s="66"/>
      <c r="Z666" s="66"/>
      <c r="AA666" s="66"/>
      <c r="AB666" s="38" t="n">
        <f aca="false">+W666-AC666</f>
        <v>0</v>
      </c>
      <c r="AC666" s="34" t="n">
        <f aca="false">+Tabla[[#This Row],[P4]]+Tabla[[#This Row],[P3]]+Tabla[[#This Row],[P2]]+Tabla[[#This Row],[P1]]</f>
        <v>553826</v>
      </c>
      <c r="AD666" s="34" t="n">
        <f aca="false">+W666-AC666</f>
        <v>0</v>
      </c>
      <c r="AE666" s="21" t="str">
        <f aca="false">IF(AB666&lt;1,"PAGADA","PENDIENTE")</f>
        <v>PAGADA</v>
      </c>
      <c r="AF666" s="67"/>
      <c r="AG666" s="29" t="s">
        <v>77</v>
      </c>
      <c r="AH666" s="39" t="n">
        <v>46188</v>
      </c>
      <c r="AI666" s="40" t="n">
        <f aca="false">+IF(Tabla[[#This Row],[FECHA PAGO / ABONO]]&lt;1,0,(MONTH(Tabla[[#This Row],[FECHA PAGO / ABONO]])))</f>
        <v>6</v>
      </c>
      <c r="AJ666" s="40" t="n">
        <f aca="false">+IF(Tabla[[#This Row],[FECHA PAGO / ABONO]]&lt;1,0,(YEAR(Tabla[[#This Row],[FECHA PAGO / ABONO]])))</f>
        <v>2026</v>
      </c>
      <c r="AK666" s="41"/>
    </row>
    <row r="667" customFormat="false" ht="14.25" hidden="false" customHeight="false" outlineLevel="0" collapsed="false">
      <c r="A667" s="17" t="s">
        <v>90</v>
      </c>
      <c r="B667" s="18" t="s">
        <v>91</v>
      </c>
      <c r="C667" s="18" t="s">
        <v>69</v>
      </c>
      <c r="D667" s="18" t="n">
        <v>410</v>
      </c>
      <c r="E667" s="21" t="str">
        <f aca="false">+CONCATENATE(Tabla[[#This Row],[RUT]],Tabla[[#This Row],[PROVEEDOR]],Tabla[[#This Row],[FACTURA]])</f>
        <v>76984948-3CONECCIONLINEAL PUBLICIDAD Y MARKETING SPA410</v>
      </c>
      <c r="F667" s="30" t="n">
        <v>46153</v>
      </c>
      <c r="G667" s="31" t="n">
        <f aca="false">+F667+30</f>
        <v>46183</v>
      </c>
      <c r="H667" s="29" t="n">
        <f aca="true">+IF(AE667="PAGADA",0,TODAY()-G667)</f>
        <v>0</v>
      </c>
      <c r="I667" s="29" t="str">
        <f aca="false">+IF(H667&gt;180,"Atrasada",IF(H667&gt;150,"150 dias",IF(H667&gt;120,"120 dias",IF(H667&gt;90,"90 dias",IF(H667&gt;60,"60 dias",IF(H667&gt;30,"30 dias","Al Día"))))))</f>
        <v>Al Día</v>
      </c>
      <c r="J667" s="59" t="s">
        <v>80</v>
      </c>
      <c r="K667" s="60" t="s">
        <v>81</v>
      </c>
      <c r="L667" s="61" t="s">
        <v>326</v>
      </c>
      <c r="M667" s="29" t="n">
        <f aca="false">+YEAR(F667)</f>
        <v>2026</v>
      </c>
      <c r="N667" s="62" t="n">
        <v>2026</v>
      </c>
      <c r="O667" s="63" t="n">
        <v>4</v>
      </c>
      <c r="P667" s="29" t="str">
        <f aca="false">+CONCATENATE(Tabla[[#This Row],[MES CAMPAÑA]],"/",Tabla[[#This Row],[AÑO CAMPAÑA]])</f>
        <v>4/2026</v>
      </c>
      <c r="Q667" s="60" t="s">
        <v>92</v>
      </c>
      <c r="R667" s="29"/>
      <c r="S667" s="64" t="n">
        <v>0</v>
      </c>
      <c r="T667" s="64" t="n">
        <v>465400</v>
      </c>
      <c r="U667" s="64" t="n">
        <v>88426</v>
      </c>
      <c r="V667" s="65"/>
      <c r="W667" s="24" t="n">
        <v>553826</v>
      </c>
      <c r="X667" s="36" t="n">
        <f aca="false">+Tabla[[#This Row],[TOTAL]]</f>
        <v>553826</v>
      </c>
      <c r="Y667" s="66"/>
      <c r="Z667" s="66"/>
      <c r="AA667" s="66"/>
      <c r="AB667" s="38" t="n">
        <f aca="false">+W667-AC667</f>
        <v>0</v>
      </c>
      <c r="AC667" s="34" t="n">
        <f aca="false">+Tabla[[#This Row],[P4]]+Tabla[[#This Row],[P3]]+Tabla[[#This Row],[P2]]+Tabla[[#This Row],[P1]]</f>
        <v>553826</v>
      </c>
      <c r="AD667" s="34" t="n">
        <f aca="false">+W667-AC667</f>
        <v>0</v>
      </c>
      <c r="AE667" s="21" t="str">
        <f aca="false">IF(AB667&lt;1,"PAGADA","PENDIENTE")</f>
        <v>PAGADA</v>
      </c>
      <c r="AF667" s="67"/>
      <c r="AG667" s="29" t="s">
        <v>77</v>
      </c>
      <c r="AH667" s="39" t="n">
        <v>46188</v>
      </c>
      <c r="AI667" s="40" t="n">
        <f aca="false">+IF(Tabla[[#This Row],[FECHA PAGO / ABONO]]&lt;1,0,(MONTH(Tabla[[#This Row],[FECHA PAGO / ABONO]])))</f>
        <v>6</v>
      </c>
      <c r="AJ667" s="40" t="n">
        <f aca="false">+IF(Tabla[[#This Row],[FECHA PAGO / ABONO]]&lt;1,0,(YEAR(Tabla[[#This Row],[FECHA PAGO / ABONO]])))</f>
        <v>2026</v>
      </c>
      <c r="AK667" s="41"/>
    </row>
    <row r="668" customFormat="false" ht="14.25" hidden="false" customHeight="false" outlineLevel="0" collapsed="false">
      <c r="A668" s="17" t="s">
        <v>270</v>
      </c>
      <c r="B668" s="18" t="s">
        <v>271</v>
      </c>
      <c r="C668" s="18" t="s">
        <v>69</v>
      </c>
      <c r="D668" s="18" t="n">
        <v>3049076</v>
      </c>
      <c r="E668" s="21" t="str">
        <f aca="false">+CONCATENATE(Tabla[[#This Row],[RUT]],Tabla[[#This Row],[PROVEEDOR]],Tabla[[#This Row],[FACTURA]])</f>
        <v>87161100-9DIRECTV Chile TelevisiÃƒÂ³n Limitada3049076</v>
      </c>
      <c r="F668" s="30" t="n">
        <v>46150</v>
      </c>
      <c r="G668" s="31" t="n">
        <f aca="false">+F668+30</f>
        <v>46180</v>
      </c>
      <c r="H668" s="29" t="n">
        <f aca="true">+IF(AE668="PAGADA",0,TODAY()-G668)</f>
        <v>0</v>
      </c>
      <c r="I668" s="29" t="str">
        <f aca="false">+IF(H668&gt;180,"Atrasada",IF(H668&gt;150,"150 dias",IF(H668&gt;120,"120 dias",IF(H668&gt;90,"90 dias",IF(H668&gt;60,"60 dias",IF(H668&gt;30,"30 dias","Al Día"))))))</f>
        <v>Al Día</v>
      </c>
      <c r="J668" s="59" t="s">
        <v>31</v>
      </c>
      <c r="K668" s="60" t="s">
        <v>81</v>
      </c>
      <c r="L668" s="61" t="s">
        <v>326</v>
      </c>
      <c r="M668" s="29" t="n">
        <f aca="false">+YEAR(F668)</f>
        <v>2026</v>
      </c>
      <c r="N668" s="62" t="n">
        <v>2026</v>
      </c>
      <c r="O668" s="63" t="n">
        <v>4</v>
      </c>
      <c r="P668" s="29" t="str">
        <f aca="false">+CONCATENATE(Tabla[[#This Row],[MES CAMPAÑA]],"/",Tabla[[#This Row],[AÑO CAMPAÑA]])</f>
        <v>4/2026</v>
      </c>
      <c r="Q668" s="60" t="s">
        <v>73</v>
      </c>
      <c r="R668" s="29"/>
      <c r="S668" s="64" t="n">
        <v>0</v>
      </c>
      <c r="T668" s="64" t="n">
        <v>79244</v>
      </c>
      <c r="U668" s="64" t="n">
        <v>15056</v>
      </c>
      <c r="V668" s="65"/>
      <c r="W668" s="24" t="n">
        <v>94300</v>
      </c>
      <c r="X668" s="36" t="n">
        <f aca="false">+Tabla[[#This Row],[TOTAL]]</f>
        <v>94300</v>
      </c>
      <c r="Y668" s="66"/>
      <c r="Z668" s="66"/>
      <c r="AA668" s="66"/>
      <c r="AB668" s="38" t="n">
        <f aca="false">+W668-AC668</f>
        <v>0</v>
      </c>
      <c r="AC668" s="34" t="n">
        <f aca="false">+Tabla[[#This Row],[P4]]+Tabla[[#This Row],[P3]]+Tabla[[#This Row],[P2]]+Tabla[[#This Row],[P1]]</f>
        <v>94300</v>
      </c>
      <c r="AD668" s="34" t="n">
        <f aca="false">+W668-AC668</f>
        <v>0</v>
      </c>
      <c r="AE668" s="21" t="str">
        <f aca="false">IF(AB668&lt;1,"PAGADA","PENDIENTE")</f>
        <v>PAGADA</v>
      </c>
      <c r="AF668" s="67"/>
      <c r="AG668" s="29" t="s">
        <v>329</v>
      </c>
      <c r="AH668" s="68"/>
      <c r="AI668" s="40" t="n">
        <f aca="false">+IF(Tabla[[#This Row],[FECHA PAGO / ABONO]]&lt;1,0,(MONTH(Tabla[[#This Row],[FECHA PAGO / ABONO]])))</f>
        <v>0</v>
      </c>
      <c r="AJ668" s="40" t="n">
        <f aca="false">+IF(Tabla[[#This Row],[FECHA PAGO / ABONO]]&lt;1,0,(YEAR(Tabla[[#This Row],[FECHA PAGO / ABONO]])))</f>
        <v>0</v>
      </c>
      <c r="AK668" s="41"/>
    </row>
    <row r="669" customFormat="false" ht="14.25" hidden="false" customHeight="false" outlineLevel="0" collapsed="false">
      <c r="A669" s="17" t="s">
        <v>101</v>
      </c>
      <c r="B669" s="18" t="s">
        <v>102</v>
      </c>
      <c r="C669" s="18" t="s">
        <v>69</v>
      </c>
      <c r="D669" s="18" t="n">
        <v>30047100</v>
      </c>
      <c r="E669" s="21" t="str">
        <f aca="false">+CONCATENATE(Tabla[[#This Row],[RUT]],Tabla[[#This Row],[PROVEEDOR]],Tabla[[#This Row],[FACTURA]])</f>
        <v>97006000-6BANCO DE CREDITO E INVERSIONES30047100</v>
      </c>
      <c r="F669" s="30" t="n">
        <v>46154</v>
      </c>
      <c r="G669" s="31" t="n">
        <f aca="false">+F669+30</f>
        <v>46184</v>
      </c>
      <c r="H669" s="29" t="n">
        <f aca="true">+IF(AE669="PAGADA",0,TODAY()-G669)</f>
        <v>0</v>
      </c>
      <c r="I669" s="29" t="str">
        <f aca="false">+IF(H669&gt;180,"Atrasada",IF(H669&gt;150,"150 dias",IF(H669&gt;120,"120 dias",IF(H669&gt;90,"90 dias",IF(H669&gt;60,"60 dias",IF(H669&gt;30,"30 dias","Al Día"))))))</f>
        <v>Al Día</v>
      </c>
      <c r="J669" s="59" t="s">
        <v>80</v>
      </c>
      <c r="K669" s="59" t="s">
        <v>31</v>
      </c>
      <c r="L669" s="61" t="s">
        <v>326</v>
      </c>
      <c r="M669" s="29" t="n">
        <f aca="false">+YEAR(F669)</f>
        <v>2026</v>
      </c>
      <c r="N669" s="62" t="n">
        <v>2026</v>
      </c>
      <c r="O669" s="63" t="n">
        <v>5</v>
      </c>
      <c r="P669" s="29" t="str">
        <f aca="false">+CONCATENATE(Tabla[[#This Row],[MES CAMPAÑA]],"/",Tabla[[#This Row],[AÑO CAMPAÑA]])</f>
        <v>5/2026</v>
      </c>
      <c r="Q669" s="60" t="s">
        <v>73</v>
      </c>
      <c r="R669" s="29"/>
      <c r="S669" s="64" t="n">
        <v>0</v>
      </c>
      <c r="T669" s="64" t="n">
        <v>3364</v>
      </c>
      <c r="U669" s="64" t="n">
        <v>639</v>
      </c>
      <c r="V669" s="65"/>
      <c r="W669" s="24" t="n">
        <v>4003</v>
      </c>
      <c r="X669" s="36" t="n">
        <f aca="false">+Tabla[[#This Row],[TOTAL]]</f>
        <v>4003</v>
      </c>
      <c r="Y669" s="66"/>
      <c r="Z669" s="66"/>
      <c r="AA669" s="66"/>
      <c r="AB669" s="38" t="n">
        <f aca="false">+W669-AC669</f>
        <v>0</v>
      </c>
      <c r="AC669" s="34" t="n">
        <f aca="false">+Tabla[[#This Row],[P4]]+Tabla[[#This Row],[P3]]+Tabla[[#This Row],[P2]]+Tabla[[#This Row],[P1]]</f>
        <v>4003</v>
      </c>
      <c r="AD669" s="34" t="n">
        <f aca="false">+W669-AC669</f>
        <v>0</v>
      </c>
      <c r="AE669" s="21" t="str">
        <f aca="false">IF(AB669&lt;1,"PAGADA","PENDIENTE")</f>
        <v>PAGADA</v>
      </c>
      <c r="AF669" s="67"/>
      <c r="AG669" s="29" t="s">
        <v>327</v>
      </c>
      <c r="AH669" s="68"/>
      <c r="AI669" s="40" t="n">
        <f aca="false">+IF(Tabla[[#This Row],[FECHA PAGO / ABONO]]&lt;1,0,(MONTH(Tabla[[#This Row],[FECHA PAGO / ABONO]])))</f>
        <v>0</v>
      </c>
      <c r="AJ669" s="40" t="n">
        <f aca="false">+IF(Tabla[[#This Row],[FECHA PAGO / ABONO]]&lt;1,0,(YEAR(Tabla[[#This Row],[FECHA PAGO / ABONO]])))</f>
        <v>0</v>
      </c>
      <c r="AK669" s="41"/>
    </row>
    <row r="670" customFormat="false" ht="14.25" hidden="false" customHeight="false" outlineLevel="0" collapsed="false">
      <c r="A670" s="17" t="s">
        <v>101</v>
      </c>
      <c r="B670" s="18" t="s">
        <v>102</v>
      </c>
      <c r="C670" s="18" t="s">
        <v>69</v>
      </c>
      <c r="D670" s="18" t="n">
        <v>30047101</v>
      </c>
      <c r="E670" s="21" t="str">
        <f aca="false">+CONCATENATE(Tabla[[#This Row],[RUT]],Tabla[[#This Row],[PROVEEDOR]],Tabla[[#This Row],[FACTURA]])</f>
        <v>97006000-6BANCO DE CREDITO E INVERSIONES30047101</v>
      </c>
      <c r="F670" s="30" t="n">
        <v>46154</v>
      </c>
      <c r="G670" s="31" t="n">
        <f aca="false">+F670+30</f>
        <v>46184</v>
      </c>
      <c r="H670" s="29" t="n">
        <f aca="true">+IF(AE670="PAGADA",0,TODAY()-G670)</f>
        <v>0</v>
      </c>
      <c r="I670" s="29" t="str">
        <f aca="false">+IF(H670&gt;180,"Atrasada",IF(H670&gt;150,"150 dias",IF(H670&gt;120,"120 dias",IF(H670&gt;90,"90 dias",IF(H670&gt;60,"60 dias",IF(H670&gt;30,"30 dias","Al Día"))))))</f>
        <v>Al Día</v>
      </c>
      <c r="J670" s="59" t="s">
        <v>80</v>
      </c>
      <c r="K670" s="59" t="s">
        <v>31</v>
      </c>
      <c r="L670" s="61" t="s">
        <v>326</v>
      </c>
      <c r="M670" s="29" t="n">
        <f aca="false">+YEAR(F670)</f>
        <v>2026</v>
      </c>
      <c r="N670" s="62" t="n">
        <v>2026</v>
      </c>
      <c r="O670" s="63" t="n">
        <v>5</v>
      </c>
      <c r="P670" s="29" t="str">
        <f aca="false">+CONCATENATE(Tabla[[#This Row],[MES CAMPAÑA]],"/",Tabla[[#This Row],[AÑO CAMPAÑA]])</f>
        <v>5/2026</v>
      </c>
      <c r="Q670" s="60" t="s">
        <v>73</v>
      </c>
      <c r="R670" s="29"/>
      <c r="S670" s="64" t="n">
        <v>0</v>
      </c>
      <c r="T670" s="64" t="n">
        <v>147850</v>
      </c>
      <c r="U670" s="64" t="n">
        <v>28092</v>
      </c>
      <c r="V670" s="65"/>
      <c r="W670" s="24" t="n">
        <v>175942</v>
      </c>
      <c r="X670" s="36" t="n">
        <f aca="false">+Tabla[[#This Row],[TOTAL]]</f>
        <v>175942</v>
      </c>
      <c r="Y670" s="66"/>
      <c r="Z670" s="66"/>
      <c r="AA670" s="66"/>
      <c r="AB670" s="38" t="n">
        <f aca="false">+W670-AC670</f>
        <v>0</v>
      </c>
      <c r="AC670" s="34" t="n">
        <f aca="false">+Tabla[[#This Row],[P4]]+Tabla[[#This Row],[P3]]+Tabla[[#This Row],[P2]]+Tabla[[#This Row],[P1]]</f>
        <v>175942</v>
      </c>
      <c r="AD670" s="34" t="n">
        <f aca="false">+W670-AC670</f>
        <v>0</v>
      </c>
      <c r="AE670" s="21" t="str">
        <f aca="false">IF(AB670&lt;1,"PAGADA","PENDIENTE")</f>
        <v>PAGADA</v>
      </c>
      <c r="AF670" s="67"/>
      <c r="AG670" s="29" t="s">
        <v>327</v>
      </c>
      <c r="AH670" s="68"/>
      <c r="AI670" s="40" t="n">
        <f aca="false">+IF(Tabla[[#This Row],[FECHA PAGO / ABONO]]&lt;1,0,(MONTH(Tabla[[#This Row],[FECHA PAGO / ABONO]])))</f>
        <v>0</v>
      </c>
      <c r="AJ670" s="40" t="n">
        <f aca="false">+IF(Tabla[[#This Row],[FECHA PAGO / ABONO]]&lt;1,0,(YEAR(Tabla[[#This Row],[FECHA PAGO / ABONO]])))</f>
        <v>0</v>
      </c>
      <c r="AK670" s="41"/>
    </row>
    <row r="671" customFormat="false" ht="14.25" hidden="false" customHeight="false" outlineLevel="0" collapsed="false">
      <c r="A671" s="17" t="s">
        <v>101</v>
      </c>
      <c r="B671" s="18" t="s">
        <v>102</v>
      </c>
      <c r="C671" s="18" t="s">
        <v>69</v>
      </c>
      <c r="D671" s="18" t="n">
        <v>30047102</v>
      </c>
      <c r="E671" s="21" t="str">
        <f aca="false">+CONCATENATE(Tabla[[#This Row],[RUT]],Tabla[[#This Row],[PROVEEDOR]],Tabla[[#This Row],[FACTURA]])</f>
        <v>97006000-6BANCO DE CREDITO E INVERSIONES30047102</v>
      </c>
      <c r="F671" s="30" t="n">
        <v>46154</v>
      </c>
      <c r="G671" s="31" t="n">
        <f aca="false">+F671+30</f>
        <v>46184</v>
      </c>
      <c r="H671" s="29" t="n">
        <f aca="true">+IF(AE671="PAGADA",0,TODAY()-G671)</f>
        <v>0</v>
      </c>
      <c r="I671" s="29" t="str">
        <f aca="false">+IF(H671&gt;180,"Atrasada",IF(H671&gt;150,"150 dias",IF(H671&gt;120,"120 dias",IF(H671&gt;90,"90 dias",IF(H671&gt;60,"60 dias",IF(H671&gt;30,"30 dias","Al Día"))))))</f>
        <v>Al Día</v>
      </c>
      <c r="J671" s="59" t="s">
        <v>80</v>
      </c>
      <c r="K671" s="59" t="s">
        <v>31</v>
      </c>
      <c r="L671" s="61" t="s">
        <v>326</v>
      </c>
      <c r="M671" s="29" t="n">
        <f aca="false">+YEAR(F671)</f>
        <v>2026</v>
      </c>
      <c r="N671" s="62" t="n">
        <v>2026</v>
      </c>
      <c r="O671" s="63" t="n">
        <v>5</v>
      </c>
      <c r="P671" s="29" t="str">
        <f aca="false">+CONCATENATE(Tabla[[#This Row],[MES CAMPAÑA]],"/",Tabla[[#This Row],[AÑO CAMPAÑA]])</f>
        <v>5/2026</v>
      </c>
      <c r="Q671" s="60" t="s">
        <v>73</v>
      </c>
      <c r="R671" s="29"/>
      <c r="S671" s="64" t="n">
        <v>0</v>
      </c>
      <c r="T671" s="64" t="n">
        <v>3364</v>
      </c>
      <c r="U671" s="64" t="n">
        <v>639</v>
      </c>
      <c r="V671" s="65"/>
      <c r="W671" s="24" t="n">
        <v>4003</v>
      </c>
      <c r="X671" s="36" t="n">
        <f aca="false">+Tabla[[#This Row],[TOTAL]]</f>
        <v>4003</v>
      </c>
      <c r="Y671" s="66"/>
      <c r="Z671" s="66"/>
      <c r="AA671" s="66"/>
      <c r="AB671" s="38" t="n">
        <f aca="false">+W671-AC671</f>
        <v>0</v>
      </c>
      <c r="AC671" s="34" t="n">
        <f aca="false">+Tabla[[#This Row],[P4]]+Tabla[[#This Row],[P3]]+Tabla[[#This Row],[P2]]+Tabla[[#This Row],[P1]]</f>
        <v>4003</v>
      </c>
      <c r="AD671" s="34" t="n">
        <f aca="false">+W671-AC671</f>
        <v>0</v>
      </c>
      <c r="AE671" s="21" t="str">
        <f aca="false">IF(AB671&lt;1,"PAGADA","PENDIENTE")</f>
        <v>PAGADA</v>
      </c>
      <c r="AF671" s="67"/>
      <c r="AG671" s="29" t="s">
        <v>327</v>
      </c>
      <c r="AH671" s="68"/>
      <c r="AI671" s="40" t="n">
        <f aca="false">+IF(Tabla[[#This Row],[FECHA PAGO / ABONO]]&lt;1,0,(MONTH(Tabla[[#This Row],[FECHA PAGO / ABONO]])))</f>
        <v>0</v>
      </c>
      <c r="AJ671" s="40" t="n">
        <f aca="false">+IF(Tabla[[#This Row],[FECHA PAGO / ABONO]]&lt;1,0,(YEAR(Tabla[[#This Row],[FECHA PAGO / ABONO]])))</f>
        <v>0</v>
      </c>
      <c r="AK671" s="41"/>
    </row>
    <row r="672" customFormat="false" ht="14.25" hidden="false" customHeight="false" outlineLevel="0" collapsed="false">
      <c r="A672" s="17" t="s">
        <v>101</v>
      </c>
      <c r="B672" s="18" t="s">
        <v>102</v>
      </c>
      <c r="C672" s="18" t="s">
        <v>69</v>
      </c>
      <c r="D672" s="18" t="n">
        <v>30047103</v>
      </c>
      <c r="E672" s="21" t="str">
        <f aca="false">+CONCATENATE(Tabla[[#This Row],[RUT]],Tabla[[#This Row],[PROVEEDOR]],Tabla[[#This Row],[FACTURA]])</f>
        <v>97006000-6BANCO DE CREDITO E INVERSIONES30047103</v>
      </c>
      <c r="F672" s="30" t="n">
        <v>46154</v>
      </c>
      <c r="G672" s="31" t="n">
        <f aca="false">+F672+30</f>
        <v>46184</v>
      </c>
      <c r="H672" s="29" t="n">
        <f aca="true">+IF(AE672="PAGADA",0,TODAY()-G672)</f>
        <v>0</v>
      </c>
      <c r="I672" s="29" t="str">
        <f aca="false">+IF(H672&gt;180,"Atrasada",IF(H672&gt;150,"150 dias",IF(H672&gt;120,"120 dias",IF(H672&gt;90,"90 dias",IF(H672&gt;60,"60 dias",IF(H672&gt;30,"30 dias","Al Día"))))))</f>
        <v>Al Día</v>
      </c>
      <c r="J672" s="59" t="s">
        <v>80</v>
      </c>
      <c r="K672" s="59" t="s">
        <v>31</v>
      </c>
      <c r="L672" s="61" t="s">
        <v>326</v>
      </c>
      <c r="M672" s="29" t="n">
        <f aca="false">+YEAR(F672)</f>
        <v>2026</v>
      </c>
      <c r="N672" s="62" t="n">
        <v>2026</v>
      </c>
      <c r="O672" s="63" t="n">
        <v>5</v>
      </c>
      <c r="P672" s="29" t="str">
        <f aca="false">+CONCATENATE(Tabla[[#This Row],[MES CAMPAÑA]],"/",Tabla[[#This Row],[AÑO CAMPAÑA]])</f>
        <v>5/2026</v>
      </c>
      <c r="Q672" s="60" t="s">
        <v>73</v>
      </c>
      <c r="R672" s="29"/>
      <c r="S672" s="64" t="n">
        <v>0</v>
      </c>
      <c r="T672" s="64" t="n">
        <v>2018</v>
      </c>
      <c r="U672" s="64" t="n">
        <v>384</v>
      </c>
      <c r="V672" s="65"/>
      <c r="W672" s="24" t="n">
        <v>2402</v>
      </c>
      <c r="X672" s="36" t="n">
        <f aca="false">+Tabla[[#This Row],[TOTAL]]</f>
        <v>2402</v>
      </c>
      <c r="Y672" s="66"/>
      <c r="Z672" s="66"/>
      <c r="AA672" s="66"/>
      <c r="AB672" s="38" t="n">
        <f aca="false">+W672-AC672</f>
        <v>0</v>
      </c>
      <c r="AC672" s="34" t="n">
        <f aca="false">+Tabla[[#This Row],[P4]]+Tabla[[#This Row],[P3]]+Tabla[[#This Row],[P2]]+Tabla[[#This Row],[P1]]</f>
        <v>2402</v>
      </c>
      <c r="AD672" s="34" t="n">
        <f aca="false">+W672-AC672</f>
        <v>0</v>
      </c>
      <c r="AE672" s="21" t="str">
        <f aca="false">IF(AB672&lt;1,"PAGADA","PENDIENTE")</f>
        <v>PAGADA</v>
      </c>
      <c r="AF672" s="67"/>
      <c r="AG672" s="29" t="s">
        <v>327</v>
      </c>
      <c r="AH672" s="68"/>
      <c r="AI672" s="40" t="n">
        <f aca="false">+IF(Tabla[[#This Row],[FECHA PAGO / ABONO]]&lt;1,0,(MONTH(Tabla[[#This Row],[FECHA PAGO / ABONO]])))</f>
        <v>0</v>
      </c>
      <c r="AJ672" s="40" t="n">
        <f aca="false">+IF(Tabla[[#This Row],[FECHA PAGO / ABONO]]&lt;1,0,(YEAR(Tabla[[#This Row],[FECHA PAGO / ABONO]])))</f>
        <v>0</v>
      </c>
      <c r="AK672" s="41"/>
    </row>
    <row r="673" customFormat="false" ht="14.25" hidden="false" customHeight="false" outlineLevel="0" collapsed="false">
      <c r="A673" s="17" t="s">
        <v>101</v>
      </c>
      <c r="B673" s="18" t="s">
        <v>102</v>
      </c>
      <c r="C673" s="18" t="s">
        <v>69</v>
      </c>
      <c r="D673" s="18" t="n">
        <v>30047104</v>
      </c>
      <c r="E673" s="21" t="str">
        <f aca="false">+CONCATENATE(Tabla[[#This Row],[RUT]],Tabla[[#This Row],[PROVEEDOR]],Tabla[[#This Row],[FACTURA]])</f>
        <v>97006000-6BANCO DE CREDITO E INVERSIONES30047104</v>
      </c>
      <c r="F673" s="30" t="n">
        <v>46154</v>
      </c>
      <c r="G673" s="31" t="n">
        <f aca="false">+F673+30</f>
        <v>46184</v>
      </c>
      <c r="H673" s="29" t="n">
        <f aca="true">+IF(AE673="PAGADA",0,TODAY()-G673)</f>
        <v>0</v>
      </c>
      <c r="I673" s="29" t="str">
        <f aca="false">+IF(H673&gt;180,"Atrasada",IF(H673&gt;150,"150 dias",IF(H673&gt;120,"120 dias",IF(H673&gt;90,"90 dias",IF(H673&gt;60,"60 dias",IF(H673&gt;30,"30 dias","Al Día"))))))</f>
        <v>Al Día</v>
      </c>
      <c r="J673" s="59" t="s">
        <v>80</v>
      </c>
      <c r="K673" s="59" t="s">
        <v>31</v>
      </c>
      <c r="L673" s="61" t="s">
        <v>326</v>
      </c>
      <c r="M673" s="29" t="n">
        <f aca="false">+YEAR(F673)</f>
        <v>2026</v>
      </c>
      <c r="N673" s="62" t="n">
        <v>2026</v>
      </c>
      <c r="O673" s="63" t="n">
        <v>5</v>
      </c>
      <c r="P673" s="29" t="str">
        <f aca="false">+CONCATENATE(Tabla[[#This Row],[MES CAMPAÑA]],"/",Tabla[[#This Row],[AÑO CAMPAÑA]])</f>
        <v>5/2026</v>
      </c>
      <c r="Q673" s="60" t="s">
        <v>73</v>
      </c>
      <c r="R673" s="29"/>
      <c r="S673" s="64" t="n">
        <v>0</v>
      </c>
      <c r="T673" s="64" t="n">
        <v>197502</v>
      </c>
      <c r="U673" s="64" t="n">
        <v>37525</v>
      </c>
      <c r="V673" s="65"/>
      <c r="W673" s="24" t="n">
        <v>235027</v>
      </c>
      <c r="X673" s="36" t="n">
        <f aca="false">+Tabla[[#This Row],[TOTAL]]</f>
        <v>235027</v>
      </c>
      <c r="Y673" s="66"/>
      <c r="Z673" s="66"/>
      <c r="AA673" s="66"/>
      <c r="AB673" s="38" t="n">
        <f aca="false">+W673-AC673</f>
        <v>0</v>
      </c>
      <c r="AC673" s="34" t="n">
        <f aca="false">+Tabla[[#This Row],[P4]]+Tabla[[#This Row],[P3]]+Tabla[[#This Row],[P2]]+Tabla[[#This Row],[P1]]</f>
        <v>235027</v>
      </c>
      <c r="AD673" s="34" t="n">
        <f aca="false">+W673-AC673</f>
        <v>0</v>
      </c>
      <c r="AE673" s="21" t="str">
        <f aca="false">IF(AB673&lt;1,"PAGADA","PENDIENTE")</f>
        <v>PAGADA</v>
      </c>
      <c r="AF673" s="67"/>
      <c r="AG673" s="29" t="s">
        <v>327</v>
      </c>
      <c r="AH673" s="68"/>
      <c r="AI673" s="40" t="n">
        <f aca="false">+IF(Tabla[[#This Row],[FECHA PAGO / ABONO]]&lt;1,0,(MONTH(Tabla[[#This Row],[FECHA PAGO / ABONO]])))</f>
        <v>0</v>
      </c>
      <c r="AJ673" s="40" t="n">
        <f aca="false">+IF(Tabla[[#This Row],[FECHA PAGO / ABONO]]&lt;1,0,(YEAR(Tabla[[#This Row],[FECHA PAGO / ABONO]])))</f>
        <v>0</v>
      </c>
      <c r="AK673" s="41"/>
    </row>
    <row r="674" customFormat="false" ht="14.25" hidden="false" customHeight="false" outlineLevel="0" collapsed="false">
      <c r="A674" s="17" t="s">
        <v>101</v>
      </c>
      <c r="B674" s="18" t="s">
        <v>102</v>
      </c>
      <c r="C674" s="18" t="s">
        <v>69</v>
      </c>
      <c r="D674" s="18" t="n">
        <v>30047105</v>
      </c>
      <c r="E674" s="21" t="str">
        <f aca="false">+CONCATENATE(Tabla[[#This Row],[RUT]],Tabla[[#This Row],[PROVEEDOR]],Tabla[[#This Row],[FACTURA]])</f>
        <v>97006000-6BANCO DE CREDITO E INVERSIONES30047105</v>
      </c>
      <c r="F674" s="30" t="n">
        <v>46154</v>
      </c>
      <c r="G674" s="31" t="n">
        <f aca="false">+F674+30</f>
        <v>46184</v>
      </c>
      <c r="H674" s="29" t="n">
        <f aca="true">+IF(AE674="PAGADA",0,TODAY()-G674)</f>
        <v>0</v>
      </c>
      <c r="I674" s="29" t="str">
        <f aca="false">+IF(H674&gt;180,"Atrasada",IF(H674&gt;150,"150 dias",IF(H674&gt;120,"120 dias",IF(H674&gt;90,"90 dias",IF(H674&gt;60,"60 dias",IF(H674&gt;30,"30 dias","Al Día"))))))</f>
        <v>Al Día</v>
      </c>
      <c r="J674" s="59" t="s">
        <v>80</v>
      </c>
      <c r="K674" s="59" t="s">
        <v>31</v>
      </c>
      <c r="L674" s="61" t="s">
        <v>326</v>
      </c>
      <c r="M674" s="29" t="n">
        <f aca="false">+YEAR(F674)</f>
        <v>2026</v>
      </c>
      <c r="N674" s="62" t="n">
        <v>2026</v>
      </c>
      <c r="O674" s="63" t="n">
        <v>5</v>
      </c>
      <c r="P674" s="29" t="str">
        <f aca="false">+CONCATENATE(Tabla[[#This Row],[MES CAMPAÑA]],"/",Tabla[[#This Row],[AÑO CAMPAÑA]])</f>
        <v>5/2026</v>
      </c>
      <c r="Q674" s="60" t="s">
        <v>73</v>
      </c>
      <c r="R674" s="29"/>
      <c r="S674" s="64" t="n">
        <v>0</v>
      </c>
      <c r="T674" s="64" t="n">
        <v>1345</v>
      </c>
      <c r="U674" s="64" t="n">
        <v>256</v>
      </c>
      <c r="V674" s="65"/>
      <c r="W674" s="24" t="n">
        <v>1601</v>
      </c>
      <c r="X674" s="36" t="n">
        <f aca="false">+Tabla[[#This Row],[TOTAL]]</f>
        <v>1601</v>
      </c>
      <c r="Y674" s="66"/>
      <c r="Z674" s="66"/>
      <c r="AA674" s="66"/>
      <c r="AB674" s="38" t="n">
        <f aca="false">+W674-AC674</f>
        <v>0</v>
      </c>
      <c r="AC674" s="34" t="n">
        <f aca="false">+Tabla[[#This Row],[P4]]+Tabla[[#This Row],[P3]]+Tabla[[#This Row],[P2]]+Tabla[[#This Row],[P1]]</f>
        <v>1601</v>
      </c>
      <c r="AD674" s="34" t="n">
        <f aca="false">+W674-AC674</f>
        <v>0</v>
      </c>
      <c r="AE674" s="21" t="str">
        <f aca="false">IF(AB674&lt;1,"PAGADA","PENDIENTE")</f>
        <v>PAGADA</v>
      </c>
      <c r="AF674" s="67"/>
      <c r="AG674" s="29" t="s">
        <v>327</v>
      </c>
      <c r="AH674" s="68"/>
      <c r="AI674" s="40" t="n">
        <f aca="false">+IF(Tabla[[#This Row],[FECHA PAGO / ABONO]]&lt;1,0,(MONTH(Tabla[[#This Row],[FECHA PAGO / ABONO]])))</f>
        <v>0</v>
      </c>
      <c r="AJ674" s="40" t="n">
        <f aca="false">+IF(Tabla[[#This Row],[FECHA PAGO / ABONO]]&lt;1,0,(YEAR(Tabla[[#This Row],[FECHA PAGO / ABONO]])))</f>
        <v>0</v>
      </c>
      <c r="AK674" s="41"/>
    </row>
    <row r="675" customFormat="false" ht="14.25" hidden="false" customHeight="false" outlineLevel="0" collapsed="false">
      <c r="A675" s="17" t="s">
        <v>101</v>
      </c>
      <c r="B675" s="18" t="s">
        <v>102</v>
      </c>
      <c r="C675" s="18" t="s">
        <v>69</v>
      </c>
      <c r="D675" s="18" t="n">
        <v>30047106</v>
      </c>
      <c r="E675" s="21" t="str">
        <f aca="false">+CONCATENATE(Tabla[[#This Row],[RUT]],Tabla[[#This Row],[PROVEEDOR]],Tabla[[#This Row],[FACTURA]])</f>
        <v>97006000-6BANCO DE CREDITO E INVERSIONES30047106</v>
      </c>
      <c r="F675" s="30" t="n">
        <v>46154</v>
      </c>
      <c r="G675" s="31" t="n">
        <f aca="false">+F675+30</f>
        <v>46184</v>
      </c>
      <c r="H675" s="29" t="n">
        <f aca="true">+IF(AE675="PAGADA",0,TODAY()-G675)</f>
        <v>0</v>
      </c>
      <c r="I675" s="29" t="str">
        <f aca="false">+IF(H675&gt;180,"Atrasada",IF(H675&gt;150,"150 dias",IF(H675&gt;120,"120 dias",IF(H675&gt;90,"90 dias",IF(H675&gt;60,"60 dias",IF(H675&gt;30,"30 dias","Al Día"))))))</f>
        <v>Al Día</v>
      </c>
      <c r="J675" s="59" t="s">
        <v>80</v>
      </c>
      <c r="K675" s="59" t="s">
        <v>31</v>
      </c>
      <c r="L675" s="61" t="s">
        <v>326</v>
      </c>
      <c r="M675" s="29" t="n">
        <f aca="false">+YEAR(F675)</f>
        <v>2026</v>
      </c>
      <c r="N675" s="62" t="n">
        <v>2026</v>
      </c>
      <c r="O675" s="63" t="n">
        <v>5</v>
      </c>
      <c r="P675" s="29" t="str">
        <f aca="false">+CONCATENATE(Tabla[[#This Row],[MES CAMPAÑA]],"/",Tabla[[#This Row],[AÑO CAMPAÑA]])</f>
        <v>5/2026</v>
      </c>
      <c r="Q675" s="60" t="s">
        <v>73</v>
      </c>
      <c r="R675" s="29"/>
      <c r="S675" s="64" t="n">
        <v>0</v>
      </c>
      <c r="T675" s="64" t="n">
        <v>125708</v>
      </c>
      <c r="U675" s="64" t="n">
        <v>23884</v>
      </c>
      <c r="V675" s="65"/>
      <c r="W675" s="24" t="n">
        <v>149592</v>
      </c>
      <c r="X675" s="36" t="n">
        <f aca="false">+Tabla[[#This Row],[TOTAL]]</f>
        <v>149592</v>
      </c>
      <c r="Y675" s="66"/>
      <c r="Z675" s="66"/>
      <c r="AA675" s="66"/>
      <c r="AB675" s="38" t="n">
        <f aca="false">+W675-AC675</f>
        <v>0</v>
      </c>
      <c r="AC675" s="34" t="n">
        <f aca="false">+Tabla[[#This Row],[P4]]+Tabla[[#This Row],[P3]]+Tabla[[#This Row],[P2]]+Tabla[[#This Row],[P1]]</f>
        <v>149592</v>
      </c>
      <c r="AD675" s="34" t="n">
        <f aca="false">+W675-AC675</f>
        <v>0</v>
      </c>
      <c r="AE675" s="21" t="str">
        <f aca="false">IF(AB675&lt;1,"PAGADA","PENDIENTE")</f>
        <v>PAGADA</v>
      </c>
      <c r="AF675" s="67"/>
      <c r="AG675" s="29" t="s">
        <v>327</v>
      </c>
      <c r="AH675" s="68"/>
      <c r="AI675" s="40" t="n">
        <f aca="false">+IF(Tabla[[#This Row],[FECHA PAGO / ABONO]]&lt;1,0,(MONTH(Tabla[[#This Row],[FECHA PAGO / ABONO]])))</f>
        <v>0</v>
      </c>
      <c r="AJ675" s="40" t="n">
        <f aca="false">+IF(Tabla[[#This Row],[FECHA PAGO / ABONO]]&lt;1,0,(YEAR(Tabla[[#This Row],[FECHA PAGO / ABONO]])))</f>
        <v>0</v>
      </c>
      <c r="AK675" s="41"/>
    </row>
    <row r="676" customFormat="false" ht="14.25" hidden="false" customHeight="false" outlineLevel="0" collapsed="false">
      <c r="A676" s="17" t="s">
        <v>101</v>
      </c>
      <c r="B676" s="18" t="s">
        <v>102</v>
      </c>
      <c r="C676" s="18" t="s">
        <v>69</v>
      </c>
      <c r="D676" s="18" t="n">
        <v>30047107</v>
      </c>
      <c r="E676" s="21" t="str">
        <f aca="false">+CONCATENATE(Tabla[[#This Row],[RUT]],Tabla[[#This Row],[PROVEEDOR]],Tabla[[#This Row],[FACTURA]])</f>
        <v>97006000-6BANCO DE CREDITO E INVERSIONES30047107</v>
      </c>
      <c r="F676" s="30" t="n">
        <v>46154</v>
      </c>
      <c r="G676" s="31" t="n">
        <f aca="false">+F676+30</f>
        <v>46184</v>
      </c>
      <c r="H676" s="29" t="n">
        <f aca="true">+IF(AE676="PAGADA",0,TODAY()-G676)</f>
        <v>0</v>
      </c>
      <c r="I676" s="29" t="str">
        <f aca="false">+IF(H676&gt;180,"Atrasada",IF(H676&gt;150,"150 dias",IF(H676&gt;120,"120 dias",IF(H676&gt;90,"90 dias",IF(H676&gt;60,"60 dias",IF(H676&gt;30,"30 dias","Al Día"))))))</f>
        <v>Al Día</v>
      </c>
      <c r="J676" s="59" t="s">
        <v>80</v>
      </c>
      <c r="K676" s="59" t="s">
        <v>31</v>
      </c>
      <c r="L676" s="61" t="s">
        <v>326</v>
      </c>
      <c r="M676" s="29" t="n">
        <f aca="false">+YEAR(F676)</f>
        <v>2026</v>
      </c>
      <c r="N676" s="62" t="n">
        <v>2026</v>
      </c>
      <c r="O676" s="63" t="n">
        <v>5</v>
      </c>
      <c r="P676" s="29" t="str">
        <f aca="false">+CONCATENATE(Tabla[[#This Row],[MES CAMPAÑA]],"/",Tabla[[#This Row],[AÑO CAMPAÑA]])</f>
        <v>5/2026</v>
      </c>
      <c r="Q676" s="60" t="s">
        <v>73</v>
      </c>
      <c r="R676" s="29"/>
      <c r="S676" s="64" t="n">
        <v>0</v>
      </c>
      <c r="T676" s="64" t="n">
        <v>2840</v>
      </c>
      <c r="U676" s="64" t="n">
        <v>540</v>
      </c>
      <c r="V676" s="65"/>
      <c r="W676" s="24" t="n">
        <v>3380</v>
      </c>
      <c r="X676" s="36" t="n">
        <f aca="false">+Tabla[[#This Row],[TOTAL]]</f>
        <v>3380</v>
      </c>
      <c r="Y676" s="66"/>
      <c r="Z676" s="66"/>
      <c r="AA676" s="66"/>
      <c r="AB676" s="38" t="n">
        <f aca="false">+W676-AC676</f>
        <v>0</v>
      </c>
      <c r="AC676" s="34" t="n">
        <f aca="false">+Tabla[[#This Row],[P4]]+Tabla[[#This Row],[P3]]+Tabla[[#This Row],[P2]]+Tabla[[#This Row],[P1]]</f>
        <v>3380</v>
      </c>
      <c r="AD676" s="34" t="n">
        <f aca="false">+W676-AC676</f>
        <v>0</v>
      </c>
      <c r="AE676" s="21" t="str">
        <f aca="false">IF(AB676&lt;1,"PAGADA","PENDIENTE")</f>
        <v>PAGADA</v>
      </c>
      <c r="AF676" s="67"/>
      <c r="AG676" s="29" t="s">
        <v>327</v>
      </c>
      <c r="AH676" s="68"/>
      <c r="AI676" s="40" t="n">
        <f aca="false">+IF(Tabla[[#This Row],[FECHA PAGO / ABONO]]&lt;1,0,(MONTH(Tabla[[#This Row],[FECHA PAGO / ABONO]])))</f>
        <v>0</v>
      </c>
      <c r="AJ676" s="40" t="n">
        <f aca="false">+IF(Tabla[[#This Row],[FECHA PAGO / ABONO]]&lt;1,0,(YEAR(Tabla[[#This Row],[FECHA PAGO / ABONO]])))</f>
        <v>0</v>
      </c>
      <c r="AK676" s="41"/>
    </row>
    <row r="677" customFormat="false" ht="14.25" hidden="false" customHeight="false" outlineLevel="0" collapsed="false">
      <c r="A677" s="17" t="s">
        <v>101</v>
      </c>
      <c r="B677" s="18" t="s">
        <v>102</v>
      </c>
      <c r="C677" s="18" t="s">
        <v>69</v>
      </c>
      <c r="D677" s="18" t="n">
        <v>30047108</v>
      </c>
      <c r="E677" s="21" t="str">
        <f aca="false">+CONCATENATE(Tabla[[#This Row],[RUT]],Tabla[[#This Row],[PROVEEDOR]],Tabla[[#This Row],[FACTURA]])</f>
        <v>97006000-6BANCO DE CREDITO E INVERSIONES30047108</v>
      </c>
      <c r="F677" s="30" t="n">
        <v>46154</v>
      </c>
      <c r="G677" s="31" t="n">
        <f aca="false">+F677+30</f>
        <v>46184</v>
      </c>
      <c r="H677" s="29" t="n">
        <f aca="true">+IF(AE677="PAGADA",0,TODAY()-G677)</f>
        <v>0</v>
      </c>
      <c r="I677" s="29" t="str">
        <f aca="false">+IF(H677&gt;180,"Atrasada",IF(H677&gt;150,"150 dias",IF(H677&gt;120,"120 dias",IF(H677&gt;90,"90 dias",IF(H677&gt;60,"60 dias",IF(H677&gt;30,"30 dias","Al Día"))))))</f>
        <v>Al Día</v>
      </c>
      <c r="J677" s="59" t="s">
        <v>80</v>
      </c>
      <c r="K677" s="59" t="s">
        <v>31</v>
      </c>
      <c r="L677" s="61" t="s">
        <v>326</v>
      </c>
      <c r="M677" s="29" t="n">
        <f aca="false">+YEAR(F677)</f>
        <v>2026</v>
      </c>
      <c r="N677" s="62" t="n">
        <v>2026</v>
      </c>
      <c r="O677" s="63" t="n">
        <v>5</v>
      </c>
      <c r="P677" s="29" t="str">
        <f aca="false">+CONCATENATE(Tabla[[#This Row],[MES CAMPAÑA]],"/",Tabla[[#This Row],[AÑO CAMPAÑA]])</f>
        <v>5/2026</v>
      </c>
      <c r="Q677" s="60" t="s">
        <v>73</v>
      </c>
      <c r="R677" s="29"/>
      <c r="S677" s="64" t="n">
        <v>0</v>
      </c>
      <c r="T677" s="64" t="n">
        <v>524</v>
      </c>
      <c r="U677" s="64" t="n">
        <v>99</v>
      </c>
      <c r="V677" s="65"/>
      <c r="W677" s="24" t="n">
        <v>623</v>
      </c>
      <c r="X677" s="36" t="n">
        <f aca="false">+Tabla[[#This Row],[TOTAL]]</f>
        <v>623</v>
      </c>
      <c r="Y677" s="66"/>
      <c r="Z677" s="66"/>
      <c r="AA677" s="66"/>
      <c r="AB677" s="38" t="n">
        <f aca="false">+W677-AC677</f>
        <v>0</v>
      </c>
      <c r="AC677" s="34" t="n">
        <f aca="false">+Tabla[[#This Row],[P4]]+Tabla[[#This Row],[P3]]+Tabla[[#This Row],[P2]]+Tabla[[#This Row],[P1]]</f>
        <v>623</v>
      </c>
      <c r="AD677" s="34" t="n">
        <f aca="false">+W677-AC677</f>
        <v>0</v>
      </c>
      <c r="AE677" s="21" t="str">
        <f aca="false">IF(AB677&lt;1,"PAGADA","PENDIENTE")</f>
        <v>PAGADA</v>
      </c>
      <c r="AF677" s="67"/>
      <c r="AG677" s="29" t="s">
        <v>327</v>
      </c>
      <c r="AH677" s="68"/>
      <c r="AI677" s="40" t="n">
        <f aca="false">+IF(Tabla[[#This Row],[FECHA PAGO / ABONO]]&lt;1,0,(MONTH(Tabla[[#This Row],[FECHA PAGO / ABONO]])))</f>
        <v>0</v>
      </c>
      <c r="AJ677" s="40" t="n">
        <f aca="false">+IF(Tabla[[#This Row],[FECHA PAGO / ABONO]]&lt;1,0,(YEAR(Tabla[[#This Row],[FECHA PAGO / ABONO]])))</f>
        <v>0</v>
      </c>
      <c r="AK677" s="41"/>
    </row>
    <row r="678" customFormat="false" ht="14.25" hidden="false" customHeight="false" outlineLevel="0" collapsed="false">
      <c r="A678" s="17" t="s">
        <v>101</v>
      </c>
      <c r="B678" s="18" t="s">
        <v>102</v>
      </c>
      <c r="C678" s="18" t="s">
        <v>69</v>
      </c>
      <c r="D678" s="18" t="n">
        <v>30047109</v>
      </c>
      <c r="E678" s="21" t="str">
        <f aca="false">+CONCATENATE(Tabla[[#This Row],[RUT]],Tabla[[#This Row],[PROVEEDOR]],Tabla[[#This Row],[FACTURA]])</f>
        <v>97006000-6BANCO DE CREDITO E INVERSIONES30047109</v>
      </c>
      <c r="F678" s="30" t="n">
        <v>46154</v>
      </c>
      <c r="G678" s="31" t="n">
        <f aca="false">+F678+30</f>
        <v>46184</v>
      </c>
      <c r="H678" s="29" t="n">
        <f aca="true">+IF(AE678="PAGADA",0,TODAY()-G678)</f>
        <v>0</v>
      </c>
      <c r="I678" s="29" t="str">
        <f aca="false">+IF(H678&gt;180,"Atrasada",IF(H678&gt;150,"150 dias",IF(H678&gt;120,"120 dias",IF(H678&gt;90,"90 dias",IF(H678&gt;60,"60 dias",IF(H678&gt;30,"30 dias","Al Día"))))))</f>
        <v>Al Día</v>
      </c>
      <c r="J678" s="59" t="s">
        <v>80</v>
      </c>
      <c r="K678" s="59" t="s">
        <v>31</v>
      </c>
      <c r="L678" s="61" t="s">
        <v>326</v>
      </c>
      <c r="M678" s="29" t="n">
        <f aca="false">+YEAR(F678)</f>
        <v>2026</v>
      </c>
      <c r="N678" s="62" t="n">
        <v>2026</v>
      </c>
      <c r="O678" s="63" t="n">
        <v>5</v>
      </c>
      <c r="P678" s="29" t="str">
        <f aca="false">+CONCATENATE(Tabla[[#This Row],[MES CAMPAÑA]],"/",Tabla[[#This Row],[AÑO CAMPAÑA]])</f>
        <v>5/2026</v>
      </c>
      <c r="Q678" s="60" t="s">
        <v>73</v>
      </c>
      <c r="R678" s="29"/>
      <c r="S678" s="64" t="n">
        <v>0</v>
      </c>
      <c r="T678" s="64" t="n">
        <v>3364</v>
      </c>
      <c r="U678" s="64" t="n">
        <v>639</v>
      </c>
      <c r="V678" s="65"/>
      <c r="W678" s="24" t="n">
        <v>4003</v>
      </c>
      <c r="X678" s="36" t="n">
        <f aca="false">+Tabla[[#This Row],[TOTAL]]</f>
        <v>4003</v>
      </c>
      <c r="Y678" s="66"/>
      <c r="Z678" s="66"/>
      <c r="AA678" s="66"/>
      <c r="AB678" s="38" t="n">
        <f aca="false">+W678-AC678</f>
        <v>0</v>
      </c>
      <c r="AC678" s="34" t="n">
        <f aca="false">+Tabla[[#This Row],[P4]]+Tabla[[#This Row],[P3]]+Tabla[[#This Row],[P2]]+Tabla[[#This Row],[P1]]</f>
        <v>4003</v>
      </c>
      <c r="AD678" s="34" t="n">
        <f aca="false">+W678-AC678</f>
        <v>0</v>
      </c>
      <c r="AE678" s="21" t="str">
        <f aca="false">IF(AB678&lt;1,"PAGADA","PENDIENTE")</f>
        <v>PAGADA</v>
      </c>
      <c r="AF678" s="67"/>
      <c r="AG678" s="29" t="s">
        <v>327</v>
      </c>
      <c r="AH678" s="68"/>
      <c r="AI678" s="40" t="n">
        <f aca="false">+IF(Tabla[[#This Row],[FECHA PAGO / ABONO]]&lt;1,0,(MONTH(Tabla[[#This Row],[FECHA PAGO / ABONO]])))</f>
        <v>0</v>
      </c>
      <c r="AJ678" s="40" t="n">
        <f aca="false">+IF(Tabla[[#This Row],[FECHA PAGO / ABONO]]&lt;1,0,(YEAR(Tabla[[#This Row],[FECHA PAGO / ABONO]])))</f>
        <v>0</v>
      </c>
      <c r="AK678" s="41"/>
    </row>
    <row r="679" customFormat="false" ht="14.25" hidden="false" customHeight="false" outlineLevel="0" collapsed="false">
      <c r="A679" s="17" t="s">
        <v>101</v>
      </c>
      <c r="B679" s="18" t="s">
        <v>102</v>
      </c>
      <c r="C679" s="18" t="s">
        <v>69</v>
      </c>
      <c r="D679" s="18" t="n">
        <v>30047110</v>
      </c>
      <c r="E679" s="21" t="str">
        <f aca="false">+CONCATENATE(Tabla[[#This Row],[RUT]],Tabla[[#This Row],[PROVEEDOR]],Tabla[[#This Row],[FACTURA]])</f>
        <v>97006000-6BANCO DE CREDITO E INVERSIONES30047110</v>
      </c>
      <c r="F679" s="30" t="n">
        <v>46154</v>
      </c>
      <c r="G679" s="31" t="n">
        <f aca="false">+F679+30</f>
        <v>46184</v>
      </c>
      <c r="H679" s="29" t="n">
        <f aca="true">+IF(AE679="PAGADA",0,TODAY()-G679)</f>
        <v>0</v>
      </c>
      <c r="I679" s="29" t="str">
        <f aca="false">+IF(H679&gt;180,"Atrasada",IF(H679&gt;150,"150 dias",IF(H679&gt;120,"120 dias",IF(H679&gt;90,"90 dias",IF(H679&gt;60,"60 dias",IF(H679&gt;30,"30 dias","Al Día"))))))</f>
        <v>Al Día</v>
      </c>
      <c r="J679" s="59" t="s">
        <v>80</v>
      </c>
      <c r="K679" s="59" t="s">
        <v>31</v>
      </c>
      <c r="L679" s="61" t="s">
        <v>326</v>
      </c>
      <c r="M679" s="29" t="n">
        <f aca="false">+YEAR(F679)</f>
        <v>2026</v>
      </c>
      <c r="N679" s="62" t="n">
        <v>2026</v>
      </c>
      <c r="O679" s="63" t="n">
        <v>5</v>
      </c>
      <c r="P679" s="29" t="str">
        <f aca="false">+CONCATENATE(Tabla[[#This Row],[MES CAMPAÑA]],"/",Tabla[[#This Row],[AÑO CAMPAÑA]])</f>
        <v>5/2026</v>
      </c>
      <c r="Q679" s="60" t="s">
        <v>73</v>
      </c>
      <c r="R679" s="29"/>
      <c r="S679" s="64" t="n">
        <v>0</v>
      </c>
      <c r="T679" s="64" t="n">
        <v>210570</v>
      </c>
      <c r="U679" s="64" t="n">
        <v>40008</v>
      </c>
      <c r="V679" s="65"/>
      <c r="W679" s="24" t="n">
        <v>250578</v>
      </c>
      <c r="X679" s="36" t="n">
        <f aca="false">+Tabla[[#This Row],[TOTAL]]</f>
        <v>250578</v>
      </c>
      <c r="Y679" s="66"/>
      <c r="Z679" s="66"/>
      <c r="AA679" s="66"/>
      <c r="AB679" s="38" t="n">
        <f aca="false">+W679-AC679</f>
        <v>0</v>
      </c>
      <c r="AC679" s="34" t="n">
        <f aca="false">+Tabla[[#This Row],[P4]]+Tabla[[#This Row],[P3]]+Tabla[[#This Row],[P2]]+Tabla[[#This Row],[P1]]</f>
        <v>250578</v>
      </c>
      <c r="AD679" s="34" t="n">
        <f aca="false">+W679-AC679</f>
        <v>0</v>
      </c>
      <c r="AE679" s="21" t="str">
        <f aca="false">IF(AB679&lt;1,"PAGADA","PENDIENTE")</f>
        <v>PAGADA</v>
      </c>
      <c r="AF679" s="67"/>
      <c r="AG679" s="29" t="s">
        <v>327</v>
      </c>
      <c r="AH679" s="68"/>
      <c r="AI679" s="40" t="n">
        <f aca="false">+IF(Tabla[[#This Row],[FECHA PAGO / ABONO]]&lt;1,0,(MONTH(Tabla[[#This Row],[FECHA PAGO / ABONO]])))</f>
        <v>0</v>
      </c>
      <c r="AJ679" s="40" t="n">
        <f aca="false">+IF(Tabla[[#This Row],[FECHA PAGO / ABONO]]&lt;1,0,(YEAR(Tabla[[#This Row],[FECHA PAGO / ABONO]])))</f>
        <v>0</v>
      </c>
      <c r="AK679" s="41"/>
    </row>
    <row r="680" customFormat="false" ht="14.25" hidden="false" customHeight="false" outlineLevel="0" collapsed="false">
      <c r="A680" s="17" t="s">
        <v>101</v>
      </c>
      <c r="B680" s="18" t="s">
        <v>102</v>
      </c>
      <c r="C680" s="18" t="s">
        <v>69</v>
      </c>
      <c r="D680" s="18" t="n">
        <v>30047111</v>
      </c>
      <c r="E680" s="21" t="str">
        <f aca="false">+CONCATENATE(Tabla[[#This Row],[RUT]],Tabla[[#This Row],[PROVEEDOR]],Tabla[[#This Row],[FACTURA]])</f>
        <v>97006000-6BANCO DE CREDITO E INVERSIONES30047111</v>
      </c>
      <c r="F680" s="30" t="n">
        <v>46154</v>
      </c>
      <c r="G680" s="31" t="n">
        <f aca="false">+F680+30</f>
        <v>46184</v>
      </c>
      <c r="H680" s="29" t="n">
        <f aca="true">+IF(AE680="PAGADA",0,TODAY()-G680)</f>
        <v>0</v>
      </c>
      <c r="I680" s="29" t="str">
        <f aca="false">+IF(H680&gt;180,"Atrasada",IF(H680&gt;150,"150 dias",IF(H680&gt;120,"120 dias",IF(H680&gt;90,"90 dias",IF(H680&gt;60,"60 dias",IF(H680&gt;30,"30 dias","Al Día"))))))</f>
        <v>Al Día</v>
      </c>
      <c r="J680" s="59" t="s">
        <v>80</v>
      </c>
      <c r="K680" s="59" t="s">
        <v>31</v>
      </c>
      <c r="L680" s="61" t="s">
        <v>326</v>
      </c>
      <c r="M680" s="29" t="n">
        <f aca="false">+YEAR(F680)</f>
        <v>2026</v>
      </c>
      <c r="N680" s="62" t="n">
        <v>2026</v>
      </c>
      <c r="O680" s="63" t="n">
        <v>5</v>
      </c>
      <c r="P680" s="29" t="str">
        <f aca="false">+CONCATENATE(Tabla[[#This Row],[MES CAMPAÑA]],"/",Tabla[[#This Row],[AÑO CAMPAÑA]])</f>
        <v>5/2026</v>
      </c>
      <c r="Q680" s="60" t="s">
        <v>73</v>
      </c>
      <c r="R680" s="29"/>
      <c r="S680" s="64" t="n">
        <v>0</v>
      </c>
      <c r="T680" s="64" t="n">
        <v>2886</v>
      </c>
      <c r="U680" s="64" t="n">
        <v>548</v>
      </c>
      <c r="V680" s="65"/>
      <c r="W680" s="24" t="n">
        <v>3434</v>
      </c>
      <c r="X680" s="36" t="n">
        <f aca="false">+Tabla[[#This Row],[TOTAL]]</f>
        <v>3434</v>
      </c>
      <c r="Y680" s="66"/>
      <c r="Z680" s="66"/>
      <c r="AA680" s="66"/>
      <c r="AB680" s="38" t="n">
        <f aca="false">+W680-AC680</f>
        <v>0</v>
      </c>
      <c r="AC680" s="34" t="n">
        <f aca="false">+Tabla[[#This Row],[P4]]+Tabla[[#This Row],[P3]]+Tabla[[#This Row],[P2]]+Tabla[[#This Row],[P1]]</f>
        <v>3434</v>
      </c>
      <c r="AD680" s="34" t="n">
        <f aca="false">+W680-AC680</f>
        <v>0</v>
      </c>
      <c r="AE680" s="21" t="str">
        <f aca="false">IF(AB680&lt;1,"PAGADA","PENDIENTE")</f>
        <v>PAGADA</v>
      </c>
      <c r="AF680" s="67"/>
      <c r="AG680" s="29" t="s">
        <v>327</v>
      </c>
      <c r="AH680" s="68"/>
      <c r="AI680" s="40" t="n">
        <f aca="false">+IF(Tabla[[#This Row],[FECHA PAGO / ABONO]]&lt;1,0,(MONTH(Tabla[[#This Row],[FECHA PAGO / ABONO]])))</f>
        <v>0</v>
      </c>
      <c r="AJ680" s="40" t="n">
        <f aca="false">+IF(Tabla[[#This Row],[FECHA PAGO / ABONO]]&lt;1,0,(YEAR(Tabla[[#This Row],[FECHA PAGO / ABONO]])))</f>
        <v>0</v>
      </c>
      <c r="AK680" s="41"/>
    </row>
    <row r="681" customFormat="false" ht="14.25" hidden="false" customHeight="false" outlineLevel="0" collapsed="false">
      <c r="A681" s="17" t="s">
        <v>101</v>
      </c>
      <c r="B681" s="18" t="s">
        <v>102</v>
      </c>
      <c r="C681" s="18" t="s">
        <v>69</v>
      </c>
      <c r="D681" s="18" t="n">
        <v>30047112</v>
      </c>
      <c r="E681" s="21" t="str">
        <f aca="false">+CONCATENATE(Tabla[[#This Row],[RUT]],Tabla[[#This Row],[PROVEEDOR]],Tabla[[#This Row],[FACTURA]])</f>
        <v>97006000-6BANCO DE CREDITO E INVERSIONES30047112</v>
      </c>
      <c r="F681" s="30" t="n">
        <v>46154</v>
      </c>
      <c r="G681" s="31" t="n">
        <f aca="false">+F681+30</f>
        <v>46184</v>
      </c>
      <c r="H681" s="29" t="n">
        <f aca="true">+IF(AE681="PAGADA",0,TODAY()-G681)</f>
        <v>0</v>
      </c>
      <c r="I681" s="29" t="str">
        <f aca="false">+IF(H681&gt;180,"Atrasada",IF(H681&gt;150,"150 dias",IF(H681&gt;120,"120 dias",IF(H681&gt;90,"90 dias",IF(H681&gt;60,"60 dias",IF(H681&gt;30,"30 dias","Al Día"))))))</f>
        <v>Al Día</v>
      </c>
      <c r="J681" s="59" t="s">
        <v>80</v>
      </c>
      <c r="K681" s="59" t="s">
        <v>31</v>
      </c>
      <c r="L681" s="61" t="s">
        <v>326</v>
      </c>
      <c r="M681" s="29" t="n">
        <f aca="false">+YEAR(F681)</f>
        <v>2026</v>
      </c>
      <c r="N681" s="62" t="n">
        <v>2026</v>
      </c>
      <c r="O681" s="63" t="n">
        <v>5</v>
      </c>
      <c r="P681" s="29" t="str">
        <f aca="false">+CONCATENATE(Tabla[[#This Row],[MES CAMPAÑA]],"/",Tabla[[#This Row],[AÑO CAMPAÑA]])</f>
        <v>5/2026</v>
      </c>
      <c r="Q681" s="60" t="s">
        <v>73</v>
      </c>
      <c r="R681" s="29"/>
      <c r="S681" s="64" t="n">
        <v>0</v>
      </c>
      <c r="T681" s="64" t="n">
        <v>3364</v>
      </c>
      <c r="U681" s="64" t="n">
        <v>639</v>
      </c>
      <c r="V681" s="65"/>
      <c r="W681" s="24" t="n">
        <v>4003</v>
      </c>
      <c r="X681" s="36" t="n">
        <f aca="false">+Tabla[[#This Row],[TOTAL]]</f>
        <v>4003</v>
      </c>
      <c r="Y681" s="66"/>
      <c r="Z681" s="66"/>
      <c r="AA681" s="66"/>
      <c r="AB681" s="38" t="n">
        <f aca="false">+W681-AC681</f>
        <v>0</v>
      </c>
      <c r="AC681" s="34" t="n">
        <f aca="false">+Tabla[[#This Row],[P4]]+Tabla[[#This Row],[P3]]+Tabla[[#This Row],[P2]]+Tabla[[#This Row],[P1]]</f>
        <v>4003</v>
      </c>
      <c r="AD681" s="34" t="n">
        <f aca="false">+W681-AC681</f>
        <v>0</v>
      </c>
      <c r="AE681" s="21" t="str">
        <f aca="false">IF(AB681&lt;1,"PAGADA","PENDIENTE")</f>
        <v>PAGADA</v>
      </c>
      <c r="AF681" s="67"/>
      <c r="AG681" s="29" t="s">
        <v>327</v>
      </c>
      <c r="AH681" s="68"/>
      <c r="AI681" s="40" t="n">
        <f aca="false">+IF(Tabla[[#This Row],[FECHA PAGO / ABONO]]&lt;1,0,(MONTH(Tabla[[#This Row],[FECHA PAGO / ABONO]])))</f>
        <v>0</v>
      </c>
      <c r="AJ681" s="40" t="n">
        <f aca="false">+IF(Tabla[[#This Row],[FECHA PAGO / ABONO]]&lt;1,0,(YEAR(Tabla[[#This Row],[FECHA PAGO / ABONO]])))</f>
        <v>0</v>
      </c>
      <c r="AK681" s="41"/>
    </row>
    <row r="682" customFormat="false" ht="14.25" hidden="false" customHeight="false" outlineLevel="0" collapsed="false">
      <c r="A682" s="17" t="s">
        <v>101</v>
      </c>
      <c r="B682" s="18" t="s">
        <v>102</v>
      </c>
      <c r="C682" s="18" t="s">
        <v>69</v>
      </c>
      <c r="D682" s="18" t="n">
        <v>30047113</v>
      </c>
      <c r="E682" s="21" t="str">
        <f aca="false">+CONCATENATE(Tabla[[#This Row],[RUT]],Tabla[[#This Row],[PROVEEDOR]],Tabla[[#This Row],[FACTURA]])</f>
        <v>97006000-6BANCO DE CREDITO E INVERSIONES30047113</v>
      </c>
      <c r="F682" s="30" t="n">
        <v>46154</v>
      </c>
      <c r="G682" s="31" t="n">
        <f aca="false">+F682+30</f>
        <v>46184</v>
      </c>
      <c r="H682" s="29" t="n">
        <f aca="true">+IF(AE682="PAGADA",0,TODAY()-G682)</f>
        <v>0</v>
      </c>
      <c r="I682" s="29" t="str">
        <f aca="false">+IF(H682&gt;180,"Atrasada",IF(H682&gt;150,"150 dias",IF(H682&gt;120,"120 dias",IF(H682&gt;90,"90 dias",IF(H682&gt;60,"60 dias",IF(H682&gt;30,"30 dias","Al Día"))))))</f>
        <v>Al Día</v>
      </c>
      <c r="J682" s="59" t="s">
        <v>80</v>
      </c>
      <c r="K682" s="59" t="s">
        <v>31</v>
      </c>
      <c r="L682" s="61" t="s">
        <v>326</v>
      </c>
      <c r="M682" s="29" t="n">
        <f aca="false">+YEAR(F682)</f>
        <v>2026</v>
      </c>
      <c r="N682" s="62" t="n">
        <v>2026</v>
      </c>
      <c r="O682" s="63" t="n">
        <v>5</v>
      </c>
      <c r="P682" s="29" t="str">
        <f aca="false">+CONCATENATE(Tabla[[#This Row],[MES CAMPAÑA]],"/",Tabla[[#This Row],[AÑO CAMPAÑA]])</f>
        <v>5/2026</v>
      </c>
      <c r="Q682" s="60" t="s">
        <v>73</v>
      </c>
      <c r="R682" s="29"/>
      <c r="S682" s="64" t="n">
        <v>0</v>
      </c>
      <c r="T682" s="64" t="n">
        <v>73797</v>
      </c>
      <c r="U682" s="64" t="n">
        <v>14022</v>
      </c>
      <c r="V682" s="65"/>
      <c r="W682" s="24" t="n">
        <v>87819</v>
      </c>
      <c r="X682" s="36" t="n">
        <f aca="false">+Tabla[[#This Row],[TOTAL]]</f>
        <v>87819</v>
      </c>
      <c r="Y682" s="66"/>
      <c r="Z682" s="66"/>
      <c r="AA682" s="66"/>
      <c r="AB682" s="38" t="n">
        <f aca="false">+W682-AC682</f>
        <v>0</v>
      </c>
      <c r="AC682" s="34" t="n">
        <f aca="false">+Tabla[[#This Row],[P4]]+Tabla[[#This Row],[P3]]+Tabla[[#This Row],[P2]]+Tabla[[#This Row],[P1]]</f>
        <v>87819</v>
      </c>
      <c r="AD682" s="34" t="n">
        <f aca="false">+W682-AC682</f>
        <v>0</v>
      </c>
      <c r="AE682" s="21" t="str">
        <f aca="false">IF(AB682&lt;1,"PAGADA","PENDIENTE")</f>
        <v>PAGADA</v>
      </c>
      <c r="AF682" s="67"/>
      <c r="AG682" s="29" t="s">
        <v>327</v>
      </c>
      <c r="AH682" s="68"/>
      <c r="AI682" s="40" t="n">
        <f aca="false">+IF(Tabla[[#This Row],[FECHA PAGO / ABONO]]&lt;1,0,(MONTH(Tabla[[#This Row],[FECHA PAGO / ABONO]])))</f>
        <v>0</v>
      </c>
      <c r="AJ682" s="40" t="n">
        <f aca="false">+IF(Tabla[[#This Row],[FECHA PAGO / ABONO]]&lt;1,0,(YEAR(Tabla[[#This Row],[FECHA PAGO / ABONO]])))</f>
        <v>0</v>
      </c>
      <c r="AK682" s="41"/>
    </row>
    <row r="683" customFormat="false" ht="14.25" hidden="false" customHeight="false" outlineLevel="0" collapsed="false">
      <c r="A683" s="17" t="s">
        <v>101</v>
      </c>
      <c r="B683" s="18" t="s">
        <v>102</v>
      </c>
      <c r="C683" s="18" t="s">
        <v>69</v>
      </c>
      <c r="D683" s="18" t="n">
        <v>30047114</v>
      </c>
      <c r="E683" s="21" t="str">
        <f aca="false">+CONCATENATE(Tabla[[#This Row],[RUT]],Tabla[[#This Row],[PROVEEDOR]],Tabla[[#This Row],[FACTURA]])</f>
        <v>97006000-6BANCO DE CREDITO E INVERSIONES30047114</v>
      </c>
      <c r="F683" s="30" t="n">
        <v>46154</v>
      </c>
      <c r="G683" s="31" t="n">
        <f aca="false">+F683+30</f>
        <v>46184</v>
      </c>
      <c r="H683" s="29" t="n">
        <f aca="true">+IF(AE683="PAGADA",0,TODAY()-G683)</f>
        <v>0</v>
      </c>
      <c r="I683" s="29" t="str">
        <f aca="false">+IF(H683&gt;180,"Atrasada",IF(H683&gt;150,"150 dias",IF(H683&gt;120,"120 dias",IF(H683&gt;90,"90 dias",IF(H683&gt;60,"60 dias",IF(H683&gt;30,"30 dias","Al Día"))))))</f>
        <v>Al Día</v>
      </c>
      <c r="J683" s="59" t="s">
        <v>80</v>
      </c>
      <c r="K683" s="59" t="s">
        <v>31</v>
      </c>
      <c r="L683" s="61" t="s">
        <v>326</v>
      </c>
      <c r="M683" s="29" t="n">
        <f aca="false">+YEAR(F683)</f>
        <v>2026</v>
      </c>
      <c r="N683" s="62" t="n">
        <v>2026</v>
      </c>
      <c r="O683" s="63" t="n">
        <v>5</v>
      </c>
      <c r="P683" s="29" t="str">
        <f aca="false">+CONCATENATE(Tabla[[#This Row],[MES CAMPAÑA]],"/",Tabla[[#This Row],[AÑO CAMPAÑA]])</f>
        <v>5/2026</v>
      </c>
      <c r="Q683" s="60" t="s">
        <v>73</v>
      </c>
      <c r="R683" s="29"/>
      <c r="S683" s="64" t="n">
        <v>0</v>
      </c>
      <c r="T683" s="64" t="n">
        <v>3415</v>
      </c>
      <c r="U683" s="64" t="n">
        <v>649</v>
      </c>
      <c r="V683" s="65"/>
      <c r="W683" s="24" t="n">
        <v>4064</v>
      </c>
      <c r="X683" s="36" t="n">
        <f aca="false">+Tabla[[#This Row],[TOTAL]]</f>
        <v>4064</v>
      </c>
      <c r="Y683" s="66"/>
      <c r="Z683" s="66"/>
      <c r="AA683" s="66"/>
      <c r="AB683" s="38" t="n">
        <f aca="false">+W683-AC683</f>
        <v>0</v>
      </c>
      <c r="AC683" s="34" t="n">
        <f aca="false">+Tabla[[#This Row],[P4]]+Tabla[[#This Row],[P3]]+Tabla[[#This Row],[P2]]+Tabla[[#This Row],[P1]]</f>
        <v>4064</v>
      </c>
      <c r="AD683" s="34" t="n">
        <f aca="false">+W683-AC683</f>
        <v>0</v>
      </c>
      <c r="AE683" s="21" t="str">
        <f aca="false">IF(AB683&lt;1,"PAGADA","PENDIENTE")</f>
        <v>PAGADA</v>
      </c>
      <c r="AF683" s="67"/>
      <c r="AG683" s="29" t="s">
        <v>327</v>
      </c>
      <c r="AH683" s="68"/>
      <c r="AI683" s="40" t="n">
        <f aca="false">+IF(Tabla[[#This Row],[FECHA PAGO / ABONO]]&lt;1,0,(MONTH(Tabla[[#This Row],[FECHA PAGO / ABONO]])))</f>
        <v>0</v>
      </c>
      <c r="AJ683" s="40" t="n">
        <f aca="false">+IF(Tabla[[#This Row],[FECHA PAGO / ABONO]]&lt;1,0,(YEAR(Tabla[[#This Row],[FECHA PAGO / ABONO]])))</f>
        <v>0</v>
      </c>
      <c r="AK683" s="41"/>
    </row>
    <row r="684" customFormat="false" ht="14.25" hidden="false" customHeight="false" outlineLevel="0" collapsed="false">
      <c r="A684" s="17" t="s">
        <v>101</v>
      </c>
      <c r="B684" s="18" t="s">
        <v>102</v>
      </c>
      <c r="C684" s="18" t="s">
        <v>69</v>
      </c>
      <c r="D684" s="18" t="n">
        <v>30047115</v>
      </c>
      <c r="E684" s="21" t="str">
        <f aca="false">+CONCATENATE(Tabla[[#This Row],[RUT]],Tabla[[#This Row],[PROVEEDOR]],Tabla[[#This Row],[FACTURA]])</f>
        <v>97006000-6BANCO DE CREDITO E INVERSIONES30047115</v>
      </c>
      <c r="F684" s="30" t="n">
        <v>46154</v>
      </c>
      <c r="G684" s="31" t="n">
        <f aca="false">+F684+30</f>
        <v>46184</v>
      </c>
      <c r="H684" s="29" t="n">
        <f aca="true">+IF(AE684="PAGADA",0,TODAY()-G684)</f>
        <v>0</v>
      </c>
      <c r="I684" s="29" t="str">
        <f aca="false">+IF(H684&gt;180,"Atrasada",IF(H684&gt;150,"150 dias",IF(H684&gt;120,"120 dias",IF(H684&gt;90,"90 dias",IF(H684&gt;60,"60 dias",IF(H684&gt;30,"30 dias","Al Día"))))))</f>
        <v>Al Día</v>
      </c>
      <c r="J684" s="59" t="s">
        <v>80</v>
      </c>
      <c r="K684" s="59" t="s">
        <v>31</v>
      </c>
      <c r="L684" s="61" t="s">
        <v>326</v>
      </c>
      <c r="M684" s="29" t="n">
        <f aca="false">+YEAR(F684)</f>
        <v>2026</v>
      </c>
      <c r="N684" s="62" t="n">
        <v>2026</v>
      </c>
      <c r="O684" s="63" t="n">
        <v>5</v>
      </c>
      <c r="P684" s="29" t="str">
        <f aca="false">+CONCATENATE(Tabla[[#This Row],[MES CAMPAÑA]],"/",Tabla[[#This Row],[AÑO CAMPAÑA]])</f>
        <v>5/2026</v>
      </c>
      <c r="Q684" s="60" t="s">
        <v>73</v>
      </c>
      <c r="R684" s="29"/>
      <c r="S684" s="64" t="n">
        <v>0</v>
      </c>
      <c r="T684" s="64" t="n">
        <v>1909</v>
      </c>
      <c r="U684" s="64" t="n">
        <v>363</v>
      </c>
      <c r="V684" s="65"/>
      <c r="W684" s="24" t="n">
        <v>2272</v>
      </c>
      <c r="X684" s="36" t="n">
        <f aca="false">+Tabla[[#This Row],[TOTAL]]</f>
        <v>2272</v>
      </c>
      <c r="Y684" s="66"/>
      <c r="Z684" s="66"/>
      <c r="AA684" s="66"/>
      <c r="AB684" s="38" t="n">
        <f aca="false">+W684-AC684</f>
        <v>0</v>
      </c>
      <c r="AC684" s="34" t="n">
        <f aca="false">+Tabla[[#This Row],[P4]]+Tabla[[#This Row],[P3]]+Tabla[[#This Row],[P2]]+Tabla[[#This Row],[P1]]</f>
        <v>2272</v>
      </c>
      <c r="AD684" s="34" t="n">
        <f aca="false">+W684-AC684</f>
        <v>0</v>
      </c>
      <c r="AE684" s="21" t="str">
        <f aca="false">IF(AB684&lt;1,"PAGADA","PENDIENTE")</f>
        <v>PAGADA</v>
      </c>
      <c r="AF684" s="67"/>
      <c r="AG684" s="29" t="s">
        <v>327</v>
      </c>
      <c r="AH684" s="68"/>
      <c r="AI684" s="40" t="n">
        <f aca="false">+IF(Tabla[[#This Row],[FECHA PAGO / ABONO]]&lt;1,0,(MONTH(Tabla[[#This Row],[FECHA PAGO / ABONO]])))</f>
        <v>0</v>
      </c>
      <c r="AJ684" s="40" t="n">
        <f aca="false">+IF(Tabla[[#This Row],[FECHA PAGO / ABONO]]&lt;1,0,(YEAR(Tabla[[#This Row],[FECHA PAGO / ABONO]])))</f>
        <v>0</v>
      </c>
      <c r="AK684" s="41"/>
    </row>
    <row r="685" customFormat="false" ht="14.25" hidden="false" customHeight="false" outlineLevel="0" collapsed="false">
      <c r="A685" s="17" t="s">
        <v>101</v>
      </c>
      <c r="B685" s="18" t="s">
        <v>102</v>
      </c>
      <c r="C685" s="18" t="s">
        <v>69</v>
      </c>
      <c r="D685" s="18" t="n">
        <v>30047116</v>
      </c>
      <c r="E685" s="21" t="str">
        <f aca="false">+CONCATENATE(Tabla[[#This Row],[RUT]],Tabla[[#This Row],[PROVEEDOR]],Tabla[[#This Row],[FACTURA]])</f>
        <v>97006000-6BANCO DE CREDITO E INVERSIONES30047116</v>
      </c>
      <c r="F685" s="30" t="n">
        <v>46154</v>
      </c>
      <c r="G685" s="31" t="n">
        <f aca="false">+F685+30</f>
        <v>46184</v>
      </c>
      <c r="H685" s="29" t="n">
        <f aca="true">+IF(AE685="PAGADA",0,TODAY()-G685)</f>
        <v>0</v>
      </c>
      <c r="I685" s="29" t="str">
        <f aca="false">+IF(H685&gt;180,"Atrasada",IF(H685&gt;150,"150 dias",IF(H685&gt;120,"120 dias",IF(H685&gt;90,"90 dias",IF(H685&gt;60,"60 dias",IF(H685&gt;30,"30 dias","Al Día"))))))</f>
        <v>Al Día</v>
      </c>
      <c r="J685" s="59" t="s">
        <v>80</v>
      </c>
      <c r="K685" s="59" t="s">
        <v>31</v>
      </c>
      <c r="L685" s="61" t="s">
        <v>326</v>
      </c>
      <c r="M685" s="29" t="n">
        <f aca="false">+YEAR(F685)</f>
        <v>2026</v>
      </c>
      <c r="N685" s="62" t="n">
        <v>2026</v>
      </c>
      <c r="O685" s="63" t="n">
        <v>5</v>
      </c>
      <c r="P685" s="29" t="str">
        <f aca="false">+CONCATENATE(Tabla[[#This Row],[MES CAMPAÑA]],"/",Tabla[[#This Row],[AÑO CAMPAÑA]])</f>
        <v>5/2026</v>
      </c>
      <c r="Q685" s="60" t="s">
        <v>73</v>
      </c>
      <c r="R685" s="29"/>
      <c r="S685" s="64" t="n">
        <v>0</v>
      </c>
      <c r="T685" s="64" t="n">
        <v>1455</v>
      </c>
      <c r="U685" s="64" t="n">
        <v>276</v>
      </c>
      <c r="V685" s="65"/>
      <c r="W685" s="24" t="n">
        <v>1731</v>
      </c>
      <c r="X685" s="36" t="n">
        <f aca="false">+Tabla[[#This Row],[TOTAL]]</f>
        <v>1731</v>
      </c>
      <c r="Y685" s="66"/>
      <c r="Z685" s="66"/>
      <c r="AA685" s="66"/>
      <c r="AB685" s="38" t="n">
        <f aca="false">+W685-AC685</f>
        <v>0</v>
      </c>
      <c r="AC685" s="34" t="n">
        <f aca="false">+Tabla[[#This Row],[P4]]+Tabla[[#This Row],[P3]]+Tabla[[#This Row],[P2]]+Tabla[[#This Row],[P1]]</f>
        <v>1731</v>
      </c>
      <c r="AD685" s="34" t="n">
        <f aca="false">+W685-AC685</f>
        <v>0</v>
      </c>
      <c r="AE685" s="21" t="str">
        <f aca="false">IF(AB685&lt;1,"PAGADA","PENDIENTE")</f>
        <v>PAGADA</v>
      </c>
      <c r="AF685" s="67"/>
      <c r="AG685" s="29" t="s">
        <v>327</v>
      </c>
      <c r="AH685" s="68"/>
      <c r="AI685" s="40" t="n">
        <f aca="false">+IF(Tabla[[#This Row],[FECHA PAGO / ABONO]]&lt;1,0,(MONTH(Tabla[[#This Row],[FECHA PAGO / ABONO]])))</f>
        <v>0</v>
      </c>
      <c r="AJ685" s="40" t="n">
        <f aca="false">+IF(Tabla[[#This Row],[FECHA PAGO / ABONO]]&lt;1,0,(YEAR(Tabla[[#This Row],[FECHA PAGO / ABONO]])))</f>
        <v>0</v>
      </c>
      <c r="AK685" s="41"/>
    </row>
    <row r="686" customFormat="false" ht="14.25" hidden="false" customHeight="false" outlineLevel="0" collapsed="false">
      <c r="A686" s="17" t="s">
        <v>101</v>
      </c>
      <c r="B686" s="18" t="s">
        <v>102</v>
      </c>
      <c r="C686" s="18" t="s">
        <v>69</v>
      </c>
      <c r="D686" s="18" t="n">
        <v>30047117</v>
      </c>
      <c r="E686" s="21" t="str">
        <f aca="false">+CONCATENATE(Tabla[[#This Row],[RUT]],Tabla[[#This Row],[PROVEEDOR]],Tabla[[#This Row],[FACTURA]])</f>
        <v>97006000-6BANCO DE CREDITO E INVERSIONES30047117</v>
      </c>
      <c r="F686" s="30" t="n">
        <v>46154</v>
      </c>
      <c r="G686" s="31" t="n">
        <f aca="false">+F686+30</f>
        <v>46184</v>
      </c>
      <c r="H686" s="29" t="n">
        <f aca="true">+IF(AE686="PAGADA",0,TODAY()-G686)</f>
        <v>0</v>
      </c>
      <c r="I686" s="29" t="str">
        <f aca="false">+IF(H686&gt;180,"Atrasada",IF(H686&gt;150,"150 dias",IF(H686&gt;120,"120 dias",IF(H686&gt;90,"90 dias",IF(H686&gt;60,"60 dias",IF(H686&gt;30,"30 dias","Al Día"))))))</f>
        <v>Al Día</v>
      </c>
      <c r="J686" s="59" t="s">
        <v>80</v>
      </c>
      <c r="K686" s="59" t="s">
        <v>31</v>
      </c>
      <c r="L686" s="61" t="s">
        <v>326</v>
      </c>
      <c r="M686" s="29" t="n">
        <f aca="false">+YEAR(F686)</f>
        <v>2026</v>
      </c>
      <c r="N686" s="62" t="n">
        <v>2026</v>
      </c>
      <c r="O686" s="63" t="n">
        <v>5</v>
      </c>
      <c r="P686" s="29" t="str">
        <f aca="false">+CONCATENATE(Tabla[[#This Row],[MES CAMPAÑA]],"/",Tabla[[#This Row],[AÑO CAMPAÑA]])</f>
        <v>5/2026</v>
      </c>
      <c r="Q686" s="60" t="s">
        <v>73</v>
      </c>
      <c r="R686" s="29"/>
      <c r="S686" s="64" t="n">
        <v>0</v>
      </c>
      <c r="T686" s="64" t="n">
        <v>179411</v>
      </c>
      <c r="U686" s="64" t="n">
        <v>34088</v>
      </c>
      <c r="V686" s="65"/>
      <c r="W686" s="24" t="n">
        <v>213499</v>
      </c>
      <c r="X686" s="36" t="n">
        <f aca="false">+Tabla[[#This Row],[TOTAL]]</f>
        <v>213499</v>
      </c>
      <c r="Y686" s="66"/>
      <c r="Z686" s="66"/>
      <c r="AA686" s="66"/>
      <c r="AB686" s="38" t="n">
        <f aca="false">+W686-AC686</f>
        <v>0</v>
      </c>
      <c r="AC686" s="34" t="n">
        <f aca="false">+Tabla[[#This Row],[P4]]+Tabla[[#This Row],[P3]]+Tabla[[#This Row],[P2]]+Tabla[[#This Row],[P1]]</f>
        <v>213499</v>
      </c>
      <c r="AD686" s="34" t="n">
        <f aca="false">+W686-AC686</f>
        <v>0</v>
      </c>
      <c r="AE686" s="21" t="str">
        <f aca="false">IF(AB686&lt;1,"PAGADA","PENDIENTE")</f>
        <v>PAGADA</v>
      </c>
      <c r="AF686" s="67"/>
      <c r="AG686" s="29" t="s">
        <v>327</v>
      </c>
      <c r="AH686" s="68"/>
      <c r="AI686" s="40" t="n">
        <f aca="false">+IF(Tabla[[#This Row],[FECHA PAGO / ABONO]]&lt;1,0,(MONTH(Tabla[[#This Row],[FECHA PAGO / ABONO]])))</f>
        <v>0</v>
      </c>
      <c r="AJ686" s="40" t="n">
        <f aca="false">+IF(Tabla[[#This Row],[FECHA PAGO / ABONO]]&lt;1,0,(YEAR(Tabla[[#This Row],[FECHA PAGO / ABONO]])))</f>
        <v>0</v>
      </c>
      <c r="AK686" s="41"/>
    </row>
    <row r="687" customFormat="false" ht="14.25" hidden="false" customHeight="false" outlineLevel="0" collapsed="false">
      <c r="A687" s="17" t="s">
        <v>101</v>
      </c>
      <c r="B687" s="18" t="s">
        <v>102</v>
      </c>
      <c r="C687" s="18" t="s">
        <v>69</v>
      </c>
      <c r="D687" s="18" t="n">
        <v>30047118</v>
      </c>
      <c r="E687" s="21" t="str">
        <f aca="false">+CONCATENATE(Tabla[[#This Row],[RUT]],Tabla[[#This Row],[PROVEEDOR]],Tabla[[#This Row],[FACTURA]])</f>
        <v>97006000-6BANCO DE CREDITO E INVERSIONES30047118</v>
      </c>
      <c r="F687" s="30" t="n">
        <v>46154</v>
      </c>
      <c r="G687" s="31" t="n">
        <f aca="false">+F687+30</f>
        <v>46184</v>
      </c>
      <c r="H687" s="29" t="n">
        <f aca="true">+IF(AE687="PAGADA",0,TODAY()-G687)</f>
        <v>0</v>
      </c>
      <c r="I687" s="29" t="str">
        <f aca="false">+IF(H687&gt;180,"Atrasada",IF(H687&gt;150,"150 dias",IF(H687&gt;120,"120 dias",IF(H687&gt;90,"90 dias",IF(H687&gt;60,"60 dias",IF(H687&gt;30,"30 dias","Al Día"))))))</f>
        <v>Al Día</v>
      </c>
      <c r="J687" s="59" t="s">
        <v>80</v>
      </c>
      <c r="K687" s="59" t="s">
        <v>31</v>
      </c>
      <c r="L687" s="61" t="s">
        <v>326</v>
      </c>
      <c r="M687" s="29" t="n">
        <f aca="false">+YEAR(F687)</f>
        <v>2026</v>
      </c>
      <c r="N687" s="62" t="n">
        <v>2026</v>
      </c>
      <c r="O687" s="63" t="n">
        <v>5</v>
      </c>
      <c r="P687" s="29" t="str">
        <f aca="false">+CONCATENATE(Tabla[[#This Row],[MES CAMPAÑA]],"/",Tabla[[#This Row],[AÑO CAMPAÑA]])</f>
        <v>5/2026</v>
      </c>
      <c r="Q687" s="60" t="s">
        <v>73</v>
      </c>
      <c r="R687" s="29"/>
      <c r="S687" s="64" t="n">
        <v>0</v>
      </c>
      <c r="T687" s="64" t="n">
        <v>1353</v>
      </c>
      <c r="U687" s="64" t="n">
        <v>257</v>
      </c>
      <c r="V687" s="65"/>
      <c r="W687" s="24" t="n">
        <v>1610</v>
      </c>
      <c r="X687" s="36" t="n">
        <f aca="false">+Tabla[[#This Row],[TOTAL]]</f>
        <v>1610</v>
      </c>
      <c r="Y687" s="66"/>
      <c r="Z687" s="66"/>
      <c r="AA687" s="66"/>
      <c r="AB687" s="38" t="n">
        <f aca="false">+W687-AC687</f>
        <v>0</v>
      </c>
      <c r="AC687" s="34" t="n">
        <f aca="false">+Tabla[[#This Row],[P4]]+Tabla[[#This Row],[P3]]+Tabla[[#This Row],[P2]]+Tabla[[#This Row],[P1]]</f>
        <v>1610</v>
      </c>
      <c r="AD687" s="34" t="n">
        <f aca="false">+W687-AC687</f>
        <v>0</v>
      </c>
      <c r="AE687" s="21" t="str">
        <f aca="false">IF(AB687&lt;1,"PAGADA","PENDIENTE")</f>
        <v>PAGADA</v>
      </c>
      <c r="AF687" s="67"/>
      <c r="AG687" s="29" t="s">
        <v>327</v>
      </c>
      <c r="AH687" s="68"/>
      <c r="AI687" s="40" t="n">
        <f aca="false">+IF(Tabla[[#This Row],[FECHA PAGO / ABONO]]&lt;1,0,(MONTH(Tabla[[#This Row],[FECHA PAGO / ABONO]])))</f>
        <v>0</v>
      </c>
      <c r="AJ687" s="40" t="n">
        <f aca="false">+IF(Tabla[[#This Row],[FECHA PAGO / ABONO]]&lt;1,0,(YEAR(Tabla[[#This Row],[FECHA PAGO / ABONO]])))</f>
        <v>0</v>
      </c>
      <c r="AK687" s="41"/>
    </row>
    <row r="688" customFormat="false" ht="14.25" hidden="false" customHeight="false" outlineLevel="0" collapsed="false">
      <c r="A688" s="17" t="s">
        <v>101</v>
      </c>
      <c r="B688" s="18" t="s">
        <v>102</v>
      </c>
      <c r="C688" s="18" t="s">
        <v>69</v>
      </c>
      <c r="D688" s="18" t="n">
        <v>30047119</v>
      </c>
      <c r="E688" s="21" t="str">
        <f aca="false">+CONCATENATE(Tabla[[#This Row],[RUT]],Tabla[[#This Row],[PROVEEDOR]],Tabla[[#This Row],[FACTURA]])</f>
        <v>97006000-6BANCO DE CREDITO E INVERSIONES30047119</v>
      </c>
      <c r="F688" s="30" t="n">
        <v>46154</v>
      </c>
      <c r="G688" s="31" t="n">
        <f aca="false">+F688+30</f>
        <v>46184</v>
      </c>
      <c r="H688" s="29" t="n">
        <f aca="true">+IF(AE688="PAGADA",0,TODAY()-G688)</f>
        <v>0</v>
      </c>
      <c r="I688" s="29" t="str">
        <f aca="false">+IF(H688&gt;180,"Atrasada",IF(H688&gt;150,"150 dias",IF(H688&gt;120,"120 dias",IF(H688&gt;90,"90 dias",IF(H688&gt;60,"60 dias",IF(H688&gt;30,"30 dias","Al Día"))))))</f>
        <v>Al Día</v>
      </c>
      <c r="J688" s="59" t="s">
        <v>80</v>
      </c>
      <c r="K688" s="59" t="s">
        <v>31</v>
      </c>
      <c r="L688" s="61" t="s">
        <v>326</v>
      </c>
      <c r="M688" s="29" t="n">
        <f aca="false">+YEAR(F688)</f>
        <v>2026</v>
      </c>
      <c r="N688" s="62" t="n">
        <v>2026</v>
      </c>
      <c r="O688" s="63" t="n">
        <v>5</v>
      </c>
      <c r="P688" s="29" t="str">
        <f aca="false">+CONCATENATE(Tabla[[#This Row],[MES CAMPAÑA]],"/",Tabla[[#This Row],[AÑO CAMPAÑA]])</f>
        <v>5/2026</v>
      </c>
      <c r="Q688" s="60" t="s">
        <v>73</v>
      </c>
      <c r="R688" s="29"/>
      <c r="S688" s="64" t="n">
        <v>0</v>
      </c>
      <c r="T688" s="64" t="n">
        <v>2011</v>
      </c>
      <c r="U688" s="64" t="n">
        <v>382</v>
      </c>
      <c r="V688" s="65"/>
      <c r="W688" s="24" t="n">
        <v>2393</v>
      </c>
      <c r="X688" s="36" t="n">
        <f aca="false">+Tabla[[#This Row],[TOTAL]]</f>
        <v>2393</v>
      </c>
      <c r="Y688" s="66"/>
      <c r="Z688" s="66"/>
      <c r="AA688" s="66"/>
      <c r="AB688" s="38" t="n">
        <f aca="false">+W688-AC688</f>
        <v>0</v>
      </c>
      <c r="AC688" s="34" t="n">
        <f aca="false">+Tabla[[#This Row],[P4]]+Tabla[[#This Row],[P3]]+Tabla[[#This Row],[P2]]+Tabla[[#This Row],[P1]]</f>
        <v>2393</v>
      </c>
      <c r="AD688" s="34" t="n">
        <f aca="false">+W688-AC688</f>
        <v>0</v>
      </c>
      <c r="AE688" s="21" t="str">
        <f aca="false">IF(AB688&lt;1,"PAGADA","PENDIENTE")</f>
        <v>PAGADA</v>
      </c>
      <c r="AF688" s="67"/>
      <c r="AG688" s="29" t="s">
        <v>327</v>
      </c>
      <c r="AH688" s="68"/>
      <c r="AI688" s="40" t="n">
        <f aca="false">+IF(Tabla[[#This Row],[FECHA PAGO / ABONO]]&lt;1,0,(MONTH(Tabla[[#This Row],[FECHA PAGO / ABONO]])))</f>
        <v>0</v>
      </c>
      <c r="AJ688" s="40" t="n">
        <f aca="false">+IF(Tabla[[#This Row],[FECHA PAGO / ABONO]]&lt;1,0,(YEAR(Tabla[[#This Row],[FECHA PAGO / ABONO]])))</f>
        <v>0</v>
      </c>
      <c r="AK688" s="41"/>
    </row>
    <row r="689" customFormat="false" ht="14.25" hidden="false" customHeight="false" outlineLevel="0" collapsed="false">
      <c r="A689" s="17" t="s">
        <v>101</v>
      </c>
      <c r="B689" s="18" t="s">
        <v>102</v>
      </c>
      <c r="C689" s="18" t="s">
        <v>69</v>
      </c>
      <c r="D689" s="18" t="n">
        <v>30047120</v>
      </c>
      <c r="E689" s="21" t="str">
        <f aca="false">+CONCATENATE(Tabla[[#This Row],[RUT]],Tabla[[#This Row],[PROVEEDOR]],Tabla[[#This Row],[FACTURA]])</f>
        <v>97006000-6BANCO DE CREDITO E INVERSIONES30047120</v>
      </c>
      <c r="F689" s="30" t="n">
        <v>46154</v>
      </c>
      <c r="G689" s="31" t="n">
        <f aca="false">+F689+30</f>
        <v>46184</v>
      </c>
      <c r="H689" s="29" t="n">
        <f aca="true">+IF(AE689="PAGADA",0,TODAY()-G689)</f>
        <v>0</v>
      </c>
      <c r="I689" s="29" t="str">
        <f aca="false">+IF(H689&gt;180,"Atrasada",IF(H689&gt;150,"150 dias",IF(H689&gt;120,"120 dias",IF(H689&gt;90,"90 dias",IF(H689&gt;60,"60 dias",IF(H689&gt;30,"30 dias","Al Día"))))))</f>
        <v>Al Día</v>
      </c>
      <c r="J689" s="59" t="s">
        <v>80</v>
      </c>
      <c r="K689" s="59" t="s">
        <v>31</v>
      </c>
      <c r="L689" s="61" t="s">
        <v>326</v>
      </c>
      <c r="M689" s="29" t="n">
        <f aca="false">+YEAR(F689)</f>
        <v>2026</v>
      </c>
      <c r="N689" s="62" t="n">
        <v>2026</v>
      </c>
      <c r="O689" s="63" t="n">
        <v>5</v>
      </c>
      <c r="P689" s="29" t="str">
        <f aca="false">+CONCATENATE(Tabla[[#This Row],[MES CAMPAÑA]],"/",Tabla[[#This Row],[AÑO CAMPAÑA]])</f>
        <v>5/2026</v>
      </c>
      <c r="Q689" s="60" t="s">
        <v>73</v>
      </c>
      <c r="R689" s="29"/>
      <c r="S689" s="64" t="n">
        <v>0</v>
      </c>
      <c r="T689" s="64" t="n">
        <v>1787</v>
      </c>
      <c r="U689" s="64" t="n">
        <v>340</v>
      </c>
      <c r="V689" s="65"/>
      <c r="W689" s="24" t="n">
        <v>2127</v>
      </c>
      <c r="X689" s="36" t="n">
        <f aca="false">+Tabla[[#This Row],[TOTAL]]</f>
        <v>2127</v>
      </c>
      <c r="Y689" s="66"/>
      <c r="Z689" s="66"/>
      <c r="AA689" s="66"/>
      <c r="AB689" s="38" t="n">
        <f aca="false">+W689-AC689</f>
        <v>0</v>
      </c>
      <c r="AC689" s="34" t="n">
        <f aca="false">+Tabla[[#This Row],[P4]]+Tabla[[#This Row],[P3]]+Tabla[[#This Row],[P2]]+Tabla[[#This Row],[P1]]</f>
        <v>2127</v>
      </c>
      <c r="AD689" s="34" t="n">
        <f aca="false">+W689-AC689</f>
        <v>0</v>
      </c>
      <c r="AE689" s="21" t="str">
        <f aca="false">IF(AB689&lt;1,"PAGADA","PENDIENTE")</f>
        <v>PAGADA</v>
      </c>
      <c r="AF689" s="67"/>
      <c r="AG689" s="29" t="s">
        <v>327</v>
      </c>
      <c r="AH689" s="68"/>
      <c r="AI689" s="40" t="n">
        <f aca="false">+IF(Tabla[[#This Row],[FECHA PAGO / ABONO]]&lt;1,0,(MONTH(Tabla[[#This Row],[FECHA PAGO / ABONO]])))</f>
        <v>0</v>
      </c>
      <c r="AJ689" s="40" t="n">
        <f aca="false">+IF(Tabla[[#This Row],[FECHA PAGO / ABONO]]&lt;1,0,(YEAR(Tabla[[#This Row],[FECHA PAGO / ABONO]])))</f>
        <v>0</v>
      </c>
      <c r="AK689" s="41"/>
    </row>
    <row r="690" customFormat="false" ht="14.25" hidden="false" customHeight="false" outlineLevel="0" collapsed="false">
      <c r="A690" s="17" t="s">
        <v>101</v>
      </c>
      <c r="B690" s="18" t="s">
        <v>102</v>
      </c>
      <c r="C690" s="18" t="s">
        <v>69</v>
      </c>
      <c r="D690" s="18" t="n">
        <v>30047121</v>
      </c>
      <c r="E690" s="21" t="str">
        <f aca="false">+CONCATENATE(Tabla[[#This Row],[RUT]],Tabla[[#This Row],[PROVEEDOR]],Tabla[[#This Row],[FACTURA]])</f>
        <v>97006000-6BANCO DE CREDITO E INVERSIONES30047121</v>
      </c>
      <c r="F690" s="30" t="n">
        <v>46154</v>
      </c>
      <c r="G690" s="31" t="n">
        <f aca="false">+F690+30</f>
        <v>46184</v>
      </c>
      <c r="H690" s="29" t="n">
        <f aca="true">+IF(AE690="PAGADA",0,TODAY()-G690)</f>
        <v>0</v>
      </c>
      <c r="I690" s="29" t="str">
        <f aca="false">+IF(H690&gt;180,"Atrasada",IF(H690&gt;150,"150 dias",IF(H690&gt;120,"120 dias",IF(H690&gt;90,"90 dias",IF(H690&gt;60,"60 dias",IF(H690&gt;30,"30 dias","Al Día"))))))</f>
        <v>Al Día</v>
      </c>
      <c r="J690" s="59" t="s">
        <v>80</v>
      </c>
      <c r="K690" s="59" t="s">
        <v>31</v>
      </c>
      <c r="L690" s="61" t="s">
        <v>326</v>
      </c>
      <c r="M690" s="29" t="n">
        <f aca="false">+YEAR(F690)</f>
        <v>2026</v>
      </c>
      <c r="N690" s="62" t="n">
        <v>2026</v>
      </c>
      <c r="O690" s="63" t="n">
        <v>5</v>
      </c>
      <c r="P690" s="29" t="str">
        <f aca="false">+CONCATENATE(Tabla[[#This Row],[MES CAMPAÑA]],"/",Tabla[[#This Row],[AÑO CAMPAÑA]])</f>
        <v>5/2026</v>
      </c>
      <c r="Q690" s="60" t="s">
        <v>73</v>
      </c>
      <c r="R690" s="29"/>
      <c r="S690" s="64" t="n">
        <v>0</v>
      </c>
      <c r="T690" s="64" t="n">
        <v>1576</v>
      </c>
      <c r="U690" s="64" t="n">
        <v>300</v>
      </c>
      <c r="V690" s="65"/>
      <c r="W690" s="24" t="n">
        <v>1876</v>
      </c>
      <c r="X690" s="36" t="n">
        <f aca="false">+Tabla[[#This Row],[TOTAL]]</f>
        <v>1876</v>
      </c>
      <c r="Y690" s="66"/>
      <c r="Z690" s="66"/>
      <c r="AA690" s="66"/>
      <c r="AB690" s="38" t="n">
        <f aca="false">+W690-AC690</f>
        <v>0</v>
      </c>
      <c r="AC690" s="34" t="n">
        <f aca="false">+Tabla[[#This Row],[P4]]+Tabla[[#This Row],[P3]]+Tabla[[#This Row],[P2]]+Tabla[[#This Row],[P1]]</f>
        <v>1876</v>
      </c>
      <c r="AD690" s="34" t="n">
        <f aca="false">+W690-AC690</f>
        <v>0</v>
      </c>
      <c r="AE690" s="21" t="str">
        <f aca="false">IF(AB690&lt;1,"PAGADA","PENDIENTE")</f>
        <v>PAGADA</v>
      </c>
      <c r="AF690" s="67"/>
      <c r="AG690" s="29" t="s">
        <v>327</v>
      </c>
      <c r="AH690" s="68"/>
      <c r="AI690" s="40" t="n">
        <f aca="false">+IF(Tabla[[#This Row],[FECHA PAGO / ABONO]]&lt;1,0,(MONTH(Tabla[[#This Row],[FECHA PAGO / ABONO]])))</f>
        <v>0</v>
      </c>
      <c r="AJ690" s="40" t="n">
        <f aca="false">+IF(Tabla[[#This Row],[FECHA PAGO / ABONO]]&lt;1,0,(YEAR(Tabla[[#This Row],[FECHA PAGO / ABONO]])))</f>
        <v>0</v>
      </c>
      <c r="AK690" s="41"/>
    </row>
    <row r="691" customFormat="false" ht="14.25" hidden="false" customHeight="false" outlineLevel="0" collapsed="false">
      <c r="A691" s="17" t="s">
        <v>101</v>
      </c>
      <c r="B691" s="18" t="s">
        <v>102</v>
      </c>
      <c r="C691" s="18" t="s">
        <v>69</v>
      </c>
      <c r="D691" s="18" t="n">
        <v>30047122</v>
      </c>
      <c r="E691" s="21" t="str">
        <f aca="false">+CONCATENATE(Tabla[[#This Row],[RUT]],Tabla[[#This Row],[PROVEEDOR]],Tabla[[#This Row],[FACTURA]])</f>
        <v>97006000-6BANCO DE CREDITO E INVERSIONES30047122</v>
      </c>
      <c r="F691" s="30" t="n">
        <v>46154</v>
      </c>
      <c r="G691" s="31" t="n">
        <f aca="false">+F691+30</f>
        <v>46184</v>
      </c>
      <c r="H691" s="29" t="n">
        <f aca="true">+IF(AE691="PAGADA",0,TODAY()-G691)</f>
        <v>0</v>
      </c>
      <c r="I691" s="29" t="str">
        <f aca="false">+IF(H691&gt;180,"Atrasada",IF(H691&gt;150,"150 dias",IF(H691&gt;120,"120 dias",IF(H691&gt;90,"90 dias",IF(H691&gt;60,"60 dias",IF(H691&gt;30,"30 dias","Al Día"))))))</f>
        <v>Al Día</v>
      </c>
      <c r="J691" s="59" t="s">
        <v>80</v>
      </c>
      <c r="K691" s="59" t="s">
        <v>31</v>
      </c>
      <c r="L691" s="61" t="s">
        <v>326</v>
      </c>
      <c r="M691" s="29" t="n">
        <f aca="false">+YEAR(F691)</f>
        <v>2026</v>
      </c>
      <c r="N691" s="62" t="n">
        <v>2026</v>
      </c>
      <c r="O691" s="63" t="n">
        <v>5</v>
      </c>
      <c r="P691" s="29" t="str">
        <f aca="false">+CONCATENATE(Tabla[[#This Row],[MES CAMPAÑA]],"/",Tabla[[#This Row],[AÑO CAMPAÑA]])</f>
        <v>5/2026</v>
      </c>
      <c r="Q691" s="60" t="s">
        <v>73</v>
      </c>
      <c r="R691" s="29"/>
      <c r="S691" s="64" t="n">
        <v>0</v>
      </c>
      <c r="T691" s="64" t="n">
        <v>109345</v>
      </c>
      <c r="U691" s="64" t="n">
        <v>20776</v>
      </c>
      <c r="V691" s="65"/>
      <c r="W691" s="24" t="n">
        <v>130121</v>
      </c>
      <c r="X691" s="36" t="n">
        <f aca="false">+Tabla[[#This Row],[TOTAL]]</f>
        <v>130121</v>
      </c>
      <c r="Y691" s="66"/>
      <c r="Z691" s="66"/>
      <c r="AA691" s="66"/>
      <c r="AB691" s="38" t="n">
        <f aca="false">+W691-AC691</f>
        <v>0</v>
      </c>
      <c r="AC691" s="34" t="n">
        <f aca="false">+Tabla[[#This Row],[P4]]+Tabla[[#This Row],[P3]]+Tabla[[#This Row],[P2]]+Tabla[[#This Row],[P1]]</f>
        <v>130121</v>
      </c>
      <c r="AD691" s="34" t="n">
        <f aca="false">+W691-AC691</f>
        <v>0</v>
      </c>
      <c r="AE691" s="21" t="str">
        <f aca="false">IF(AB691&lt;1,"PAGADA","PENDIENTE")</f>
        <v>PAGADA</v>
      </c>
      <c r="AF691" s="67"/>
      <c r="AG691" s="29" t="s">
        <v>327</v>
      </c>
      <c r="AH691" s="68"/>
      <c r="AI691" s="40" t="n">
        <f aca="false">+IF(Tabla[[#This Row],[FECHA PAGO / ABONO]]&lt;1,0,(MONTH(Tabla[[#This Row],[FECHA PAGO / ABONO]])))</f>
        <v>0</v>
      </c>
      <c r="AJ691" s="40" t="n">
        <f aca="false">+IF(Tabla[[#This Row],[FECHA PAGO / ABONO]]&lt;1,0,(YEAR(Tabla[[#This Row],[FECHA PAGO / ABONO]])))</f>
        <v>0</v>
      </c>
      <c r="AK691" s="41"/>
    </row>
    <row r="692" customFormat="false" ht="14.25" hidden="false" customHeight="false" outlineLevel="0" collapsed="false">
      <c r="A692" s="17" t="s">
        <v>101</v>
      </c>
      <c r="B692" s="18" t="s">
        <v>102</v>
      </c>
      <c r="C692" s="18" t="s">
        <v>69</v>
      </c>
      <c r="D692" s="18" t="n">
        <v>30047123</v>
      </c>
      <c r="E692" s="21" t="str">
        <f aca="false">+CONCATENATE(Tabla[[#This Row],[RUT]],Tabla[[#This Row],[PROVEEDOR]],Tabla[[#This Row],[FACTURA]])</f>
        <v>97006000-6BANCO DE CREDITO E INVERSIONES30047123</v>
      </c>
      <c r="F692" s="30" t="n">
        <v>46154</v>
      </c>
      <c r="G692" s="31" t="n">
        <f aca="false">+F692+30</f>
        <v>46184</v>
      </c>
      <c r="H692" s="29" t="n">
        <f aca="true">+IF(AE692="PAGADA",0,TODAY()-G692)</f>
        <v>0</v>
      </c>
      <c r="I692" s="29" t="str">
        <f aca="false">+IF(H692&gt;180,"Atrasada",IF(H692&gt;150,"150 dias",IF(H692&gt;120,"120 dias",IF(H692&gt;90,"90 dias",IF(H692&gt;60,"60 dias",IF(H692&gt;30,"30 dias","Al Día"))))))</f>
        <v>Al Día</v>
      </c>
      <c r="J692" s="59" t="s">
        <v>80</v>
      </c>
      <c r="K692" s="59" t="s">
        <v>31</v>
      </c>
      <c r="L692" s="61" t="s">
        <v>326</v>
      </c>
      <c r="M692" s="29" t="n">
        <f aca="false">+YEAR(F692)</f>
        <v>2026</v>
      </c>
      <c r="N692" s="62" t="n">
        <v>2026</v>
      </c>
      <c r="O692" s="63" t="n">
        <v>5</v>
      </c>
      <c r="P692" s="29" t="str">
        <f aca="false">+CONCATENATE(Tabla[[#This Row],[MES CAMPAÑA]],"/",Tabla[[#This Row],[AÑO CAMPAÑA]])</f>
        <v>5/2026</v>
      </c>
      <c r="Q692" s="60" t="s">
        <v>73</v>
      </c>
      <c r="R692" s="29"/>
      <c r="S692" s="64" t="n">
        <v>0</v>
      </c>
      <c r="T692" s="64" t="n">
        <v>186291</v>
      </c>
      <c r="U692" s="64" t="n">
        <v>35395</v>
      </c>
      <c r="V692" s="65"/>
      <c r="W692" s="24" t="n">
        <v>221686</v>
      </c>
      <c r="X692" s="36" t="n">
        <f aca="false">+Tabla[[#This Row],[TOTAL]]</f>
        <v>221686</v>
      </c>
      <c r="Y692" s="66"/>
      <c r="Z692" s="66"/>
      <c r="AA692" s="66"/>
      <c r="AB692" s="38" t="n">
        <f aca="false">+W692-AC692</f>
        <v>0</v>
      </c>
      <c r="AC692" s="34" t="n">
        <f aca="false">+Tabla[[#This Row],[P4]]+Tabla[[#This Row],[P3]]+Tabla[[#This Row],[P2]]+Tabla[[#This Row],[P1]]</f>
        <v>221686</v>
      </c>
      <c r="AD692" s="34" t="n">
        <f aca="false">+W692-AC692</f>
        <v>0</v>
      </c>
      <c r="AE692" s="21" t="str">
        <f aca="false">IF(AB692&lt;1,"PAGADA","PENDIENTE")</f>
        <v>PAGADA</v>
      </c>
      <c r="AF692" s="67"/>
      <c r="AG692" s="29" t="s">
        <v>327</v>
      </c>
      <c r="AH692" s="68"/>
      <c r="AI692" s="40" t="n">
        <f aca="false">+IF(Tabla[[#This Row],[FECHA PAGO / ABONO]]&lt;1,0,(MONTH(Tabla[[#This Row],[FECHA PAGO / ABONO]])))</f>
        <v>0</v>
      </c>
      <c r="AJ692" s="40" t="n">
        <f aca="false">+IF(Tabla[[#This Row],[FECHA PAGO / ABONO]]&lt;1,0,(YEAR(Tabla[[#This Row],[FECHA PAGO / ABONO]])))</f>
        <v>0</v>
      </c>
      <c r="AK692" s="41"/>
    </row>
    <row r="693" customFormat="false" ht="14.25" hidden="false" customHeight="false" outlineLevel="0" collapsed="false">
      <c r="A693" s="17" t="s">
        <v>101</v>
      </c>
      <c r="B693" s="18" t="s">
        <v>102</v>
      </c>
      <c r="C693" s="18" t="s">
        <v>69</v>
      </c>
      <c r="D693" s="18" t="n">
        <v>30047124</v>
      </c>
      <c r="E693" s="21" t="str">
        <f aca="false">+CONCATENATE(Tabla[[#This Row],[RUT]],Tabla[[#This Row],[PROVEEDOR]],Tabla[[#This Row],[FACTURA]])</f>
        <v>97006000-6BANCO DE CREDITO E INVERSIONES30047124</v>
      </c>
      <c r="F693" s="30" t="n">
        <v>46154</v>
      </c>
      <c r="G693" s="31" t="n">
        <f aca="false">+F693+30</f>
        <v>46184</v>
      </c>
      <c r="H693" s="29" t="n">
        <f aca="true">+IF(AE693="PAGADA",0,TODAY()-G693)</f>
        <v>0</v>
      </c>
      <c r="I693" s="29" t="str">
        <f aca="false">+IF(H693&gt;180,"Atrasada",IF(H693&gt;150,"150 dias",IF(H693&gt;120,"120 dias",IF(H693&gt;90,"90 dias",IF(H693&gt;60,"60 dias",IF(H693&gt;30,"30 dias","Al Día"))))))</f>
        <v>Al Día</v>
      </c>
      <c r="J693" s="59" t="s">
        <v>80</v>
      </c>
      <c r="K693" s="59" t="s">
        <v>31</v>
      </c>
      <c r="L693" s="61" t="s">
        <v>326</v>
      </c>
      <c r="M693" s="29" t="n">
        <f aca="false">+YEAR(F693)</f>
        <v>2026</v>
      </c>
      <c r="N693" s="62" t="n">
        <v>2026</v>
      </c>
      <c r="O693" s="63" t="n">
        <v>5</v>
      </c>
      <c r="P693" s="29" t="str">
        <f aca="false">+CONCATENATE(Tabla[[#This Row],[MES CAMPAÑA]],"/",Tabla[[#This Row],[AÑO CAMPAÑA]])</f>
        <v>5/2026</v>
      </c>
      <c r="Q693" s="60" t="s">
        <v>73</v>
      </c>
      <c r="R693" s="29"/>
      <c r="S693" s="64" t="n">
        <v>0</v>
      </c>
      <c r="T693" s="64" t="n">
        <v>3364</v>
      </c>
      <c r="U693" s="64" t="n">
        <v>639</v>
      </c>
      <c r="V693" s="65"/>
      <c r="W693" s="24" t="n">
        <v>4003</v>
      </c>
      <c r="X693" s="36" t="n">
        <f aca="false">+Tabla[[#This Row],[TOTAL]]</f>
        <v>4003</v>
      </c>
      <c r="Y693" s="66"/>
      <c r="Z693" s="66"/>
      <c r="AA693" s="66"/>
      <c r="AB693" s="38" t="n">
        <f aca="false">+W693-AC693</f>
        <v>0</v>
      </c>
      <c r="AC693" s="34" t="n">
        <f aca="false">+Tabla[[#This Row],[P4]]+Tabla[[#This Row],[P3]]+Tabla[[#This Row],[P2]]+Tabla[[#This Row],[P1]]</f>
        <v>4003</v>
      </c>
      <c r="AD693" s="34" t="n">
        <f aca="false">+W693-AC693</f>
        <v>0</v>
      </c>
      <c r="AE693" s="21" t="str">
        <f aca="false">IF(AB693&lt;1,"PAGADA","PENDIENTE")</f>
        <v>PAGADA</v>
      </c>
      <c r="AF693" s="67"/>
      <c r="AG693" s="29" t="s">
        <v>327</v>
      </c>
      <c r="AH693" s="68"/>
      <c r="AI693" s="40" t="n">
        <f aca="false">+IF(Tabla[[#This Row],[FECHA PAGO / ABONO]]&lt;1,0,(MONTH(Tabla[[#This Row],[FECHA PAGO / ABONO]])))</f>
        <v>0</v>
      </c>
      <c r="AJ693" s="40" t="n">
        <f aca="false">+IF(Tabla[[#This Row],[FECHA PAGO / ABONO]]&lt;1,0,(YEAR(Tabla[[#This Row],[FECHA PAGO / ABONO]])))</f>
        <v>0</v>
      </c>
      <c r="AK693" s="41"/>
    </row>
    <row r="694" customFormat="false" ht="14.25" hidden="false" customHeight="false" outlineLevel="0" collapsed="false">
      <c r="A694" s="17" t="s">
        <v>101</v>
      </c>
      <c r="B694" s="18" t="s">
        <v>102</v>
      </c>
      <c r="C694" s="18" t="s">
        <v>69</v>
      </c>
      <c r="D694" s="18" t="n">
        <v>30047125</v>
      </c>
      <c r="E694" s="21" t="str">
        <f aca="false">+CONCATENATE(Tabla[[#This Row],[RUT]],Tabla[[#This Row],[PROVEEDOR]],Tabla[[#This Row],[FACTURA]])</f>
        <v>97006000-6BANCO DE CREDITO E INVERSIONES30047125</v>
      </c>
      <c r="F694" s="30" t="n">
        <v>46154</v>
      </c>
      <c r="G694" s="31" t="n">
        <f aca="false">+F694+30</f>
        <v>46184</v>
      </c>
      <c r="H694" s="29" t="n">
        <f aca="true">+IF(AE694="PAGADA",0,TODAY()-G694)</f>
        <v>0</v>
      </c>
      <c r="I694" s="29" t="str">
        <f aca="false">+IF(H694&gt;180,"Atrasada",IF(H694&gt;150,"150 dias",IF(H694&gt;120,"120 dias",IF(H694&gt;90,"90 dias",IF(H694&gt;60,"60 dias",IF(H694&gt;30,"30 dias","Al Día"))))))</f>
        <v>Al Día</v>
      </c>
      <c r="J694" s="59" t="s">
        <v>80</v>
      </c>
      <c r="K694" s="59" t="s">
        <v>31</v>
      </c>
      <c r="L694" s="61" t="s">
        <v>326</v>
      </c>
      <c r="M694" s="29" t="n">
        <f aca="false">+YEAR(F694)</f>
        <v>2026</v>
      </c>
      <c r="N694" s="62" t="n">
        <v>2026</v>
      </c>
      <c r="O694" s="63" t="n">
        <v>5</v>
      </c>
      <c r="P694" s="29" t="str">
        <f aca="false">+CONCATENATE(Tabla[[#This Row],[MES CAMPAÑA]],"/",Tabla[[#This Row],[AÑO CAMPAÑA]])</f>
        <v>5/2026</v>
      </c>
      <c r="Q694" s="60" t="s">
        <v>73</v>
      </c>
      <c r="R694" s="29"/>
      <c r="S694" s="64" t="n">
        <v>0</v>
      </c>
      <c r="T694" s="64" t="n">
        <v>570</v>
      </c>
      <c r="U694" s="64" t="n">
        <v>108</v>
      </c>
      <c r="V694" s="65"/>
      <c r="W694" s="24" t="n">
        <v>678</v>
      </c>
      <c r="X694" s="36" t="n">
        <f aca="false">+Tabla[[#This Row],[TOTAL]]</f>
        <v>678</v>
      </c>
      <c r="Y694" s="66"/>
      <c r="Z694" s="66"/>
      <c r="AA694" s="66"/>
      <c r="AB694" s="38" t="n">
        <f aca="false">+W694-AC694</f>
        <v>0</v>
      </c>
      <c r="AC694" s="34" t="n">
        <f aca="false">+Tabla[[#This Row],[P4]]+Tabla[[#This Row],[P3]]+Tabla[[#This Row],[P2]]+Tabla[[#This Row],[P1]]</f>
        <v>678</v>
      </c>
      <c r="AD694" s="34" t="n">
        <f aca="false">+W694-AC694</f>
        <v>0</v>
      </c>
      <c r="AE694" s="21" t="str">
        <f aca="false">IF(AB694&lt;1,"PAGADA","PENDIENTE")</f>
        <v>PAGADA</v>
      </c>
      <c r="AF694" s="67"/>
      <c r="AG694" s="29" t="s">
        <v>327</v>
      </c>
      <c r="AH694" s="68"/>
      <c r="AI694" s="40" t="n">
        <f aca="false">+IF(Tabla[[#This Row],[FECHA PAGO / ABONO]]&lt;1,0,(MONTH(Tabla[[#This Row],[FECHA PAGO / ABONO]])))</f>
        <v>0</v>
      </c>
      <c r="AJ694" s="40" t="n">
        <f aca="false">+IF(Tabla[[#This Row],[FECHA PAGO / ABONO]]&lt;1,0,(YEAR(Tabla[[#This Row],[FECHA PAGO / ABONO]])))</f>
        <v>0</v>
      </c>
      <c r="AK694" s="41"/>
    </row>
    <row r="695" customFormat="false" ht="14.25" hidden="false" customHeight="false" outlineLevel="0" collapsed="false">
      <c r="A695" s="17" t="s">
        <v>103</v>
      </c>
      <c r="B695" s="18" t="s">
        <v>104</v>
      </c>
      <c r="C695" s="18" t="s">
        <v>69</v>
      </c>
      <c r="D695" s="18" t="n">
        <v>1684150</v>
      </c>
      <c r="E695" s="21" t="str">
        <f aca="false">+CONCATENATE(Tabla[[#This Row],[RUT]],Tabla[[#This Row],[PROVEEDOR]],Tabla[[#This Row],[FACTURA]])</f>
        <v>76590840-KZURICH SANTANDER SEGUROS GENERALES CHILE S1684150</v>
      </c>
      <c r="F695" s="30" t="n">
        <v>46150</v>
      </c>
      <c r="G695" s="31" t="n">
        <f aca="false">+F695+30</f>
        <v>46180</v>
      </c>
      <c r="H695" s="29" t="n">
        <f aca="true">+IF(AE695="PAGADA",0,TODAY()-G695)</f>
        <v>0</v>
      </c>
      <c r="I695" s="29" t="str">
        <f aca="false">+IF(H695&gt;180,"Atrasada",IF(H695&gt;150,"150 dias",IF(H695&gt;120,"120 dias",IF(H695&gt;90,"90 dias",IF(H695&gt;60,"60 dias",IF(H695&gt;30,"30 dias","Al Día"))))))</f>
        <v>Al Día</v>
      </c>
      <c r="J695" s="59" t="s">
        <v>80</v>
      </c>
      <c r="K695" s="59" t="s">
        <v>31</v>
      </c>
      <c r="L695" s="61" t="s">
        <v>326</v>
      </c>
      <c r="M695" s="29" t="n">
        <f aca="false">+YEAR(F695)</f>
        <v>2026</v>
      </c>
      <c r="N695" s="62" t="n">
        <v>2026</v>
      </c>
      <c r="O695" s="63" t="n">
        <v>5</v>
      </c>
      <c r="P695" s="29" t="str">
        <f aca="false">+CONCATENATE(Tabla[[#This Row],[MES CAMPAÑA]],"/",Tabla[[#This Row],[AÑO CAMPAÑA]])</f>
        <v>5/2026</v>
      </c>
      <c r="Q695" s="60" t="s">
        <v>73</v>
      </c>
      <c r="R695" s="29"/>
      <c r="S695" s="64" t="n">
        <v>0</v>
      </c>
      <c r="T695" s="64" t="n">
        <v>7550</v>
      </c>
      <c r="U695" s="64" t="n">
        <v>1435</v>
      </c>
      <c r="V695" s="65"/>
      <c r="W695" s="24" t="n">
        <v>8985</v>
      </c>
      <c r="X695" s="36" t="n">
        <f aca="false">+Tabla[[#This Row],[TOTAL]]</f>
        <v>8985</v>
      </c>
      <c r="Y695" s="66"/>
      <c r="Z695" s="66"/>
      <c r="AA695" s="66"/>
      <c r="AB695" s="38" t="n">
        <f aca="false">+W695-AC695</f>
        <v>0</v>
      </c>
      <c r="AC695" s="34" t="n">
        <f aca="false">+Tabla[[#This Row],[P4]]+Tabla[[#This Row],[P3]]+Tabla[[#This Row],[P2]]+Tabla[[#This Row],[P1]]</f>
        <v>8985</v>
      </c>
      <c r="AD695" s="34" t="n">
        <f aca="false">+W695-AC695</f>
        <v>0</v>
      </c>
      <c r="AE695" s="21" t="str">
        <f aca="false">IF(AB695&lt;1,"PAGADA","PENDIENTE")</f>
        <v>PAGADA</v>
      </c>
      <c r="AF695" s="67"/>
      <c r="AG695" s="29" t="s">
        <v>327</v>
      </c>
      <c r="AH695" s="68"/>
      <c r="AI695" s="40" t="n">
        <f aca="false">+IF(Tabla[[#This Row],[FECHA PAGO / ABONO]]&lt;1,0,(MONTH(Tabla[[#This Row],[FECHA PAGO / ABONO]])))</f>
        <v>0</v>
      </c>
      <c r="AJ695" s="40" t="n">
        <f aca="false">+IF(Tabla[[#This Row],[FECHA PAGO / ABONO]]&lt;1,0,(YEAR(Tabla[[#This Row],[FECHA PAGO / ABONO]])))</f>
        <v>0</v>
      </c>
      <c r="AK695" s="41"/>
    </row>
    <row r="696" customFormat="false" ht="14.25" hidden="false" customHeight="false" outlineLevel="0" collapsed="false">
      <c r="A696" s="17" t="s">
        <v>191</v>
      </c>
      <c r="B696" s="18" t="s">
        <v>192</v>
      </c>
      <c r="C696" s="18" t="s">
        <v>69</v>
      </c>
      <c r="D696" s="18" t="n">
        <v>41173</v>
      </c>
      <c r="E696" s="21" t="str">
        <f aca="false">+CONCATENATE(Tabla[[#This Row],[RUT]],Tabla[[#This Row],[PROVEEDOR]],Tabla[[#This Row],[FACTURA]])</f>
        <v>94795000-2CIA.CHILENA DE COMUNICACIONES S.A.41173</v>
      </c>
      <c r="F696" s="30" t="n">
        <v>46156</v>
      </c>
      <c r="G696" s="31" t="n">
        <f aca="false">+F696+30</f>
        <v>46186</v>
      </c>
      <c r="H696" s="29" t="n">
        <f aca="true">+IF(AE696="PAGADA",0,TODAY()-G696)</f>
        <v>18</v>
      </c>
      <c r="I696" s="29" t="str">
        <f aca="false">+IF(H696&gt;180,"Atrasada",IF(H696&gt;150,"150 dias",IF(H696&gt;120,"120 dias",IF(H696&gt;90,"90 dias",IF(H696&gt;60,"60 dias",IF(H696&gt;30,"30 dias","Al Día"))))))</f>
        <v>Al Día</v>
      </c>
      <c r="J696" s="59" t="s">
        <v>80</v>
      </c>
      <c r="K696" s="60" t="s">
        <v>81</v>
      </c>
      <c r="L696" s="61" t="s">
        <v>326</v>
      </c>
      <c r="M696" s="29" t="n">
        <f aca="false">+YEAR(F696)</f>
        <v>2026</v>
      </c>
      <c r="N696" s="62" t="n">
        <v>2026</v>
      </c>
      <c r="O696" s="63" t="n">
        <v>4</v>
      </c>
      <c r="P696" s="29" t="str">
        <f aca="false">+CONCATENATE(Tabla[[#This Row],[MES CAMPAÑA]],"/",Tabla[[#This Row],[AÑO CAMPAÑA]])</f>
        <v>4/2026</v>
      </c>
      <c r="Q696" s="60" t="s">
        <v>194</v>
      </c>
      <c r="R696" s="29"/>
      <c r="S696" s="64" t="n">
        <v>0</v>
      </c>
      <c r="T696" s="64" t="n">
        <v>3000000</v>
      </c>
      <c r="U696" s="64" t="n">
        <v>570000</v>
      </c>
      <c r="V696" s="65"/>
      <c r="W696" s="24" t="n">
        <v>3570000</v>
      </c>
      <c r="X696" s="36"/>
      <c r="Y696" s="66"/>
      <c r="Z696" s="66"/>
      <c r="AA696" s="66"/>
      <c r="AB696" s="38" t="n">
        <f aca="false">+W696-AC696</f>
        <v>3570000</v>
      </c>
      <c r="AC696" s="34" t="n">
        <f aca="false">+Tabla[[#This Row],[P4]]+Tabla[[#This Row],[P3]]+Tabla[[#This Row],[P2]]+Tabla[[#This Row],[P1]]</f>
        <v>0</v>
      </c>
      <c r="AD696" s="34" t="n">
        <f aca="false">+W696-AC696</f>
        <v>3570000</v>
      </c>
      <c r="AE696" s="21" t="str">
        <f aca="false">IF(AB696&lt;1,"PAGADA","PENDIENTE")</f>
        <v>PENDIENTE</v>
      </c>
      <c r="AF696" s="67"/>
      <c r="AG696" s="29"/>
      <c r="AH696" s="68"/>
      <c r="AI696" s="40" t="n">
        <f aca="false">+IF(Tabla[[#This Row],[FECHA PAGO / ABONO]]&lt;1,0,(MONTH(Tabla[[#This Row],[FECHA PAGO / ABONO]])))</f>
        <v>0</v>
      </c>
      <c r="AJ696" s="40" t="n">
        <f aca="false">+IF(Tabla[[#This Row],[FECHA PAGO / ABONO]]&lt;1,0,(YEAR(Tabla[[#This Row],[FECHA PAGO / ABONO]])))</f>
        <v>0</v>
      </c>
      <c r="AK696" s="41"/>
    </row>
    <row r="697" customFormat="false" ht="14.25" hidden="false" customHeight="false" outlineLevel="0" collapsed="false">
      <c r="A697" s="17" t="s">
        <v>191</v>
      </c>
      <c r="B697" s="18" t="s">
        <v>192</v>
      </c>
      <c r="C697" s="18" t="s">
        <v>69</v>
      </c>
      <c r="D697" s="18" t="n">
        <v>41174</v>
      </c>
      <c r="E697" s="21" t="str">
        <f aca="false">+CONCATENATE(Tabla[[#This Row],[RUT]],Tabla[[#This Row],[PROVEEDOR]],Tabla[[#This Row],[FACTURA]])</f>
        <v>94795000-2CIA.CHILENA DE COMUNICACIONES S.A.41174</v>
      </c>
      <c r="F697" s="30" t="n">
        <v>46156</v>
      </c>
      <c r="G697" s="31" t="n">
        <f aca="false">+F697+30</f>
        <v>46186</v>
      </c>
      <c r="H697" s="29" t="n">
        <f aca="true">+IF(AE697="PAGADA",0,TODAY()-G697)</f>
        <v>18</v>
      </c>
      <c r="I697" s="29" t="str">
        <f aca="false">+IF(H697&gt;180,"Atrasada",IF(H697&gt;150,"150 dias",IF(H697&gt;120,"120 dias",IF(H697&gt;90,"90 dias",IF(H697&gt;60,"60 dias",IF(H697&gt;30,"30 dias","Al Día"))))))</f>
        <v>Al Día</v>
      </c>
      <c r="J697" s="59" t="s">
        <v>80</v>
      </c>
      <c r="K697" s="60" t="s">
        <v>81</v>
      </c>
      <c r="L697" s="61" t="s">
        <v>326</v>
      </c>
      <c r="M697" s="29" t="n">
        <f aca="false">+YEAR(F697)</f>
        <v>2026</v>
      </c>
      <c r="N697" s="62" t="n">
        <v>2026</v>
      </c>
      <c r="O697" s="63" t="n">
        <v>4</v>
      </c>
      <c r="P697" s="29" t="str">
        <f aca="false">+CONCATENATE(Tabla[[#This Row],[MES CAMPAÑA]],"/",Tabla[[#This Row],[AÑO CAMPAÑA]])</f>
        <v>4/2026</v>
      </c>
      <c r="Q697" s="60" t="s">
        <v>108</v>
      </c>
      <c r="R697" s="29"/>
      <c r="S697" s="64" t="n">
        <v>0</v>
      </c>
      <c r="T697" s="64" t="n">
        <v>6230769</v>
      </c>
      <c r="U697" s="64" t="n">
        <v>1183846</v>
      </c>
      <c r="V697" s="65"/>
      <c r="W697" s="24" t="n">
        <v>7414615</v>
      </c>
      <c r="X697" s="36"/>
      <c r="Y697" s="66"/>
      <c r="Z697" s="66"/>
      <c r="AA697" s="66"/>
      <c r="AB697" s="38" t="n">
        <f aca="false">+W697-AC697</f>
        <v>7414615</v>
      </c>
      <c r="AC697" s="34" t="n">
        <f aca="false">+Tabla[[#This Row],[P4]]+Tabla[[#This Row],[P3]]+Tabla[[#This Row],[P2]]+Tabla[[#This Row],[P1]]</f>
        <v>0</v>
      </c>
      <c r="AD697" s="34" t="n">
        <f aca="false">+W697-AC697</f>
        <v>7414615</v>
      </c>
      <c r="AE697" s="21" t="str">
        <f aca="false">IF(AB697&lt;1,"PAGADA","PENDIENTE")</f>
        <v>PENDIENTE</v>
      </c>
      <c r="AF697" s="67"/>
      <c r="AG697" s="29"/>
      <c r="AH697" s="68"/>
      <c r="AI697" s="40" t="n">
        <f aca="false">+IF(Tabla[[#This Row],[FECHA PAGO / ABONO]]&lt;1,0,(MONTH(Tabla[[#This Row],[FECHA PAGO / ABONO]])))</f>
        <v>0</v>
      </c>
      <c r="AJ697" s="40" t="n">
        <f aca="false">+IF(Tabla[[#This Row],[FECHA PAGO / ABONO]]&lt;1,0,(YEAR(Tabla[[#This Row],[FECHA PAGO / ABONO]])))</f>
        <v>0</v>
      </c>
      <c r="AK697" s="41"/>
    </row>
    <row r="698" customFormat="false" ht="14.25" hidden="false" customHeight="false" outlineLevel="0" collapsed="false">
      <c r="A698" s="17" t="s">
        <v>191</v>
      </c>
      <c r="B698" s="18" t="s">
        <v>192</v>
      </c>
      <c r="C698" s="18" t="s">
        <v>69</v>
      </c>
      <c r="D698" s="18" t="n">
        <v>41175</v>
      </c>
      <c r="E698" s="21" t="str">
        <f aca="false">+CONCATENATE(Tabla[[#This Row],[RUT]],Tabla[[#This Row],[PROVEEDOR]],Tabla[[#This Row],[FACTURA]])</f>
        <v>94795000-2CIA.CHILENA DE COMUNICACIONES S.A.41175</v>
      </c>
      <c r="F698" s="30" t="n">
        <v>46156</v>
      </c>
      <c r="G698" s="31" t="n">
        <f aca="false">+F698+30</f>
        <v>46186</v>
      </c>
      <c r="H698" s="29" t="n">
        <f aca="true">+IF(AE698="PAGADA",0,TODAY()-G698)</f>
        <v>18</v>
      </c>
      <c r="I698" s="29" t="str">
        <f aca="false">+IF(H698&gt;180,"Atrasada",IF(H698&gt;150,"150 dias",IF(H698&gt;120,"120 dias",IF(H698&gt;90,"90 dias",IF(H698&gt;60,"60 dias",IF(H698&gt;30,"30 dias","Al Día"))))))</f>
        <v>Al Día</v>
      </c>
      <c r="J698" s="59" t="s">
        <v>80</v>
      </c>
      <c r="K698" s="60" t="s">
        <v>81</v>
      </c>
      <c r="L698" s="61" t="s">
        <v>326</v>
      </c>
      <c r="M698" s="29" t="n">
        <f aca="false">+YEAR(F698)</f>
        <v>2026</v>
      </c>
      <c r="N698" s="62" t="n">
        <v>2026</v>
      </c>
      <c r="O698" s="63" t="n">
        <v>4</v>
      </c>
      <c r="P698" s="29" t="str">
        <f aca="false">+CONCATENATE(Tabla[[#This Row],[MES CAMPAÑA]],"/",Tabla[[#This Row],[AÑO CAMPAÑA]])</f>
        <v>4/2026</v>
      </c>
      <c r="Q698" s="60" t="s">
        <v>323</v>
      </c>
      <c r="R698" s="29"/>
      <c r="S698" s="64" t="n">
        <v>0</v>
      </c>
      <c r="T698" s="64" t="n">
        <v>900000</v>
      </c>
      <c r="U698" s="64" t="n">
        <v>171000</v>
      </c>
      <c r="V698" s="65"/>
      <c r="W698" s="24" t="n">
        <v>1071000</v>
      </c>
      <c r="X698" s="36"/>
      <c r="Y698" s="66"/>
      <c r="Z698" s="66"/>
      <c r="AA698" s="66"/>
      <c r="AB698" s="38" t="n">
        <f aca="false">+W698-AC698</f>
        <v>1071000</v>
      </c>
      <c r="AC698" s="34" t="n">
        <f aca="false">+Tabla[[#This Row],[P4]]+Tabla[[#This Row],[P3]]+Tabla[[#This Row],[P2]]+Tabla[[#This Row],[P1]]</f>
        <v>0</v>
      </c>
      <c r="AD698" s="34" t="n">
        <f aca="false">+W698-AC698</f>
        <v>1071000</v>
      </c>
      <c r="AE698" s="21" t="str">
        <f aca="false">IF(AB698&lt;1,"PAGADA","PENDIENTE")</f>
        <v>PENDIENTE</v>
      </c>
      <c r="AF698" s="67"/>
      <c r="AG698" s="29"/>
      <c r="AH698" s="68"/>
      <c r="AI698" s="40" t="n">
        <f aca="false">+IF(Tabla[[#This Row],[FECHA PAGO / ABONO]]&lt;1,0,(MONTH(Tabla[[#This Row],[FECHA PAGO / ABONO]])))</f>
        <v>0</v>
      </c>
      <c r="AJ698" s="40" t="n">
        <f aca="false">+IF(Tabla[[#This Row],[FECHA PAGO / ABONO]]&lt;1,0,(YEAR(Tabla[[#This Row],[FECHA PAGO / ABONO]])))</f>
        <v>0</v>
      </c>
      <c r="AK698" s="41"/>
    </row>
    <row r="699" customFormat="false" ht="14.25" hidden="false" customHeight="false" outlineLevel="0" collapsed="false">
      <c r="A699" s="17" t="s">
        <v>153</v>
      </c>
      <c r="B699" s="18" t="s">
        <v>154</v>
      </c>
      <c r="C699" s="18" t="s">
        <v>69</v>
      </c>
      <c r="D699" s="18" t="n">
        <v>1434</v>
      </c>
      <c r="E699" s="21" t="str">
        <f aca="false">+CONCATENATE(Tabla[[#This Row],[RUT]],Tabla[[#This Row],[PROVEEDOR]],Tabla[[#This Row],[FACTURA]])</f>
        <v>77176333-2MARKETING, PUBLICIDAD E INFORMÃTICA GRUPO 4 LIMITADA1434</v>
      </c>
      <c r="F699" s="30" t="n">
        <v>46156</v>
      </c>
      <c r="G699" s="31" t="n">
        <f aca="false">+F699+30</f>
        <v>46186</v>
      </c>
      <c r="H699" s="29" t="n">
        <f aca="true">+IF(AE699="PAGADA",0,TODAY()-G699)</f>
        <v>18</v>
      </c>
      <c r="I699" s="29" t="str">
        <f aca="false">+IF(H699&gt;180,"Atrasada",IF(H699&gt;150,"150 dias",IF(H699&gt;120,"120 dias",IF(H699&gt;90,"90 dias",IF(H699&gt;60,"60 dias",IF(H699&gt;30,"30 dias","Al Día"))))))</f>
        <v>Al Día</v>
      </c>
      <c r="J699" s="59" t="s">
        <v>80</v>
      </c>
      <c r="K699" s="60" t="s">
        <v>81</v>
      </c>
      <c r="L699" s="61" t="s">
        <v>326</v>
      </c>
      <c r="M699" s="29" t="n">
        <f aca="false">+YEAR(F699)</f>
        <v>2026</v>
      </c>
      <c r="N699" s="62" t="n">
        <v>2026</v>
      </c>
      <c r="O699" s="63" t="n">
        <v>4</v>
      </c>
      <c r="P699" s="29" t="str">
        <f aca="false">+CONCATENATE(Tabla[[#This Row],[MES CAMPAÑA]],"/",Tabla[[#This Row],[AÑO CAMPAÑA]])</f>
        <v>4/2026</v>
      </c>
      <c r="Q699" s="60" t="s">
        <v>108</v>
      </c>
      <c r="R699" s="29"/>
      <c r="S699" s="64" t="n">
        <v>0</v>
      </c>
      <c r="T699" s="64" t="n">
        <v>250000</v>
      </c>
      <c r="U699" s="64" t="n">
        <v>47500</v>
      </c>
      <c r="V699" s="65"/>
      <c r="W699" s="24" t="n">
        <v>297500</v>
      </c>
      <c r="X699" s="36"/>
      <c r="Y699" s="66"/>
      <c r="Z699" s="66"/>
      <c r="AA699" s="66"/>
      <c r="AB699" s="38" t="n">
        <f aca="false">+W699-AC699</f>
        <v>297500</v>
      </c>
      <c r="AC699" s="34" t="n">
        <f aca="false">+Tabla[[#This Row],[P4]]+Tabla[[#This Row],[P3]]+Tabla[[#This Row],[P2]]+Tabla[[#This Row],[P1]]</f>
        <v>0</v>
      </c>
      <c r="AD699" s="34" t="n">
        <f aca="false">+W699-AC699</f>
        <v>297500</v>
      </c>
      <c r="AE699" s="21" t="str">
        <f aca="false">IF(AB699&lt;1,"PAGADA","PENDIENTE")</f>
        <v>PENDIENTE</v>
      </c>
      <c r="AF699" s="67"/>
      <c r="AG699" s="29"/>
      <c r="AH699" s="68"/>
      <c r="AI699" s="40" t="n">
        <f aca="false">+IF(Tabla[[#This Row],[FECHA PAGO / ABONO]]&lt;1,0,(MONTH(Tabla[[#This Row],[FECHA PAGO / ABONO]])))</f>
        <v>0</v>
      </c>
      <c r="AJ699" s="40" t="n">
        <f aca="false">+IF(Tabla[[#This Row],[FECHA PAGO / ABONO]]&lt;1,0,(YEAR(Tabla[[#This Row],[FECHA PAGO / ABONO]])))</f>
        <v>0</v>
      </c>
      <c r="AK699" s="41"/>
    </row>
    <row r="700" customFormat="false" ht="14.25" hidden="false" customHeight="false" outlineLevel="0" collapsed="false">
      <c r="A700" s="17" t="s">
        <v>294</v>
      </c>
      <c r="B700" s="18" t="s">
        <v>295</v>
      </c>
      <c r="C700" s="18" t="s">
        <v>69</v>
      </c>
      <c r="D700" s="18" t="n">
        <v>102886</v>
      </c>
      <c r="E700" s="21" t="str">
        <f aca="false">+CONCATENATE(Tabla[[#This Row],[RUT]],Tabla[[#This Row],[PROVEEDOR]],Tabla[[#This Row],[FACTURA]])</f>
        <v>82066500-7PRISA MEDIA CORP SpA102886</v>
      </c>
      <c r="F700" s="30" t="n">
        <v>46156</v>
      </c>
      <c r="G700" s="31" t="n">
        <f aca="false">+F700+30</f>
        <v>46186</v>
      </c>
      <c r="H700" s="29" t="n">
        <f aca="true">+IF(AE700="PAGADA",0,TODAY()-G700)</f>
        <v>18</v>
      </c>
      <c r="I700" s="29" t="str">
        <f aca="false">+IF(H700&gt;180,"Atrasada",IF(H700&gt;150,"150 dias",IF(H700&gt;120,"120 dias",IF(H700&gt;90,"90 dias",IF(H700&gt;60,"60 dias",IF(H700&gt;30,"30 dias","Al Día"))))))</f>
        <v>Al Día</v>
      </c>
      <c r="J700" s="59" t="s">
        <v>80</v>
      </c>
      <c r="K700" s="60" t="s">
        <v>81</v>
      </c>
      <c r="L700" s="61" t="s">
        <v>326</v>
      </c>
      <c r="M700" s="29" t="n">
        <f aca="false">+YEAR(F700)</f>
        <v>2026</v>
      </c>
      <c r="N700" s="62" t="n">
        <v>2026</v>
      </c>
      <c r="O700" s="63" t="n">
        <v>4</v>
      </c>
      <c r="P700" s="29" t="str">
        <f aca="false">+CONCATENATE(Tabla[[#This Row],[MES CAMPAÑA]],"/",Tabla[[#This Row],[AÑO CAMPAÑA]])</f>
        <v>4/2026</v>
      </c>
      <c r="Q700" s="60" t="s">
        <v>105</v>
      </c>
      <c r="R700" s="29"/>
      <c r="S700" s="64" t="n">
        <v>0</v>
      </c>
      <c r="T700" s="64" t="n">
        <v>5775000</v>
      </c>
      <c r="U700" s="64" t="n">
        <v>1097250</v>
      </c>
      <c r="V700" s="65"/>
      <c r="W700" s="24" t="n">
        <v>6872250</v>
      </c>
      <c r="X700" s="36"/>
      <c r="Y700" s="66"/>
      <c r="Z700" s="66"/>
      <c r="AA700" s="66"/>
      <c r="AB700" s="38" t="n">
        <f aca="false">+W700-AC700</f>
        <v>6872250</v>
      </c>
      <c r="AC700" s="34" t="n">
        <f aca="false">+Tabla[[#This Row],[P4]]+Tabla[[#This Row],[P3]]+Tabla[[#This Row],[P2]]+Tabla[[#This Row],[P1]]</f>
        <v>0</v>
      </c>
      <c r="AD700" s="34" t="n">
        <f aca="false">+W700-AC700</f>
        <v>6872250</v>
      </c>
      <c r="AE700" s="21" t="str">
        <f aca="false">IF(AB700&lt;1,"PAGADA","PENDIENTE")</f>
        <v>PENDIENTE</v>
      </c>
      <c r="AF700" s="67"/>
      <c r="AG700" s="29"/>
      <c r="AH700" s="68"/>
      <c r="AI700" s="40" t="n">
        <f aca="false">+IF(Tabla[[#This Row],[FECHA PAGO / ABONO]]&lt;1,0,(MONTH(Tabla[[#This Row],[FECHA PAGO / ABONO]])))</f>
        <v>0</v>
      </c>
      <c r="AJ700" s="40" t="n">
        <f aca="false">+IF(Tabla[[#This Row],[FECHA PAGO / ABONO]]&lt;1,0,(YEAR(Tabla[[#This Row],[FECHA PAGO / ABONO]])))</f>
        <v>0</v>
      </c>
      <c r="AK700" s="41"/>
    </row>
    <row r="701" customFormat="false" ht="14.25" hidden="false" customHeight="false" outlineLevel="0" collapsed="false">
      <c r="A701" s="17" t="s">
        <v>294</v>
      </c>
      <c r="B701" s="18" t="s">
        <v>295</v>
      </c>
      <c r="C701" s="18" t="s">
        <v>69</v>
      </c>
      <c r="D701" s="18" t="n">
        <v>102881</v>
      </c>
      <c r="E701" s="21" t="str">
        <f aca="false">+CONCATENATE(Tabla[[#This Row],[RUT]],Tabla[[#This Row],[PROVEEDOR]],Tabla[[#This Row],[FACTURA]])</f>
        <v>82066500-7PRISA MEDIA CORP SpA102881</v>
      </c>
      <c r="F701" s="30" t="n">
        <v>46156</v>
      </c>
      <c r="G701" s="31" t="n">
        <f aca="false">+F701+30</f>
        <v>46186</v>
      </c>
      <c r="H701" s="29" t="n">
        <f aca="true">+IF(AE701="PAGADA",0,TODAY()-G701)</f>
        <v>18</v>
      </c>
      <c r="I701" s="29" t="str">
        <f aca="false">+IF(H701&gt;180,"Atrasada",IF(H701&gt;150,"150 dias",IF(H701&gt;120,"120 dias",IF(H701&gt;90,"90 dias",IF(H701&gt;60,"60 dias",IF(H701&gt;30,"30 dias","Al Día"))))))</f>
        <v>Al Día</v>
      </c>
      <c r="J701" s="59" t="s">
        <v>80</v>
      </c>
      <c r="K701" s="60" t="s">
        <v>81</v>
      </c>
      <c r="L701" s="61" t="s">
        <v>326</v>
      </c>
      <c r="M701" s="29" t="n">
        <f aca="false">+YEAR(F701)</f>
        <v>2026</v>
      </c>
      <c r="N701" s="62" t="n">
        <v>2026</v>
      </c>
      <c r="O701" s="63" t="n">
        <v>4</v>
      </c>
      <c r="P701" s="29" t="str">
        <f aca="false">+CONCATENATE(Tabla[[#This Row],[MES CAMPAÑA]],"/",Tabla[[#This Row],[AÑO CAMPAÑA]])</f>
        <v>4/2026</v>
      </c>
      <c r="Q701" s="60" t="s">
        <v>315</v>
      </c>
      <c r="R701" s="29"/>
      <c r="S701" s="64" t="n">
        <v>0</v>
      </c>
      <c r="T701" s="64" t="n">
        <v>1846005</v>
      </c>
      <c r="U701" s="64" t="n">
        <v>350741</v>
      </c>
      <c r="V701" s="65"/>
      <c r="W701" s="24" t="n">
        <v>2196746</v>
      </c>
      <c r="X701" s="36"/>
      <c r="Y701" s="66"/>
      <c r="Z701" s="66"/>
      <c r="AA701" s="66"/>
      <c r="AB701" s="38" t="n">
        <f aca="false">+W701-AC701</f>
        <v>2196746</v>
      </c>
      <c r="AC701" s="34" t="n">
        <f aca="false">+Tabla[[#This Row],[P4]]+Tabla[[#This Row],[P3]]+Tabla[[#This Row],[P2]]+Tabla[[#This Row],[P1]]</f>
        <v>0</v>
      </c>
      <c r="AD701" s="34" t="n">
        <f aca="false">+W701-AC701</f>
        <v>2196746</v>
      </c>
      <c r="AE701" s="21" t="str">
        <f aca="false">IF(AB701&lt;1,"PAGADA","PENDIENTE")</f>
        <v>PENDIENTE</v>
      </c>
      <c r="AF701" s="67"/>
      <c r="AG701" s="29"/>
      <c r="AH701" s="68"/>
      <c r="AI701" s="40" t="n">
        <f aca="false">+IF(Tabla[[#This Row],[FECHA PAGO / ABONO]]&lt;1,0,(MONTH(Tabla[[#This Row],[FECHA PAGO / ABONO]])))</f>
        <v>0</v>
      </c>
      <c r="AJ701" s="40" t="n">
        <f aca="false">+IF(Tabla[[#This Row],[FECHA PAGO / ABONO]]&lt;1,0,(YEAR(Tabla[[#This Row],[FECHA PAGO / ABONO]])))</f>
        <v>0</v>
      </c>
      <c r="AK701" s="41"/>
    </row>
    <row r="702" customFormat="false" ht="14.25" hidden="false" customHeight="false" outlineLevel="0" collapsed="false">
      <c r="A702" s="17" t="s">
        <v>294</v>
      </c>
      <c r="B702" s="18" t="s">
        <v>295</v>
      </c>
      <c r="C702" s="18" t="s">
        <v>69</v>
      </c>
      <c r="D702" s="18" t="n">
        <v>102882</v>
      </c>
      <c r="E702" s="21" t="str">
        <f aca="false">+CONCATENATE(Tabla[[#This Row],[RUT]],Tabla[[#This Row],[PROVEEDOR]],Tabla[[#This Row],[FACTURA]])</f>
        <v>82066500-7PRISA MEDIA CORP SpA102882</v>
      </c>
      <c r="F702" s="30" t="n">
        <v>46156</v>
      </c>
      <c r="G702" s="31" t="n">
        <f aca="false">+F702+30</f>
        <v>46186</v>
      </c>
      <c r="H702" s="29" t="n">
        <f aca="true">+IF(AE702="PAGADA",0,TODAY()-G702)</f>
        <v>18</v>
      </c>
      <c r="I702" s="29" t="str">
        <f aca="false">+IF(H702&gt;180,"Atrasada",IF(H702&gt;150,"150 dias",IF(H702&gt;120,"120 dias",IF(H702&gt;90,"90 dias",IF(H702&gt;60,"60 dias",IF(H702&gt;30,"30 dias","Al Día"))))))</f>
        <v>Al Día</v>
      </c>
      <c r="J702" s="59" t="s">
        <v>80</v>
      </c>
      <c r="K702" s="60" t="s">
        <v>81</v>
      </c>
      <c r="L702" s="61" t="s">
        <v>326</v>
      </c>
      <c r="M702" s="29" t="n">
        <f aca="false">+YEAR(F702)</f>
        <v>2026</v>
      </c>
      <c r="N702" s="62" t="n">
        <v>2026</v>
      </c>
      <c r="O702" s="63" t="n">
        <v>4</v>
      </c>
      <c r="P702" s="29" t="str">
        <f aca="false">+CONCATENATE(Tabla[[#This Row],[MES CAMPAÑA]],"/",Tabla[[#This Row],[AÑO CAMPAÑA]])</f>
        <v>4/2026</v>
      </c>
      <c r="Q702" s="60" t="s">
        <v>315</v>
      </c>
      <c r="R702" s="29"/>
      <c r="S702" s="64" t="n">
        <v>0</v>
      </c>
      <c r="T702" s="64" t="n">
        <v>1255275</v>
      </c>
      <c r="U702" s="64" t="n">
        <v>238502</v>
      </c>
      <c r="V702" s="65"/>
      <c r="W702" s="24" t="n">
        <v>1493777</v>
      </c>
      <c r="X702" s="36"/>
      <c r="Y702" s="66"/>
      <c r="Z702" s="66"/>
      <c r="AA702" s="66"/>
      <c r="AB702" s="38" t="n">
        <f aca="false">+W702-AC702</f>
        <v>1493777</v>
      </c>
      <c r="AC702" s="34" t="n">
        <f aca="false">+Tabla[[#This Row],[P4]]+Tabla[[#This Row],[P3]]+Tabla[[#This Row],[P2]]+Tabla[[#This Row],[P1]]</f>
        <v>0</v>
      </c>
      <c r="AD702" s="34" t="n">
        <f aca="false">+W702-AC702</f>
        <v>1493777</v>
      </c>
      <c r="AE702" s="21" t="str">
        <f aca="false">IF(AB702&lt;1,"PAGADA","PENDIENTE")</f>
        <v>PENDIENTE</v>
      </c>
      <c r="AF702" s="67"/>
      <c r="AG702" s="29"/>
      <c r="AH702" s="68"/>
      <c r="AI702" s="40" t="n">
        <f aca="false">+IF(Tabla[[#This Row],[FECHA PAGO / ABONO]]&lt;1,0,(MONTH(Tabla[[#This Row],[FECHA PAGO / ABONO]])))</f>
        <v>0</v>
      </c>
      <c r="AJ702" s="40" t="n">
        <f aca="false">+IF(Tabla[[#This Row],[FECHA PAGO / ABONO]]&lt;1,0,(YEAR(Tabla[[#This Row],[FECHA PAGO / ABONO]])))</f>
        <v>0</v>
      </c>
      <c r="AK702" s="41"/>
    </row>
    <row r="703" customFormat="false" ht="14.25" hidden="false" customHeight="false" outlineLevel="0" collapsed="false">
      <c r="A703" s="17" t="s">
        <v>294</v>
      </c>
      <c r="B703" s="18" t="s">
        <v>295</v>
      </c>
      <c r="C703" s="18" t="s">
        <v>69</v>
      </c>
      <c r="D703" s="18" t="n">
        <v>102883</v>
      </c>
      <c r="E703" s="21" t="str">
        <f aca="false">+CONCATENATE(Tabla[[#This Row],[RUT]],Tabla[[#This Row],[PROVEEDOR]],Tabla[[#This Row],[FACTURA]])</f>
        <v>82066500-7PRISA MEDIA CORP SpA102883</v>
      </c>
      <c r="F703" s="30" t="n">
        <v>46156</v>
      </c>
      <c r="G703" s="31" t="n">
        <f aca="false">+F703+30</f>
        <v>46186</v>
      </c>
      <c r="H703" s="29" t="n">
        <f aca="true">+IF(AE703="PAGADA",0,TODAY()-G703)</f>
        <v>18</v>
      </c>
      <c r="I703" s="29" t="str">
        <f aca="false">+IF(H703&gt;180,"Atrasada",IF(H703&gt;150,"150 dias",IF(H703&gt;120,"120 dias",IF(H703&gt;90,"90 dias",IF(H703&gt;60,"60 dias",IF(H703&gt;30,"30 dias","Al Día"))))))</f>
        <v>Al Día</v>
      </c>
      <c r="J703" s="59" t="s">
        <v>80</v>
      </c>
      <c r="K703" s="60" t="s">
        <v>81</v>
      </c>
      <c r="L703" s="61" t="s">
        <v>326</v>
      </c>
      <c r="M703" s="29" t="n">
        <f aca="false">+YEAR(F703)</f>
        <v>2026</v>
      </c>
      <c r="N703" s="62" t="n">
        <v>2026</v>
      </c>
      <c r="O703" s="63" t="n">
        <v>4</v>
      </c>
      <c r="P703" s="29" t="str">
        <f aca="false">+CONCATENATE(Tabla[[#This Row],[MES CAMPAÑA]],"/",Tabla[[#This Row],[AÑO CAMPAÑA]])</f>
        <v>4/2026</v>
      </c>
      <c r="Q703" s="60" t="s">
        <v>315</v>
      </c>
      <c r="R703" s="29"/>
      <c r="S703" s="64" t="n">
        <v>0</v>
      </c>
      <c r="T703" s="64" t="n">
        <v>632916</v>
      </c>
      <c r="U703" s="64" t="n">
        <v>120254</v>
      </c>
      <c r="V703" s="65"/>
      <c r="W703" s="24" t="n">
        <v>753170</v>
      </c>
      <c r="X703" s="36"/>
      <c r="Y703" s="66"/>
      <c r="Z703" s="66"/>
      <c r="AA703" s="66"/>
      <c r="AB703" s="38" t="n">
        <f aca="false">+W703-AC703</f>
        <v>753170</v>
      </c>
      <c r="AC703" s="34" t="n">
        <f aca="false">+Tabla[[#This Row],[P4]]+Tabla[[#This Row],[P3]]+Tabla[[#This Row],[P2]]+Tabla[[#This Row],[P1]]</f>
        <v>0</v>
      </c>
      <c r="AD703" s="34" t="n">
        <f aca="false">+W703-AC703</f>
        <v>753170</v>
      </c>
      <c r="AE703" s="21" t="str">
        <f aca="false">IF(AB703&lt;1,"PAGADA","PENDIENTE")</f>
        <v>PENDIENTE</v>
      </c>
      <c r="AF703" s="67"/>
      <c r="AG703" s="29"/>
      <c r="AH703" s="68"/>
      <c r="AI703" s="40" t="n">
        <f aca="false">+IF(Tabla[[#This Row],[FECHA PAGO / ABONO]]&lt;1,0,(MONTH(Tabla[[#This Row],[FECHA PAGO / ABONO]])))</f>
        <v>0</v>
      </c>
      <c r="AJ703" s="40" t="n">
        <f aca="false">+IF(Tabla[[#This Row],[FECHA PAGO / ABONO]]&lt;1,0,(YEAR(Tabla[[#This Row],[FECHA PAGO / ABONO]])))</f>
        <v>0</v>
      </c>
      <c r="AK703" s="41"/>
    </row>
    <row r="704" customFormat="false" ht="14.25" hidden="false" customHeight="false" outlineLevel="0" collapsed="false">
      <c r="A704" s="17" t="s">
        <v>294</v>
      </c>
      <c r="B704" s="18" t="s">
        <v>295</v>
      </c>
      <c r="C704" s="18" t="s">
        <v>69</v>
      </c>
      <c r="D704" s="18" t="n">
        <v>102884</v>
      </c>
      <c r="E704" s="21" t="str">
        <f aca="false">+CONCATENATE(Tabla[[#This Row],[RUT]],Tabla[[#This Row],[PROVEEDOR]],Tabla[[#This Row],[FACTURA]])</f>
        <v>82066500-7PRISA MEDIA CORP SpA102884</v>
      </c>
      <c r="F704" s="30" t="n">
        <v>46156</v>
      </c>
      <c r="G704" s="31" t="n">
        <f aca="false">+F704+30</f>
        <v>46186</v>
      </c>
      <c r="H704" s="29" t="n">
        <f aca="true">+IF(AE704="PAGADA",0,TODAY()-G704)</f>
        <v>18</v>
      </c>
      <c r="I704" s="29" t="str">
        <f aca="false">+IF(H704&gt;180,"Atrasada",IF(H704&gt;150,"150 dias",IF(H704&gt;120,"120 dias",IF(H704&gt;90,"90 dias",IF(H704&gt;60,"60 dias",IF(H704&gt;30,"30 dias","Al Día"))))))</f>
        <v>Al Día</v>
      </c>
      <c r="J704" s="59" t="s">
        <v>80</v>
      </c>
      <c r="K704" s="60" t="s">
        <v>81</v>
      </c>
      <c r="L704" s="61" t="s">
        <v>326</v>
      </c>
      <c r="M704" s="29" t="n">
        <f aca="false">+YEAR(F704)</f>
        <v>2026</v>
      </c>
      <c r="N704" s="62" t="n">
        <v>2026</v>
      </c>
      <c r="O704" s="63" t="n">
        <v>4</v>
      </c>
      <c r="P704" s="29" t="str">
        <f aca="false">+CONCATENATE(Tabla[[#This Row],[MES CAMPAÑA]],"/",Tabla[[#This Row],[AÑO CAMPAÑA]])</f>
        <v>4/2026</v>
      </c>
      <c r="Q704" s="60" t="s">
        <v>315</v>
      </c>
      <c r="R704" s="29"/>
      <c r="S704" s="64" t="n">
        <v>0</v>
      </c>
      <c r="T704" s="64" t="n">
        <v>430380</v>
      </c>
      <c r="U704" s="64" t="n">
        <v>81772</v>
      </c>
      <c r="V704" s="65"/>
      <c r="W704" s="24" t="n">
        <v>512152</v>
      </c>
      <c r="X704" s="36"/>
      <c r="Y704" s="66"/>
      <c r="Z704" s="66"/>
      <c r="AA704" s="66"/>
      <c r="AB704" s="38" t="n">
        <f aca="false">+W704-AC704</f>
        <v>512152</v>
      </c>
      <c r="AC704" s="34" t="n">
        <f aca="false">+Tabla[[#This Row],[P4]]+Tabla[[#This Row],[P3]]+Tabla[[#This Row],[P2]]+Tabla[[#This Row],[P1]]</f>
        <v>0</v>
      </c>
      <c r="AD704" s="34" t="n">
        <f aca="false">+W704-AC704</f>
        <v>512152</v>
      </c>
      <c r="AE704" s="21" t="str">
        <f aca="false">IF(AB704&lt;1,"PAGADA","PENDIENTE")</f>
        <v>PENDIENTE</v>
      </c>
      <c r="AF704" s="67"/>
      <c r="AG704" s="29"/>
      <c r="AH704" s="68"/>
      <c r="AI704" s="40" t="n">
        <f aca="false">+IF(Tabla[[#This Row],[FECHA PAGO / ABONO]]&lt;1,0,(MONTH(Tabla[[#This Row],[FECHA PAGO / ABONO]])))</f>
        <v>0</v>
      </c>
      <c r="AJ704" s="40" t="n">
        <f aca="false">+IF(Tabla[[#This Row],[FECHA PAGO / ABONO]]&lt;1,0,(YEAR(Tabla[[#This Row],[FECHA PAGO / ABONO]])))</f>
        <v>0</v>
      </c>
      <c r="AK704" s="41"/>
    </row>
    <row r="705" customFormat="false" ht="14.25" hidden="false" customHeight="false" outlineLevel="0" collapsed="false">
      <c r="A705" s="17" t="s">
        <v>294</v>
      </c>
      <c r="B705" s="18" t="s">
        <v>295</v>
      </c>
      <c r="C705" s="18" t="s">
        <v>69</v>
      </c>
      <c r="D705" s="18" t="n">
        <v>102885</v>
      </c>
      <c r="E705" s="21" t="str">
        <f aca="false">+CONCATENATE(Tabla[[#This Row],[RUT]],Tabla[[#This Row],[PROVEEDOR]],Tabla[[#This Row],[FACTURA]])</f>
        <v>82066500-7PRISA MEDIA CORP SpA102885</v>
      </c>
      <c r="F705" s="30" t="n">
        <v>46156</v>
      </c>
      <c r="G705" s="31" t="n">
        <f aca="false">+F705+30</f>
        <v>46186</v>
      </c>
      <c r="H705" s="29" t="n">
        <f aca="true">+IF(AE705="PAGADA",0,TODAY()-G705)</f>
        <v>18</v>
      </c>
      <c r="I705" s="29" t="str">
        <f aca="false">+IF(H705&gt;180,"Atrasada",IF(H705&gt;150,"150 dias",IF(H705&gt;120,"120 dias",IF(H705&gt;90,"90 dias",IF(H705&gt;60,"60 dias",IF(H705&gt;30,"30 dias","Al Día"))))))</f>
        <v>Al Día</v>
      </c>
      <c r="J705" s="59" t="s">
        <v>80</v>
      </c>
      <c r="K705" s="60" t="s">
        <v>81</v>
      </c>
      <c r="L705" s="61" t="s">
        <v>326</v>
      </c>
      <c r="M705" s="29" t="n">
        <f aca="false">+YEAR(F705)</f>
        <v>2026</v>
      </c>
      <c r="N705" s="62" t="n">
        <v>2026</v>
      </c>
      <c r="O705" s="63" t="n">
        <v>4</v>
      </c>
      <c r="P705" s="29" t="str">
        <f aca="false">+CONCATENATE(Tabla[[#This Row],[MES CAMPAÑA]],"/",Tabla[[#This Row],[AÑO CAMPAÑA]])</f>
        <v>4/2026</v>
      </c>
      <c r="Q705" s="60" t="s">
        <v>315</v>
      </c>
      <c r="R705" s="29"/>
      <c r="S705" s="64" t="n">
        <v>0</v>
      </c>
      <c r="T705" s="64" t="n">
        <v>2310000</v>
      </c>
      <c r="U705" s="64" t="n">
        <v>438900</v>
      </c>
      <c r="V705" s="65"/>
      <c r="W705" s="24" t="n">
        <v>2748900</v>
      </c>
      <c r="X705" s="36"/>
      <c r="Y705" s="66"/>
      <c r="Z705" s="66"/>
      <c r="AA705" s="66"/>
      <c r="AB705" s="38" t="n">
        <f aca="false">+W705-AC705</f>
        <v>2748900</v>
      </c>
      <c r="AC705" s="34" t="n">
        <f aca="false">+Tabla[[#This Row],[P4]]+Tabla[[#This Row],[P3]]+Tabla[[#This Row],[P2]]+Tabla[[#This Row],[P1]]</f>
        <v>0</v>
      </c>
      <c r="AD705" s="34" t="n">
        <f aca="false">+W705-AC705</f>
        <v>2748900</v>
      </c>
      <c r="AE705" s="21" t="str">
        <f aca="false">IF(AB705&lt;1,"PAGADA","PENDIENTE")</f>
        <v>PENDIENTE</v>
      </c>
      <c r="AF705" s="67"/>
      <c r="AG705" s="29"/>
      <c r="AH705" s="68"/>
      <c r="AI705" s="40" t="n">
        <f aca="false">+IF(Tabla[[#This Row],[FECHA PAGO / ABONO]]&lt;1,0,(MONTH(Tabla[[#This Row],[FECHA PAGO / ABONO]])))</f>
        <v>0</v>
      </c>
      <c r="AJ705" s="40" t="n">
        <f aca="false">+IF(Tabla[[#This Row],[FECHA PAGO / ABONO]]&lt;1,0,(YEAR(Tabla[[#This Row],[FECHA PAGO / ABONO]])))</f>
        <v>0</v>
      </c>
      <c r="AK705" s="41"/>
    </row>
    <row r="706" customFormat="false" ht="14.25" hidden="false" customHeight="false" outlineLevel="0" collapsed="false">
      <c r="A706" s="17" t="s">
        <v>294</v>
      </c>
      <c r="B706" s="18" t="s">
        <v>295</v>
      </c>
      <c r="C706" s="18" t="s">
        <v>69</v>
      </c>
      <c r="D706" s="18" t="n">
        <v>102889</v>
      </c>
      <c r="E706" s="21" t="str">
        <f aca="false">+CONCATENATE(Tabla[[#This Row],[RUT]],Tabla[[#This Row],[PROVEEDOR]],Tabla[[#This Row],[FACTURA]])</f>
        <v>82066500-7PRISA MEDIA CORP SpA102889</v>
      </c>
      <c r="F706" s="30" t="n">
        <v>46156</v>
      </c>
      <c r="G706" s="31" t="n">
        <f aca="false">+F706+30</f>
        <v>46186</v>
      </c>
      <c r="H706" s="29" t="n">
        <f aca="true">+IF(AE706="PAGADA",0,TODAY()-G706)</f>
        <v>18</v>
      </c>
      <c r="I706" s="29" t="str">
        <f aca="false">+IF(H706&gt;180,"Atrasada",IF(H706&gt;150,"150 dias",IF(H706&gt;120,"120 dias",IF(H706&gt;90,"90 dias",IF(H706&gt;60,"60 dias",IF(H706&gt;30,"30 dias","Al Día"))))))</f>
        <v>Al Día</v>
      </c>
      <c r="J706" s="59" t="s">
        <v>80</v>
      </c>
      <c r="K706" s="60" t="s">
        <v>81</v>
      </c>
      <c r="L706" s="61" t="s">
        <v>326</v>
      </c>
      <c r="M706" s="29" t="n">
        <f aca="false">+YEAR(F706)</f>
        <v>2026</v>
      </c>
      <c r="N706" s="62" t="n">
        <v>2026</v>
      </c>
      <c r="O706" s="63" t="n">
        <v>4</v>
      </c>
      <c r="P706" s="29" t="str">
        <f aca="false">+CONCATENATE(Tabla[[#This Row],[MES CAMPAÑA]],"/",Tabla[[#This Row],[AÑO CAMPAÑA]])</f>
        <v>4/2026</v>
      </c>
      <c r="Q706" s="60" t="s">
        <v>323</v>
      </c>
      <c r="R706" s="29"/>
      <c r="S706" s="64" t="n">
        <v>0</v>
      </c>
      <c r="T706" s="64" t="n">
        <v>147616</v>
      </c>
      <c r="U706" s="64" t="n">
        <v>28047</v>
      </c>
      <c r="V706" s="65"/>
      <c r="W706" s="24" t="n">
        <v>175663</v>
      </c>
      <c r="X706" s="36"/>
      <c r="Y706" s="66"/>
      <c r="Z706" s="66"/>
      <c r="AA706" s="66"/>
      <c r="AB706" s="38" t="n">
        <f aca="false">+W706-AC706</f>
        <v>175663</v>
      </c>
      <c r="AC706" s="34" t="n">
        <f aca="false">+Tabla[[#This Row],[P4]]+Tabla[[#This Row],[P3]]+Tabla[[#This Row],[P2]]+Tabla[[#This Row],[P1]]</f>
        <v>0</v>
      </c>
      <c r="AD706" s="34" t="n">
        <f aca="false">+W706-AC706</f>
        <v>175663</v>
      </c>
      <c r="AE706" s="21" t="str">
        <f aca="false">IF(AB706&lt;1,"PAGADA","PENDIENTE")</f>
        <v>PENDIENTE</v>
      </c>
      <c r="AF706" s="67"/>
      <c r="AG706" s="29"/>
      <c r="AH706" s="68"/>
      <c r="AI706" s="40" t="n">
        <f aca="false">+IF(Tabla[[#This Row],[FECHA PAGO / ABONO]]&lt;1,0,(MONTH(Tabla[[#This Row],[FECHA PAGO / ABONO]])))</f>
        <v>0</v>
      </c>
      <c r="AJ706" s="40" t="n">
        <f aca="false">+IF(Tabla[[#This Row],[FECHA PAGO / ABONO]]&lt;1,0,(YEAR(Tabla[[#This Row],[FECHA PAGO / ABONO]])))</f>
        <v>0</v>
      </c>
      <c r="AK706" s="41"/>
    </row>
    <row r="707" customFormat="false" ht="14.25" hidden="false" customHeight="false" outlineLevel="0" collapsed="false">
      <c r="A707" s="17" t="s">
        <v>294</v>
      </c>
      <c r="B707" s="18" t="s">
        <v>295</v>
      </c>
      <c r="C707" s="18" t="s">
        <v>69</v>
      </c>
      <c r="D707" s="18" t="n">
        <v>102887</v>
      </c>
      <c r="E707" s="21" t="str">
        <f aca="false">+CONCATENATE(Tabla[[#This Row],[RUT]],Tabla[[#This Row],[PROVEEDOR]],Tabla[[#This Row],[FACTURA]])</f>
        <v>82066500-7PRISA MEDIA CORP SpA102887</v>
      </c>
      <c r="F707" s="30" t="n">
        <v>46156</v>
      </c>
      <c r="G707" s="31" t="n">
        <f aca="false">+F707+30</f>
        <v>46186</v>
      </c>
      <c r="H707" s="29" t="n">
        <f aca="true">+IF(AE707="PAGADA",0,TODAY()-G707)</f>
        <v>18</v>
      </c>
      <c r="I707" s="29" t="str">
        <f aca="false">+IF(H707&gt;180,"Atrasada",IF(H707&gt;150,"150 dias",IF(H707&gt;120,"120 dias",IF(H707&gt;90,"90 dias",IF(H707&gt;60,"60 dias",IF(H707&gt;30,"30 dias","Al Día"))))))</f>
        <v>Al Día</v>
      </c>
      <c r="J707" s="59" t="s">
        <v>80</v>
      </c>
      <c r="K707" s="60" t="s">
        <v>81</v>
      </c>
      <c r="L707" s="61" t="s">
        <v>326</v>
      </c>
      <c r="M707" s="29" t="n">
        <f aca="false">+YEAR(F707)</f>
        <v>2026</v>
      </c>
      <c r="N707" s="62" t="n">
        <v>2026</v>
      </c>
      <c r="O707" s="63" t="n">
        <v>4</v>
      </c>
      <c r="P707" s="29" t="str">
        <f aca="false">+CONCATENATE(Tabla[[#This Row],[MES CAMPAÑA]],"/",Tabla[[#This Row],[AÑO CAMPAÑA]])</f>
        <v>4/2026</v>
      </c>
      <c r="Q707" s="60" t="s">
        <v>323</v>
      </c>
      <c r="R707" s="29"/>
      <c r="S707" s="64" t="n">
        <v>0</v>
      </c>
      <c r="T707" s="64" t="n">
        <v>1033312</v>
      </c>
      <c r="U707" s="64" t="n">
        <v>196329</v>
      </c>
      <c r="V707" s="65"/>
      <c r="W707" s="24" t="n">
        <v>1229641</v>
      </c>
      <c r="X707" s="36"/>
      <c r="Y707" s="66"/>
      <c r="Z707" s="66"/>
      <c r="AA707" s="66"/>
      <c r="AB707" s="38" t="n">
        <f aca="false">+W707-AC707</f>
        <v>1229641</v>
      </c>
      <c r="AC707" s="34" t="n">
        <f aca="false">+Tabla[[#This Row],[P4]]+Tabla[[#This Row],[P3]]+Tabla[[#This Row],[P2]]+Tabla[[#This Row],[P1]]</f>
        <v>0</v>
      </c>
      <c r="AD707" s="34" t="n">
        <f aca="false">+W707-AC707</f>
        <v>1229641</v>
      </c>
      <c r="AE707" s="21" t="str">
        <f aca="false">IF(AB707&lt;1,"PAGADA","PENDIENTE")</f>
        <v>PENDIENTE</v>
      </c>
      <c r="AF707" s="67"/>
      <c r="AG707" s="29"/>
      <c r="AH707" s="68"/>
      <c r="AI707" s="40" t="n">
        <f aca="false">+IF(Tabla[[#This Row],[FECHA PAGO / ABONO]]&lt;1,0,(MONTH(Tabla[[#This Row],[FECHA PAGO / ABONO]])))</f>
        <v>0</v>
      </c>
      <c r="AJ707" s="40" t="n">
        <f aca="false">+IF(Tabla[[#This Row],[FECHA PAGO / ABONO]]&lt;1,0,(YEAR(Tabla[[#This Row],[FECHA PAGO / ABONO]])))</f>
        <v>0</v>
      </c>
      <c r="AK707" s="41"/>
    </row>
    <row r="708" customFormat="false" ht="14.25" hidden="false" customHeight="false" outlineLevel="0" collapsed="false">
      <c r="A708" s="17" t="s">
        <v>294</v>
      </c>
      <c r="B708" s="18" t="s">
        <v>295</v>
      </c>
      <c r="C708" s="18" t="s">
        <v>69</v>
      </c>
      <c r="D708" s="18" t="n">
        <v>102890</v>
      </c>
      <c r="E708" s="21" t="str">
        <f aca="false">+CONCATENATE(Tabla[[#This Row],[RUT]],Tabla[[#This Row],[PROVEEDOR]],Tabla[[#This Row],[FACTURA]])</f>
        <v>82066500-7PRISA MEDIA CORP SpA102890</v>
      </c>
      <c r="F708" s="30" t="n">
        <v>46156</v>
      </c>
      <c r="G708" s="31" t="n">
        <f aca="false">+F708+30</f>
        <v>46186</v>
      </c>
      <c r="H708" s="29" t="n">
        <f aca="true">+IF(AE708="PAGADA",0,TODAY()-G708)</f>
        <v>18</v>
      </c>
      <c r="I708" s="29" t="str">
        <f aca="false">+IF(H708&gt;180,"Atrasada",IF(H708&gt;150,"150 dias",IF(H708&gt;120,"120 dias",IF(H708&gt;90,"90 dias",IF(H708&gt;60,"60 dias",IF(H708&gt;30,"30 dias","Al Día"))))))</f>
        <v>Al Día</v>
      </c>
      <c r="J708" s="59" t="s">
        <v>80</v>
      </c>
      <c r="K708" s="60" t="s">
        <v>81</v>
      </c>
      <c r="L708" s="61" t="s">
        <v>326</v>
      </c>
      <c r="M708" s="29" t="n">
        <f aca="false">+YEAR(F708)</f>
        <v>2026</v>
      </c>
      <c r="N708" s="62" t="n">
        <v>2026</v>
      </c>
      <c r="O708" s="63" t="n">
        <v>4</v>
      </c>
      <c r="P708" s="29" t="str">
        <f aca="false">+CONCATENATE(Tabla[[#This Row],[MES CAMPAÑA]],"/",Tabla[[#This Row],[AÑO CAMPAÑA]])</f>
        <v>4/2026</v>
      </c>
      <c r="Q708" s="60" t="s">
        <v>323</v>
      </c>
      <c r="R708" s="29"/>
      <c r="S708" s="64" t="n">
        <v>0</v>
      </c>
      <c r="T708" s="64" t="n">
        <v>205024</v>
      </c>
      <c r="U708" s="64" t="n">
        <v>38955</v>
      </c>
      <c r="V708" s="65"/>
      <c r="W708" s="24" t="n">
        <v>243979</v>
      </c>
      <c r="X708" s="36"/>
      <c r="Y708" s="66"/>
      <c r="Z708" s="66"/>
      <c r="AA708" s="66"/>
      <c r="AB708" s="38" t="n">
        <f aca="false">+W708-AC708</f>
        <v>243979</v>
      </c>
      <c r="AC708" s="34" t="n">
        <f aca="false">+Tabla[[#This Row],[P4]]+Tabla[[#This Row],[P3]]+Tabla[[#This Row],[P2]]+Tabla[[#This Row],[P1]]</f>
        <v>0</v>
      </c>
      <c r="AD708" s="34" t="n">
        <f aca="false">+W708-AC708</f>
        <v>243979</v>
      </c>
      <c r="AE708" s="21" t="str">
        <f aca="false">IF(AB708&lt;1,"PAGADA","PENDIENTE")</f>
        <v>PENDIENTE</v>
      </c>
      <c r="AF708" s="67"/>
      <c r="AG708" s="29"/>
      <c r="AH708" s="68"/>
      <c r="AI708" s="40" t="n">
        <f aca="false">+IF(Tabla[[#This Row],[FECHA PAGO / ABONO]]&lt;1,0,(MONTH(Tabla[[#This Row],[FECHA PAGO / ABONO]])))</f>
        <v>0</v>
      </c>
      <c r="AJ708" s="40" t="n">
        <f aca="false">+IF(Tabla[[#This Row],[FECHA PAGO / ABONO]]&lt;1,0,(YEAR(Tabla[[#This Row],[FECHA PAGO / ABONO]])))</f>
        <v>0</v>
      </c>
      <c r="AK708" s="41"/>
    </row>
    <row r="709" customFormat="false" ht="14.25" hidden="false" customHeight="false" outlineLevel="0" collapsed="false">
      <c r="A709" s="17" t="s">
        <v>294</v>
      </c>
      <c r="B709" s="18" t="s">
        <v>295</v>
      </c>
      <c r="C709" s="18" t="s">
        <v>69</v>
      </c>
      <c r="D709" s="18" t="n">
        <v>102888</v>
      </c>
      <c r="E709" s="21" t="str">
        <f aca="false">+CONCATENATE(Tabla[[#This Row],[RUT]],Tabla[[#This Row],[PROVEEDOR]],Tabla[[#This Row],[FACTURA]])</f>
        <v>82066500-7PRISA MEDIA CORP SpA102888</v>
      </c>
      <c r="F709" s="30" t="n">
        <v>46156</v>
      </c>
      <c r="G709" s="31" t="n">
        <f aca="false">+F709+30</f>
        <v>46186</v>
      </c>
      <c r="H709" s="29" t="n">
        <f aca="true">+IF(AE709="PAGADA",0,TODAY()-G709)</f>
        <v>18</v>
      </c>
      <c r="I709" s="29" t="str">
        <f aca="false">+IF(H709&gt;180,"Atrasada",IF(H709&gt;150,"150 dias",IF(H709&gt;120,"120 dias",IF(H709&gt;90,"90 dias",IF(H709&gt;60,"60 dias",IF(H709&gt;30,"30 dias","Al Día"))))))</f>
        <v>Al Día</v>
      </c>
      <c r="J709" s="59" t="s">
        <v>80</v>
      </c>
      <c r="K709" s="60" t="s">
        <v>81</v>
      </c>
      <c r="L709" s="61" t="s">
        <v>326</v>
      </c>
      <c r="M709" s="29" t="n">
        <f aca="false">+YEAR(F709)</f>
        <v>2026</v>
      </c>
      <c r="N709" s="62" t="n">
        <v>2026</v>
      </c>
      <c r="O709" s="63" t="n">
        <v>4</v>
      </c>
      <c r="P709" s="29" t="str">
        <f aca="false">+CONCATENATE(Tabla[[#This Row],[MES CAMPAÑA]],"/",Tabla[[#This Row],[AÑO CAMPAÑA]])</f>
        <v>4/2026</v>
      </c>
      <c r="Q709" s="60" t="s">
        <v>323</v>
      </c>
      <c r="R709" s="29"/>
      <c r="S709" s="64" t="n">
        <v>0</v>
      </c>
      <c r="T709" s="64" t="n">
        <v>1435168</v>
      </c>
      <c r="U709" s="64" t="n">
        <v>272682</v>
      </c>
      <c r="V709" s="65"/>
      <c r="W709" s="24" t="n">
        <v>1707850</v>
      </c>
      <c r="X709" s="36"/>
      <c r="Y709" s="66"/>
      <c r="Z709" s="66"/>
      <c r="AA709" s="66"/>
      <c r="AB709" s="38" t="n">
        <f aca="false">+W709-AC709</f>
        <v>1707850</v>
      </c>
      <c r="AC709" s="34" t="n">
        <f aca="false">+Tabla[[#This Row],[P4]]+Tabla[[#This Row],[P3]]+Tabla[[#This Row],[P2]]+Tabla[[#This Row],[P1]]</f>
        <v>0</v>
      </c>
      <c r="AD709" s="34" t="n">
        <f aca="false">+W709-AC709</f>
        <v>1707850</v>
      </c>
      <c r="AE709" s="21" t="str">
        <f aca="false">IF(AB709&lt;1,"PAGADA","PENDIENTE")</f>
        <v>PENDIENTE</v>
      </c>
      <c r="AF709" s="67"/>
      <c r="AG709" s="29"/>
      <c r="AH709" s="68"/>
      <c r="AI709" s="40" t="n">
        <f aca="false">+IF(Tabla[[#This Row],[FECHA PAGO / ABONO]]&lt;1,0,(MONTH(Tabla[[#This Row],[FECHA PAGO / ABONO]])))</f>
        <v>0</v>
      </c>
      <c r="AJ709" s="40" t="n">
        <f aca="false">+IF(Tabla[[#This Row],[FECHA PAGO / ABONO]]&lt;1,0,(YEAR(Tabla[[#This Row],[FECHA PAGO / ABONO]])))</f>
        <v>0</v>
      </c>
      <c r="AK709" s="41"/>
    </row>
    <row r="710" customFormat="false" ht="14.25" hidden="false" customHeight="false" outlineLevel="0" collapsed="false">
      <c r="A710" s="17" t="s">
        <v>294</v>
      </c>
      <c r="B710" s="18" t="s">
        <v>295</v>
      </c>
      <c r="C710" s="18" t="s">
        <v>69</v>
      </c>
      <c r="D710" s="18" t="n">
        <v>102891</v>
      </c>
      <c r="E710" s="21" t="str">
        <f aca="false">+CONCATENATE(Tabla[[#This Row],[RUT]],Tabla[[#This Row],[PROVEEDOR]],Tabla[[#This Row],[FACTURA]])</f>
        <v>82066500-7PRISA MEDIA CORP SpA102891</v>
      </c>
      <c r="F710" s="30" t="n">
        <v>46156</v>
      </c>
      <c r="G710" s="31" t="n">
        <f aca="false">+F710+30</f>
        <v>46186</v>
      </c>
      <c r="H710" s="29" t="n">
        <f aca="true">+IF(AE710="PAGADA",0,TODAY()-G710)</f>
        <v>18</v>
      </c>
      <c r="I710" s="29" t="str">
        <f aca="false">+IF(H710&gt;180,"Atrasada",IF(H710&gt;150,"150 dias",IF(H710&gt;120,"120 dias",IF(H710&gt;90,"90 dias",IF(H710&gt;60,"60 dias",IF(H710&gt;30,"30 dias","Al Día"))))))</f>
        <v>Al Día</v>
      </c>
      <c r="J710" s="59" t="s">
        <v>80</v>
      </c>
      <c r="K710" s="60" t="s">
        <v>81</v>
      </c>
      <c r="L710" s="61" t="s">
        <v>326</v>
      </c>
      <c r="M710" s="29" t="n">
        <f aca="false">+YEAR(F710)</f>
        <v>2026</v>
      </c>
      <c r="N710" s="62" t="n">
        <v>2026</v>
      </c>
      <c r="O710" s="63" t="n">
        <v>4</v>
      </c>
      <c r="P710" s="29" t="str">
        <f aca="false">+CONCATENATE(Tabla[[#This Row],[MES CAMPAÑA]],"/",Tabla[[#This Row],[AÑO CAMPAÑA]])</f>
        <v>4/2026</v>
      </c>
      <c r="Q710" s="60" t="s">
        <v>316</v>
      </c>
      <c r="R710" s="29"/>
      <c r="S710" s="64" t="n">
        <v>0</v>
      </c>
      <c r="T710" s="64" t="n">
        <v>750000</v>
      </c>
      <c r="U710" s="64" t="n">
        <v>142500</v>
      </c>
      <c r="V710" s="65"/>
      <c r="W710" s="24" t="n">
        <v>892500</v>
      </c>
      <c r="X710" s="36"/>
      <c r="Y710" s="66"/>
      <c r="Z710" s="66"/>
      <c r="AA710" s="66"/>
      <c r="AB710" s="38" t="n">
        <f aca="false">+W710-AC710</f>
        <v>892500</v>
      </c>
      <c r="AC710" s="34" t="n">
        <f aca="false">+Tabla[[#This Row],[P4]]+Tabla[[#This Row],[P3]]+Tabla[[#This Row],[P2]]+Tabla[[#This Row],[P1]]</f>
        <v>0</v>
      </c>
      <c r="AD710" s="34" t="n">
        <f aca="false">+W710-AC710</f>
        <v>892500</v>
      </c>
      <c r="AE710" s="21" t="str">
        <f aca="false">IF(AB710&lt;1,"PAGADA","PENDIENTE")</f>
        <v>PENDIENTE</v>
      </c>
      <c r="AF710" s="67"/>
      <c r="AG710" s="29"/>
      <c r="AH710" s="68"/>
      <c r="AI710" s="40" t="n">
        <f aca="false">+IF(Tabla[[#This Row],[FECHA PAGO / ABONO]]&lt;1,0,(MONTH(Tabla[[#This Row],[FECHA PAGO / ABONO]])))</f>
        <v>0</v>
      </c>
      <c r="AJ710" s="40" t="n">
        <f aca="false">+IF(Tabla[[#This Row],[FECHA PAGO / ABONO]]&lt;1,0,(YEAR(Tabla[[#This Row],[FECHA PAGO / ABONO]])))</f>
        <v>0</v>
      </c>
      <c r="AK710" s="41"/>
    </row>
    <row r="711" customFormat="false" ht="14.25" hidden="false" customHeight="false" outlineLevel="0" collapsed="false">
      <c r="A711" s="17" t="s">
        <v>294</v>
      </c>
      <c r="B711" s="18" t="s">
        <v>295</v>
      </c>
      <c r="C711" s="18" t="s">
        <v>69</v>
      </c>
      <c r="D711" s="18" t="n">
        <v>102892</v>
      </c>
      <c r="E711" s="21" t="str">
        <f aca="false">+CONCATENATE(Tabla[[#This Row],[RUT]],Tabla[[#This Row],[PROVEEDOR]],Tabla[[#This Row],[FACTURA]])</f>
        <v>82066500-7PRISA MEDIA CORP SpA102892</v>
      </c>
      <c r="F711" s="30" t="n">
        <v>46156</v>
      </c>
      <c r="G711" s="31" t="n">
        <f aca="false">+F711+30</f>
        <v>46186</v>
      </c>
      <c r="H711" s="29" t="n">
        <f aca="true">+IF(AE711="PAGADA",0,TODAY()-G711)</f>
        <v>18</v>
      </c>
      <c r="I711" s="29" t="str">
        <f aca="false">+IF(H711&gt;180,"Atrasada",IF(H711&gt;150,"150 dias",IF(H711&gt;120,"120 dias",IF(H711&gt;90,"90 dias",IF(H711&gt;60,"60 dias",IF(H711&gt;30,"30 dias","Al Día"))))))</f>
        <v>Al Día</v>
      </c>
      <c r="J711" s="59" t="s">
        <v>80</v>
      </c>
      <c r="K711" s="60" t="s">
        <v>81</v>
      </c>
      <c r="L711" s="61" t="s">
        <v>326</v>
      </c>
      <c r="M711" s="29" t="n">
        <f aca="false">+YEAR(F711)</f>
        <v>2026</v>
      </c>
      <c r="N711" s="62" t="n">
        <v>2026</v>
      </c>
      <c r="O711" s="63" t="n">
        <v>4</v>
      </c>
      <c r="P711" s="29" t="str">
        <f aca="false">+CONCATENATE(Tabla[[#This Row],[MES CAMPAÑA]],"/",Tabla[[#This Row],[AÑO CAMPAÑA]])</f>
        <v>4/2026</v>
      </c>
      <c r="Q711" s="60" t="s">
        <v>316</v>
      </c>
      <c r="R711" s="29"/>
      <c r="S711" s="64" t="n">
        <v>0</v>
      </c>
      <c r="T711" s="64" t="n">
        <v>540000</v>
      </c>
      <c r="U711" s="64" t="n">
        <v>102600</v>
      </c>
      <c r="V711" s="65"/>
      <c r="W711" s="24" t="n">
        <v>642600</v>
      </c>
      <c r="X711" s="36"/>
      <c r="Y711" s="66"/>
      <c r="Z711" s="66"/>
      <c r="AA711" s="66"/>
      <c r="AB711" s="38" t="n">
        <f aca="false">+W711-AC711</f>
        <v>642600</v>
      </c>
      <c r="AC711" s="34" t="n">
        <f aca="false">+Tabla[[#This Row],[P4]]+Tabla[[#This Row],[P3]]+Tabla[[#This Row],[P2]]+Tabla[[#This Row],[P1]]</f>
        <v>0</v>
      </c>
      <c r="AD711" s="34" t="n">
        <f aca="false">+W711-AC711</f>
        <v>642600</v>
      </c>
      <c r="AE711" s="21" t="str">
        <f aca="false">IF(AB711&lt;1,"PAGADA","PENDIENTE")</f>
        <v>PENDIENTE</v>
      </c>
      <c r="AF711" s="67"/>
      <c r="AG711" s="29"/>
      <c r="AH711" s="68"/>
      <c r="AI711" s="40" t="n">
        <f aca="false">+IF(Tabla[[#This Row],[FECHA PAGO / ABONO]]&lt;1,0,(MONTH(Tabla[[#This Row],[FECHA PAGO / ABONO]])))</f>
        <v>0</v>
      </c>
      <c r="AJ711" s="40" t="n">
        <f aca="false">+IF(Tabla[[#This Row],[FECHA PAGO / ABONO]]&lt;1,0,(YEAR(Tabla[[#This Row],[FECHA PAGO / ABONO]])))</f>
        <v>0</v>
      </c>
      <c r="AK711" s="41"/>
    </row>
    <row r="712" customFormat="false" ht="14.25" hidden="false" customHeight="false" outlineLevel="0" collapsed="false">
      <c r="A712" s="17" t="s">
        <v>201</v>
      </c>
      <c r="B712" s="18" t="s">
        <v>202</v>
      </c>
      <c r="C712" s="18" t="s">
        <v>69</v>
      </c>
      <c r="D712" s="18" t="n">
        <v>6824</v>
      </c>
      <c r="E712" s="21" t="str">
        <f aca="false">+CONCATENATE(Tabla[[#This Row],[RUT]],Tabla[[#This Row],[PROVEEDOR]],Tabla[[#This Row],[FACTURA]])</f>
        <v>76394590-1SERVICIOS PUBLICITARIOS PUBLIVISION LIMITADA6824</v>
      </c>
      <c r="F712" s="30" t="n">
        <v>46156</v>
      </c>
      <c r="G712" s="31" t="n">
        <f aca="false">+F712+30</f>
        <v>46186</v>
      </c>
      <c r="H712" s="29" t="n">
        <f aca="true">+IF(AE712="PAGADA",0,TODAY()-G712)</f>
        <v>18</v>
      </c>
      <c r="I712" s="29" t="str">
        <f aca="false">+IF(H712&gt;180,"Atrasada",IF(H712&gt;150,"150 dias",IF(H712&gt;120,"120 dias",IF(H712&gt;90,"90 dias",IF(H712&gt;60,"60 dias",IF(H712&gt;30,"30 dias","Al Día"))))))</f>
        <v>Al Día</v>
      </c>
      <c r="J712" s="59" t="s">
        <v>80</v>
      </c>
      <c r="K712" s="60" t="s">
        <v>81</v>
      </c>
      <c r="L712" s="61" t="s">
        <v>326</v>
      </c>
      <c r="M712" s="29" t="n">
        <f aca="false">+YEAR(F712)</f>
        <v>2026</v>
      </c>
      <c r="N712" s="62" t="n">
        <v>2026</v>
      </c>
      <c r="O712" s="63" t="n">
        <v>4</v>
      </c>
      <c r="P712" s="29" t="str">
        <f aca="false">+CONCATENATE(Tabla[[#This Row],[MES CAMPAÑA]],"/",Tabla[[#This Row],[AÑO CAMPAÑA]])</f>
        <v>4/2026</v>
      </c>
      <c r="Q712" s="60" t="s">
        <v>92</v>
      </c>
      <c r="R712" s="29"/>
      <c r="S712" s="64" t="n">
        <v>0</v>
      </c>
      <c r="T712" s="64" t="n">
        <v>386552</v>
      </c>
      <c r="U712" s="64" t="n">
        <v>73445</v>
      </c>
      <c r="V712" s="65"/>
      <c r="W712" s="24" t="n">
        <v>459997</v>
      </c>
      <c r="X712" s="36"/>
      <c r="Y712" s="66"/>
      <c r="Z712" s="66"/>
      <c r="AA712" s="66"/>
      <c r="AB712" s="38" t="n">
        <f aca="false">+W712-AC712</f>
        <v>459997</v>
      </c>
      <c r="AC712" s="34" t="n">
        <f aca="false">+Tabla[[#This Row],[P4]]+Tabla[[#This Row],[P3]]+Tabla[[#This Row],[P2]]+Tabla[[#This Row],[P1]]</f>
        <v>0</v>
      </c>
      <c r="AD712" s="34" t="n">
        <f aca="false">+W712-AC712</f>
        <v>459997</v>
      </c>
      <c r="AE712" s="21" t="str">
        <f aca="false">IF(AB712&lt;1,"PAGADA","PENDIENTE")</f>
        <v>PENDIENTE</v>
      </c>
      <c r="AF712" s="67"/>
      <c r="AG712" s="29"/>
      <c r="AH712" s="68"/>
      <c r="AI712" s="40" t="n">
        <f aca="false">+IF(Tabla[[#This Row],[FECHA PAGO / ABONO]]&lt;1,0,(MONTH(Tabla[[#This Row],[FECHA PAGO / ABONO]])))</f>
        <v>0</v>
      </c>
      <c r="AJ712" s="40" t="n">
        <f aca="false">+IF(Tabla[[#This Row],[FECHA PAGO / ABONO]]&lt;1,0,(YEAR(Tabla[[#This Row],[FECHA PAGO / ABONO]])))</f>
        <v>0</v>
      </c>
      <c r="AK712" s="41"/>
    </row>
    <row r="713" customFormat="false" ht="14.25" hidden="false" customHeight="false" outlineLevel="0" collapsed="false">
      <c r="A713" s="17" t="s">
        <v>201</v>
      </c>
      <c r="B713" s="18" t="s">
        <v>202</v>
      </c>
      <c r="C713" s="18" t="s">
        <v>69</v>
      </c>
      <c r="D713" s="18" t="n">
        <v>6825</v>
      </c>
      <c r="E713" s="21" t="str">
        <f aca="false">+CONCATENATE(Tabla[[#This Row],[RUT]],Tabla[[#This Row],[PROVEEDOR]],Tabla[[#This Row],[FACTURA]])</f>
        <v>76394590-1SERVICIOS PUBLICITARIOS PUBLIVISION LIMITADA6825</v>
      </c>
      <c r="F713" s="30" t="n">
        <v>46156</v>
      </c>
      <c r="G713" s="31" t="n">
        <f aca="false">+F713+30</f>
        <v>46186</v>
      </c>
      <c r="H713" s="29" t="n">
        <f aca="true">+IF(AE713="PAGADA",0,TODAY()-G713)</f>
        <v>18</v>
      </c>
      <c r="I713" s="29" t="str">
        <f aca="false">+IF(H713&gt;180,"Atrasada",IF(H713&gt;150,"150 dias",IF(H713&gt;120,"120 dias",IF(H713&gt;90,"90 dias",IF(H713&gt;60,"60 dias",IF(H713&gt;30,"30 dias","Al Día"))))))</f>
        <v>Al Día</v>
      </c>
      <c r="J713" s="59" t="s">
        <v>80</v>
      </c>
      <c r="K713" s="60" t="s">
        <v>81</v>
      </c>
      <c r="L713" s="61" t="s">
        <v>326</v>
      </c>
      <c r="M713" s="29" t="n">
        <f aca="false">+YEAR(F713)</f>
        <v>2026</v>
      </c>
      <c r="N713" s="62" t="n">
        <v>2026</v>
      </c>
      <c r="O713" s="63" t="n">
        <v>4</v>
      </c>
      <c r="P713" s="29" t="str">
        <f aca="false">+CONCATENATE(Tabla[[#This Row],[MES CAMPAÑA]],"/",Tabla[[#This Row],[AÑO CAMPAÑA]])</f>
        <v>4/2026</v>
      </c>
      <c r="Q713" s="60" t="s">
        <v>92</v>
      </c>
      <c r="R713" s="29"/>
      <c r="S713" s="64" t="n">
        <v>0</v>
      </c>
      <c r="T713" s="64" t="n">
        <v>386552</v>
      </c>
      <c r="U713" s="64" t="n">
        <v>73445</v>
      </c>
      <c r="V713" s="65"/>
      <c r="W713" s="24" t="n">
        <v>459997</v>
      </c>
      <c r="X713" s="36"/>
      <c r="Y713" s="66"/>
      <c r="Z713" s="66"/>
      <c r="AA713" s="66"/>
      <c r="AB713" s="38" t="n">
        <f aca="false">+W713-AC713</f>
        <v>459997</v>
      </c>
      <c r="AC713" s="34" t="n">
        <f aca="false">+Tabla[[#This Row],[P4]]+Tabla[[#This Row],[P3]]+Tabla[[#This Row],[P2]]+Tabla[[#This Row],[P1]]</f>
        <v>0</v>
      </c>
      <c r="AD713" s="34" t="n">
        <f aca="false">+W713-AC713</f>
        <v>459997</v>
      </c>
      <c r="AE713" s="21" t="str">
        <f aca="false">IF(AB713&lt;1,"PAGADA","PENDIENTE")</f>
        <v>PENDIENTE</v>
      </c>
      <c r="AF713" s="67"/>
      <c r="AG713" s="29"/>
      <c r="AH713" s="68"/>
      <c r="AI713" s="40" t="n">
        <f aca="false">+IF(Tabla[[#This Row],[FECHA PAGO / ABONO]]&lt;1,0,(MONTH(Tabla[[#This Row],[FECHA PAGO / ABONO]])))</f>
        <v>0</v>
      </c>
      <c r="AJ713" s="40" t="n">
        <f aca="false">+IF(Tabla[[#This Row],[FECHA PAGO / ABONO]]&lt;1,0,(YEAR(Tabla[[#This Row],[FECHA PAGO / ABONO]])))</f>
        <v>0</v>
      </c>
      <c r="AK713" s="41"/>
    </row>
    <row r="714" customFormat="false" ht="14.25" hidden="false" customHeight="false" outlineLevel="0" collapsed="false">
      <c r="A714" s="17" t="s">
        <v>201</v>
      </c>
      <c r="B714" s="18" t="s">
        <v>202</v>
      </c>
      <c r="C714" s="18" t="s">
        <v>69</v>
      </c>
      <c r="D714" s="18" t="n">
        <v>6826</v>
      </c>
      <c r="E714" s="21" t="str">
        <f aca="false">+CONCATENATE(Tabla[[#This Row],[RUT]],Tabla[[#This Row],[PROVEEDOR]],Tabla[[#This Row],[FACTURA]])</f>
        <v>76394590-1SERVICIOS PUBLICITARIOS PUBLIVISION LIMITADA6826</v>
      </c>
      <c r="F714" s="30" t="n">
        <v>46156</v>
      </c>
      <c r="G714" s="31" t="n">
        <f aca="false">+F714+30</f>
        <v>46186</v>
      </c>
      <c r="H714" s="29" t="n">
        <f aca="true">+IF(AE714="PAGADA",0,TODAY()-G714)</f>
        <v>18</v>
      </c>
      <c r="I714" s="29" t="str">
        <f aca="false">+IF(H714&gt;180,"Atrasada",IF(H714&gt;150,"150 dias",IF(H714&gt;120,"120 dias",IF(H714&gt;90,"90 dias",IF(H714&gt;60,"60 dias",IF(H714&gt;30,"30 dias","Al Día"))))))</f>
        <v>Al Día</v>
      </c>
      <c r="J714" s="59" t="s">
        <v>80</v>
      </c>
      <c r="K714" s="60" t="s">
        <v>81</v>
      </c>
      <c r="L714" s="61" t="s">
        <v>326</v>
      </c>
      <c r="M714" s="29" t="n">
        <f aca="false">+YEAR(F714)</f>
        <v>2026</v>
      </c>
      <c r="N714" s="62" t="n">
        <v>2026</v>
      </c>
      <c r="O714" s="63" t="n">
        <v>4</v>
      </c>
      <c r="P714" s="29" t="str">
        <f aca="false">+CONCATENATE(Tabla[[#This Row],[MES CAMPAÑA]],"/",Tabla[[#This Row],[AÑO CAMPAÑA]])</f>
        <v>4/2026</v>
      </c>
      <c r="Q714" s="60" t="s">
        <v>92</v>
      </c>
      <c r="R714" s="29"/>
      <c r="S714" s="64" t="n">
        <v>0</v>
      </c>
      <c r="T714" s="64" t="n">
        <v>386552</v>
      </c>
      <c r="U714" s="64" t="n">
        <v>73445</v>
      </c>
      <c r="V714" s="65"/>
      <c r="W714" s="24" t="n">
        <v>459997</v>
      </c>
      <c r="X714" s="36"/>
      <c r="Y714" s="66"/>
      <c r="Z714" s="66"/>
      <c r="AA714" s="66"/>
      <c r="AB714" s="38" t="n">
        <f aca="false">+W714-AC714</f>
        <v>459997</v>
      </c>
      <c r="AC714" s="34" t="n">
        <f aca="false">+Tabla[[#This Row],[P4]]+Tabla[[#This Row],[P3]]+Tabla[[#This Row],[P2]]+Tabla[[#This Row],[P1]]</f>
        <v>0</v>
      </c>
      <c r="AD714" s="34" t="n">
        <f aca="false">+W714-AC714</f>
        <v>459997</v>
      </c>
      <c r="AE714" s="21" t="str">
        <f aca="false">IF(AB714&lt;1,"PAGADA","PENDIENTE")</f>
        <v>PENDIENTE</v>
      </c>
      <c r="AF714" s="67"/>
      <c r="AG714" s="29"/>
      <c r="AH714" s="68"/>
      <c r="AI714" s="40" t="n">
        <f aca="false">+IF(Tabla[[#This Row],[FECHA PAGO / ABONO]]&lt;1,0,(MONTH(Tabla[[#This Row],[FECHA PAGO / ABONO]])))</f>
        <v>0</v>
      </c>
      <c r="AJ714" s="40" t="n">
        <f aca="false">+IF(Tabla[[#This Row],[FECHA PAGO / ABONO]]&lt;1,0,(YEAR(Tabla[[#This Row],[FECHA PAGO / ABONO]])))</f>
        <v>0</v>
      </c>
      <c r="AK714" s="41"/>
    </row>
    <row r="715" customFormat="false" ht="14.25" hidden="false" customHeight="false" outlineLevel="0" collapsed="false">
      <c r="A715" s="17" t="s">
        <v>201</v>
      </c>
      <c r="B715" s="18" t="s">
        <v>202</v>
      </c>
      <c r="C715" s="18" t="s">
        <v>69</v>
      </c>
      <c r="D715" s="18" t="n">
        <v>6827</v>
      </c>
      <c r="E715" s="21" t="str">
        <f aca="false">+CONCATENATE(Tabla[[#This Row],[RUT]],Tabla[[#This Row],[PROVEEDOR]],Tabla[[#This Row],[FACTURA]])</f>
        <v>76394590-1SERVICIOS PUBLICITARIOS PUBLIVISION LIMITADA6827</v>
      </c>
      <c r="F715" s="30" t="n">
        <v>46156</v>
      </c>
      <c r="G715" s="31" t="n">
        <f aca="false">+F715+30</f>
        <v>46186</v>
      </c>
      <c r="H715" s="29" t="n">
        <f aca="true">+IF(AE715="PAGADA",0,TODAY()-G715)</f>
        <v>18</v>
      </c>
      <c r="I715" s="29" t="str">
        <f aca="false">+IF(H715&gt;180,"Atrasada",IF(H715&gt;150,"150 dias",IF(H715&gt;120,"120 dias",IF(H715&gt;90,"90 dias",IF(H715&gt;60,"60 dias",IF(H715&gt;30,"30 dias","Al Día"))))))</f>
        <v>Al Día</v>
      </c>
      <c r="J715" s="59" t="s">
        <v>80</v>
      </c>
      <c r="K715" s="60" t="s">
        <v>81</v>
      </c>
      <c r="L715" s="61" t="s">
        <v>326</v>
      </c>
      <c r="M715" s="29" t="n">
        <f aca="false">+YEAR(F715)</f>
        <v>2026</v>
      </c>
      <c r="N715" s="62" t="n">
        <v>2026</v>
      </c>
      <c r="O715" s="63" t="n">
        <v>4</v>
      </c>
      <c r="P715" s="29" t="str">
        <f aca="false">+CONCATENATE(Tabla[[#This Row],[MES CAMPAÑA]],"/",Tabla[[#This Row],[AÑO CAMPAÑA]])</f>
        <v>4/2026</v>
      </c>
      <c r="Q715" s="60" t="s">
        <v>92</v>
      </c>
      <c r="R715" s="29"/>
      <c r="S715" s="64" t="n">
        <v>0</v>
      </c>
      <c r="T715" s="64" t="n">
        <v>212332</v>
      </c>
      <c r="U715" s="64" t="n">
        <v>40343</v>
      </c>
      <c r="V715" s="65"/>
      <c r="W715" s="24" t="n">
        <v>252675</v>
      </c>
      <c r="X715" s="36"/>
      <c r="Y715" s="66"/>
      <c r="Z715" s="66"/>
      <c r="AA715" s="66"/>
      <c r="AB715" s="38" t="n">
        <f aca="false">+W715-AC715</f>
        <v>252675</v>
      </c>
      <c r="AC715" s="34" t="n">
        <f aca="false">+Tabla[[#This Row],[P4]]+Tabla[[#This Row],[P3]]+Tabla[[#This Row],[P2]]+Tabla[[#This Row],[P1]]</f>
        <v>0</v>
      </c>
      <c r="AD715" s="34" t="n">
        <f aca="false">+W715-AC715</f>
        <v>252675</v>
      </c>
      <c r="AE715" s="21" t="str">
        <f aca="false">IF(AB715&lt;1,"PAGADA","PENDIENTE")</f>
        <v>PENDIENTE</v>
      </c>
      <c r="AF715" s="67"/>
      <c r="AG715" s="29"/>
      <c r="AH715" s="68"/>
      <c r="AI715" s="40" t="n">
        <f aca="false">+IF(Tabla[[#This Row],[FECHA PAGO / ABONO]]&lt;1,0,(MONTH(Tabla[[#This Row],[FECHA PAGO / ABONO]])))</f>
        <v>0</v>
      </c>
      <c r="AJ715" s="40" t="n">
        <f aca="false">+IF(Tabla[[#This Row],[FECHA PAGO / ABONO]]&lt;1,0,(YEAR(Tabla[[#This Row],[FECHA PAGO / ABONO]])))</f>
        <v>0</v>
      </c>
      <c r="AK715" s="41"/>
    </row>
    <row r="716" customFormat="false" ht="14.25" hidden="false" customHeight="false" outlineLevel="0" collapsed="false">
      <c r="A716" s="17" t="s">
        <v>201</v>
      </c>
      <c r="B716" s="18" t="s">
        <v>202</v>
      </c>
      <c r="C716" s="18" t="s">
        <v>69</v>
      </c>
      <c r="D716" s="18" t="n">
        <v>6828</v>
      </c>
      <c r="E716" s="21" t="str">
        <f aca="false">+CONCATENATE(Tabla[[#This Row],[RUT]],Tabla[[#This Row],[PROVEEDOR]],Tabla[[#This Row],[FACTURA]])</f>
        <v>76394590-1SERVICIOS PUBLICITARIOS PUBLIVISION LIMITADA6828</v>
      </c>
      <c r="F716" s="30" t="n">
        <v>46156</v>
      </c>
      <c r="G716" s="31" t="n">
        <f aca="false">+F716+30</f>
        <v>46186</v>
      </c>
      <c r="H716" s="29" t="n">
        <f aca="true">+IF(AE716="PAGADA",0,TODAY()-G716)</f>
        <v>18</v>
      </c>
      <c r="I716" s="29" t="str">
        <f aca="false">+IF(H716&gt;180,"Atrasada",IF(H716&gt;150,"150 dias",IF(H716&gt;120,"120 dias",IF(H716&gt;90,"90 dias",IF(H716&gt;60,"60 dias",IF(H716&gt;30,"30 dias","Al Día"))))))</f>
        <v>Al Día</v>
      </c>
      <c r="J716" s="59" t="s">
        <v>80</v>
      </c>
      <c r="K716" s="60" t="s">
        <v>81</v>
      </c>
      <c r="L716" s="61" t="s">
        <v>326</v>
      </c>
      <c r="M716" s="29" t="n">
        <f aca="false">+YEAR(F716)</f>
        <v>2026</v>
      </c>
      <c r="N716" s="62" t="n">
        <v>2026</v>
      </c>
      <c r="O716" s="63" t="n">
        <v>4</v>
      </c>
      <c r="P716" s="29" t="str">
        <f aca="false">+CONCATENATE(Tabla[[#This Row],[MES CAMPAÑA]],"/",Tabla[[#This Row],[AÑO CAMPAÑA]])</f>
        <v>4/2026</v>
      </c>
      <c r="Q716" s="60" t="s">
        <v>92</v>
      </c>
      <c r="R716" s="29"/>
      <c r="S716" s="64" t="n">
        <v>0</v>
      </c>
      <c r="T716" s="64" t="n">
        <v>212332</v>
      </c>
      <c r="U716" s="64" t="n">
        <v>40343</v>
      </c>
      <c r="V716" s="65"/>
      <c r="W716" s="24" t="n">
        <v>252675</v>
      </c>
      <c r="X716" s="36"/>
      <c r="Y716" s="66"/>
      <c r="Z716" s="66"/>
      <c r="AA716" s="66"/>
      <c r="AB716" s="38" t="n">
        <f aca="false">+W716-AC716</f>
        <v>252675</v>
      </c>
      <c r="AC716" s="34" t="n">
        <f aca="false">+Tabla[[#This Row],[P4]]+Tabla[[#This Row],[P3]]+Tabla[[#This Row],[P2]]+Tabla[[#This Row],[P1]]</f>
        <v>0</v>
      </c>
      <c r="AD716" s="34" t="n">
        <f aca="false">+W716-AC716</f>
        <v>252675</v>
      </c>
      <c r="AE716" s="21" t="str">
        <f aca="false">IF(AB716&lt;1,"PAGADA","PENDIENTE")</f>
        <v>PENDIENTE</v>
      </c>
      <c r="AF716" s="67"/>
      <c r="AG716" s="29"/>
      <c r="AH716" s="68"/>
      <c r="AI716" s="40" t="n">
        <f aca="false">+IF(Tabla[[#This Row],[FECHA PAGO / ABONO]]&lt;1,0,(MONTH(Tabla[[#This Row],[FECHA PAGO / ABONO]])))</f>
        <v>0</v>
      </c>
      <c r="AJ716" s="40" t="n">
        <f aca="false">+IF(Tabla[[#This Row],[FECHA PAGO / ABONO]]&lt;1,0,(YEAR(Tabla[[#This Row],[FECHA PAGO / ABONO]])))</f>
        <v>0</v>
      </c>
      <c r="AK716" s="41"/>
    </row>
    <row r="717" customFormat="false" ht="14.25" hidden="false" customHeight="false" outlineLevel="0" collapsed="false">
      <c r="A717" s="17" t="s">
        <v>201</v>
      </c>
      <c r="B717" s="18" t="s">
        <v>202</v>
      </c>
      <c r="C717" s="18" t="s">
        <v>69</v>
      </c>
      <c r="D717" s="18" t="n">
        <v>6829</v>
      </c>
      <c r="E717" s="21" t="str">
        <f aca="false">+CONCATENATE(Tabla[[#This Row],[RUT]],Tabla[[#This Row],[PROVEEDOR]],Tabla[[#This Row],[FACTURA]])</f>
        <v>76394590-1SERVICIOS PUBLICITARIOS PUBLIVISION LIMITADA6829</v>
      </c>
      <c r="F717" s="30" t="n">
        <v>46156</v>
      </c>
      <c r="G717" s="31" t="n">
        <f aca="false">+F717+30</f>
        <v>46186</v>
      </c>
      <c r="H717" s="29" t="n">
        <f aca="true">+IF(AE717="PAGADA",0,TODAY()-G717)</f>
        <v>18</v>
      </c>
      <c r="I717" s="29" t="str">
        <f aca="false">+IF(H717&gt;180,"Atrasada",IF(H717&gt;150,"150 dias",IF(H717&gt;120,"120 dias",IF(H717&gt;90,"90 dias",IF(H717&gt;60,"60 dias",IF(H717&gt;30,"30 dias","Al Día"))))))</f>
        <v>Al Día</v>
      </c>
      <c r="J717" s="59" t="s">
        <v>80</v>
      </c>
      <c r="K717" s="60" t="s">
        <v>81</v>
      </c>
      <c r="L717" s="61" t="s">
        <v>326</v>
      </c>
      <c r="M717" s="29" t="n">
        <f aca="false">+YEAR(F717)</f>
        <v>2026</v>
      </c>
      <c r="N717" s="62" t="n">
        <v>2026</v>
      </c>
      <c r="O717" s="63" t="n">
        <v>4</v>
      </c>
      <c r="P717" s="29" t="str">
        <f aca="false">+CONCATENATE(Tabla[[#This Row],[MES CAMPAÑA]],"/",Tabla[[#This Row],[AÑO CAMPAÑA]])</f>
        <v>4/2026</v>
      </c>
      <c r="Q717" s="60" t="s">
        <v>92</v>
      </c>
      <c r="R717" s="29"/>
      <c r="S717" s="64" t="n">
        <v>0</v>
      </c>
      <c r="T717" s="64" t="n">
        <v>386552</v>
      </c>
      <c r="U717" s="64" t="n">
        <v>73445</v>
      </c>
      <c r="V717" s="65"/>
      <c r="W717" s="24" t="n">
        <v>459997</v>
      </c>
      <c r="X717" s="36"/>
      <c r="Y717" s="66"/>
      <c r="Z717" s="66"/>
      <c r="AA717" s="66"/>
      <c r="AB717" s="38" t="n">
        <f aca="false">+W717-AC717</f>
        <v>459997</v>
      </c>
      <c r="AC717" s="34" t="n">
        <f aca="false">+Tabla[[#This Row],[P4]]+Tabla[[#This Row],[P3]]+Tabla[[#This Row],[P2]]+Tabla[[#This Row],[P1]]</f>
        <v>0</v>
      </c>
      <c r="AD717" s="34" t="n">
        <f aca="false">+W717-AC717</f>
        <v>459997</v>
      </c>
      <c r="AE717" s="21" t="str">
        <f aca="false">IF(AB717&lt;1,"PAGADA","PENDIENTE")</f>
        <v>PENDIENTE</v>
      </c>
      <c r="AF717" s="67"/>
      <c r="AG717" s="29"/>
      <c r="AH717" s="68"/>
      <c r="AI717" s="40" t="n">
        <f aca="false">+IF(Tabla[[#This Row],[FECHA PAGO / ABONO]]&lt;1,0,(MONTH(Tabla[[#This Row],[FECHA PAGO / ABONO]])))</f>
        <v>0</v>
      </c>
      <c r="AJ717" s="40" t="n">
        <f aca="false">+IF(Tabla[[#This Row],[FECHA PAGO / ABONO]]&lt;1,0,(YEAR(Tabla[[#This Row],[FECHA PAGO / ABONO]])))</f>
        <v>0</v>
      </c>
      <c r="AK717" s="41"/>
    </row>
    <row r="718" customFormat="false" ht="14.25" hidden="false" customHeight="false" outlineLevel="0" collapsed="false">
      <c r="A718" s="17" t="s">
        <v>133</v>
      </c>
      <c r="B718" s="18" t="s">
        <v>134</v>
      </c>
      <c r="C718" s="18" t="s">
        <v>69</v>
      </c>
      <c r="D718" s="18" t="n">
        <v>1724</v>
      </c>
      <c r="E718" s="21" t="str">
        <f aca="false">+CONCATENATE(Tabla[[#This Row],[RUT]],Tabla[[#This Row],[PROVEEDOR]],Tabla[[#This Row],[FACTURA]])</f>
        <v>52004666-6IQUIQUE TELEVISION PRODUCCIONES TELEVISIVAS Y EVENTOS LIMITADA1724</v>
      </c>
      <c r="F718" s="30" t="n">
        <v>46156</v>
      </c>
      <c r="G718" s="31" t="n">
        <f aca="false">+F718+30</f>
        <v>46186</v>
      </c>
      <c r="H718" s="29" t="n">
        <f aca="true">+IF(AE718="PAGADA",0,TODAY()-G718)</f>
        <v>18</v>
      </c>
      <c r="I718" s="29" t="str">
        <f aca="false">+IF(H718&gt;180,"Atrasada",IF(H718&gt;150,"150 dias",IF(H718&gt;120,"120 dias",IF(H718&gt;90,"90 dias",IF(H718&gt;60,"60 dias",IF(H718&gt;30,"30 dias","Al Día"))))))</f>
        <v>Al Día</v>
      </c>
      <c r="J718" s="59" t="s">
        <v>80</v>
      </c>
      <c r="K718" s="60" t="s">
        <v>81</v>
      </c>
      <c r="L718" s="61" t="s">
        <v>326</v>
      </c>
      <c r="M718" s="29" t="n">
        <f aca="false">+YEAR(F718)</f>
        <v>2026</v>
      </c>
      <c r="N718" s="62" t="n">
        <v>2026</v>
      </c>
      <c r="O718" s="63" t="n">
        <v>4</v>
      </c>
      <c r="P718" s="29" t="str">
        <f aca="false">+CONCATENATE(Tabla[[#This Row],[MES CAMPAÑA]],"/",Tabla[[#This Row],[AÑO CAMPAÑA]])</f>
        <v>4/2026</v>
      </c>
      <c r="Q718" s="60" t="s">
        <v>108</v>
      </c>
      <c r="R718" s="29"/>
      <c r="S718" s="64" t="n">
        <v>0</v>
      </c>
      <c r="T718" s="64" t="n">
        <v>600000</v>
      </c>
      <c r="U718" s="64" t="n">
        <v>114000</v>
      </c>
      <c r="V718" s="65"/>
      <c r="W718" s="24" t="n">
        <v>714000</v>
      </c>
      <c r="X718" s="36"/>
      <c r="Y718" s="66"/>
      <c r="Z718" s="66"/>
      <c r="AA718" s="66"/>
      <c r="AB718" s="38" t="n">
        <f aca="false">+W718-AC718</f>
        <v>714000</v>
      </c>
      <c r="AC718" s="34" t="n">
        <f aca="false">+Tabla[[#This Row],[P4]]+Tabla[[#This Row],[P3]]+Tabla[[#This Row],[P2]]+Tabla[[#This Row],[P1]]</f>
        <v>0</v>
      </c>
      <c r="AD718" s="34" t="n">
        <f aca="false">+W718-AC718</f>
        <v>714000</v>
      </c>
      <c r="AE718" s="21" t="str">
        <f aca="false">IF(AB718&lt;1,"PAGADA","PENDIENTE")</f>
        <v>PENDIENTE</v>
      </c>
      <c r="AF718" s="67"/>
      <c r="AG718" s="29"/>
      <c r="AH718" s="68"/>
      <c r="AI718" s="40" t="n">
        <f aca="false">+IF(Tabla[[#This Row],[FECHA PAGO / ABONO]]&lt;1,0,(MONTH(Tabla[[#This Row],[FECHA PAGO / ABONO]])))</f>
        <v>0</v>
      </c>
      <c r="AJ718" s="40" t="n">
        <f aca="false">+IF(Tabla[[#This Row],[FECHA PAGO / ABONO]]&lt;1,0,(YEAR(Tabla[[#This Row],[FECHA PAGO / ABONO]])))</f>
        <v>0</v>
      </c>
      <c r="AK718" s="41"/>
    </row>
    <row r="719" customFormat="false" ht="14.25" hidden="false" customHeight="false" outlineLevel="0" collapsed="false">
      <c r="A719" s="17" t="s">
        <v>116</v>
      </c>
      <c r="B719" s="18" t="s">
        <v>117</v>
      </c>
      <c r="C719" s="18" t="s">
        <v>69</v>
      </c>
      <c r="D719" s="18" t="n">
        <v>1540</v>
      </c>
      <c r="E719" s="21" t="str">
        <f aca="false">+CONCATENATE(Tabla[[#This Row],[RUT]],Tabla[[#This Row],[PROVEEDOR]],Tabla[[#This Row],[FACTURA]])</f>
        <v>77954644-6WAPA MARKETING Y COMUNICACIONES LIMITADA.1540</v>
      </c>
      <c r="F719" s="30" t="n">
        <v>46156</v>
      </c>
      <c r="G719" s="31" t="n">
        <f aca="false">+F719+30</f>
        <v>46186</v>
      </c>
      <c r="H719" s="29" t="n">
        <f aca="true">+IF(AE719="PAGADA",0,TODAY()-G719)</f>
        <v>0</v>
      </c>
      <c r="I719" s="29" t="str">
        <f aca="false">+IF(H719&gt;180,"Atrasada",IF(H719&gt;150,"150 dias",IF(H719&gt;120,"120 dias",IF(H719&gt;90,"90 dias",IF(H719&gt;60,"60 dias",IF(H719&gt;30,"30 dias","Al Día"))))))</f>
        <v>Al Día</v>
      </c>
      <c r="J719" s="59" t="s">
        <v>80</v>
      </c>
      <c r="K719" s="60" t="s">
        <v>81</v>
      </c>
      <c r="L719" s="61" t="s">
        <v>326</v>
      </c>
      <c r="M719" s="29" t="n">
        <f aca="false">+YEAR(F719)</f>
        <v>2026</v>
      </c>
      <c r="N719" s="62" t="n">
        <v>2026</v>
      </c>
      <c r="O719" s="63" t="n">
        <v>4</v>
      </c>
      <c r="P719" s="29" t="str">
        <f aca="false">+CONCATENATE(Tabla[[#This Row],[MES CAMPAÑA]],"/",Tabla[[#This Row],[AÑO CAMPAÑA]])</f>
        <v>4/2026</v>
      </c>
      <c r="Q719" s="60" t="s">
        <v>92</v>
      </c>
      <c r="R719" s="29"/>
      <c r="S719" s="64" t="n">
        <v>0</v>
      </c>
      <c r="T719" s="64" t="n">
        <v>430000</v>
      </c>
      <c r="U719" s="64" t="n">
        <v>81700</v>
      </c>
      <c r="V719" s="65"/>
      <c r="W719" s="24" t="n">
        <v>511700</v>
      </c>
      <c r="X719" s="36" t="n">
        <f aca="false">+Tabla[[#This Row],[TOTAL]]</f>
        <v>511700</v>
      </c>
      <c r="Y719" s="66"/>
      <c r="Z719" s="66"/>
      <c r="AA719" s="66"/>
      <c r="AB719" s="38" t="n">
        <f aca="false">+W719-AC719</f>
        <v>0</v>
      </c>
      <c r="AC719" s="34" t="n">
        <f aca="false">+Tabla[[#This Row],[P4]]+Tabla[[#This Row],[P3]]+Tabla[[#This Row],[P2]]+Tabla[[#This Row],[P1]]</f>
        <v>511700</v>
      </c>
      <c r="AD719" s="34" t="n">
        <f aca="false">+W719-AC719</f>
        <v>0</v>
      </c>
      <c r="AE719" s="21" t="str">
        <f aca="false">IF(AB719&lt;1,"PAGADA","PENDIENTE")</f>
        <v>PAGADA</v>
      </c>
      <c r="AF719" s="67"/>
      <c r="AG719" s="29" t="s">
        <v>77</v>
      </c>
      <c r="AH719" s="69" t="n">
        <v>46195</v>
      </c>
      <c r="AI719" s="40" t="n">
        <f aca="false">+IF(Tabla[[#This Row],[FECHA PAGO / ABONO]]&lt;1,0,(MONTH(Tabla[[#This Row],[FECHA PAGO / ABONO]])))</f>
        <v>6</v>
      </c>
      <c r="AJ719" s="40" t="n">
        <f aca="false">+IF(Tabla[[#This Row],[FECHA PAGO / ABONO]]&lt;1,0,(YEAR(Tabla[[#This Row],[FECHA PAGO / ABONO]])))</f>
        <v>2026</v>
      </c>
      <c r="AK719" s="41"/>
    </row>
    <row r="720" customFormat="false" ht="14.25" hidden="false" customHeight="false" outlineLevel="0" collapsed="false">
      <c r="A720" s="17" t="s">
        <v>157</v>
      </c>
      <c r="B720" s="18" t="s">
        <v>158</v>
      </c>
      <c r="C720" s="18" t="s">
        <v>69</v>
      </c>
      <c r="D720" s="18" t="n">
        <v>4410</v>
      </c>
      <c r="E720" s="21" t="str">
        <f aca="false">+CONCATENATE(Tabla[[#This Row],[RUT]],Tabla[[#This Row],[PROVEEDOR]],Tabla[[#This Row],[FACTURA]])</f>
        <v>76617260-1IMPORTADORA Y COMERCIALIZADORA GREPSA LTDA4410</v>
      </c>
      <c r="F720" s="30" t="n">
        <v>46156</v>
      </c>
      <c r="G720" s="31" t="n">
        <f aca="false">+F720+30</f>
        <v>46186</v>
      </c>
      <c r="H720" s="29" t="n">
        <f aca="true">+IF(AE720="PAGADA",0,TODAY()-G720)</f>
        <v>0</v>
      </c>
      <c r="I720" s="29" t="str">
        <f aca="false">+IF(H720&gt;180,"Atrasada",IF(H720&gt;150,"150 dias",IF(H720&gt;120,"120 dias",IF(H720&gt;90,"90 dias",IF(H720&gt;60,"60 dias",IF(H720&gt;30,"30 dias","Al Día"))))))</f>
        <v>Al Día</v>
      </c>
      <c r="J720" s="59" t="s">
        <v>80</v>
      </c>
      <c r="K720" s="60" t="s">
        <v>81</v>
      </c>
      <c r="L720" s="61" t="s">
        <v>326</v>
      </c>
      <c r="M720" s="29" t="n">
        <f aca="false">+YEAR(F720)</f>
        <v>2026</v>
      </c>
      <c r="N720" s="62" t="n">
        <v>2026</v>
      </c>
      <c r="O720" s="63" t="n">
        <v>4</v>
      </c>
      <c r="P720" s="29" t="str">
        <f aca="false">+CONCATENATE(Tabla[[#This Row],[MES CAMPAÑA]],"/",Tabla[[#This Row],[AÑO CAMPAÑA]])</f>
        <v>4/2026</v>
      </c>
      <c r="Q720" s="60" t="s">
        <v>92</v>
      </c>
      <c r="R720" s="29"/>
      <c r="S720" s="64" t="n">
        <v>0</v>
      </c>
      <c r="T720" s="64" t="n">
        <v>790000</v>
      </c>
      <c r="U720" s="64" t="n">
        <v>150100</v>
      </c>
      <c r="V720" s="65"/>
      <c r="W720" s="24" t="n">
        <v>940100</v>
      </c>
      <c r="X720" s="36" t="n">
        <f aca="false">+Tabla[[#This Row],[TOTAL]]</f>
        <v>940100</v>
      </c>
      <c r="Y720" s="66"/>
      <c r="Z720" s="66"/>
      <c r="AA720" s="66"/>
      <c r="AB720" s="38" t="n">
        <f aca="false">+W720-AC720</f>
        <v>0</v>
      </c>
      <c r="AC720" s="34" t="n">
        <f aca="false">+Tabla[[#This Row],[P4]]+Tabla[[#This Row],[P3]]+Tabla[[#This Row],[P2]]+Tabla[[#This Row],[P1]]</f>
        <v>940100</v>
      </c>
      <c r="AD720" s="34" t="n">
        <f aca="false">+W720-AC720</f>
        <v>0</v>
      </c>
      <c r="AE720" s="21" t="str">
        <f aca="false">IF(AB720&lt;1,"PAGADA","PENDIENTE")</f>
        <v>PAGADA</v>
      </c>
      <c r="AF720" s="67"/>
      <c r="AG720" s="29" t="s">
        <v>77</v>
      </c>
      <c r="AH720" s="39" t="n">
        <v>46189</v>
      </c>
      <c r="AI720" s="40" t="n">
        <f aca="false">+IF(Tabla[[#This Row],[FECHA PAGO / ABONO]]&lt;1,0,(MONTH(Tabla[[#This Row],[FECHA PAGO / ABONO]])))</f>
        <v>6</v>
      </c>
      <c r="AJ720" s="40" t="n">
        <f aca="false">+IF(Tabla[[#This Row],[FECHA PAGO / ABONO]]&lt;1,0,(YEAR(Tabla[[#This Row],[FECHA PAGO / ABONO]])))</f>
        <v>2026</v>
      </c>
      <c r="AK720" s="41"/>
    </row>
    <row r="721" customFormat="false" ht="14.25" hidden="false" customHeight="false" outlineLevel="0" collapsed="false">
      <c r="A721" s="17" t="s">
        <v>181</v>
      </c>
      <c r="B721" s="18" t="s">
        <v>182</v>
      </c>
      <c r="C721" s="18" t="s">
        <v>69</v>
      </c>
      <c r="D721" s="18" t="n">
        <v>33213</v>
      </c>
      <c r="E721" s="21" t="str">
        <f aca="false">+CONCATENATE(Tabla[[#This Row],[RUT]],Tabla[[#This Row],[PROVEEDOR]],Tabla[[#This Row],[FACTURA]])</f>
        <v>96810030-0RDF MEDIA SPA33213</v>
      </c>
      <c r="F721" s="30" t="n">
        <v>46156</v>
      </c>
      <c r="G721" s="31" t="n">
        <f aca="false">+F721+30</f>
        <v>46186</v>
      </c>
      <c r="H721" s="29" t="n">
        <f aca="true">+IF(AE721="PAGADA",0,TODAY()-G721)</f>
        <v>18</v>
      </c>
      <c r="I721" s="29" t="str">
        <f aca="false">+IF(H721&gt;180,"Atrasada",IF(H721&gt;150,"150 dias",IF(H721&gt;120,"120 dias",IF(H721&gt;90,"90 dias",IF(H721&gt;60,"60 dias",IF(H721&gt;30,"30 dias","Al Día"))))))</f>
        <v>Al Día</v>
      </c>
      <c r="J721" s="59" t="s">
        <v>80</v>
      </c>
      <c r="K721" s="60" t="s">
        <v>81</v>
      </c>
      <c r="L721" s="61" t="s">
        <v>326</v>
      </c>
      <c r="M721" s="29" t="n">
        <f aca="false">+YEAR(F721)</f>
        <v>2026</v>
      </c>
      <c r="N721" s="62" t="n">
        <v>2026</v>
      </c>
      <c r="O721" s="63" t="n">
        <v>4</v>
      </c>
      <c r="P721" s="29" t="str">
        <f aca="false">+CONCATENATE(Tabla[[#This Row],[MES CAMPAÑA]],"/",Tabla[[#This Row],[AÑO CAMPAÑA]])</f>
        <v>4/2026</v>
      </c>
      <c r="Q721" s="60" t="s">
        <v>108</v>
      </c>
      <c r="R721" s="29"/>
      <c r="S721" s="64" t="n">
        <v>0</v>
      </c>
      <c r="T721" s="64" t="n">
        <v>3445909</v>
      </c>
      <c r="U721" s="64" t="n">
        <v>654723</v>
      </c>
      <c r="V721" s="65"/>
      <c r="W721" s="24" t="n">
        <v>4100632</v>
      </c>
      <c r="X721" s="36"/>
      <c r="Y721" s="66"/>
      <c r="Z721" s="66"/>
      <c r="AA721" s="66"/>
      <c r="AB721" s="38" t="n">
        <f aca="false">+W721-AC721</f>
        <v>4100632</v>
      </c>
      <c r="AC721" s="34" t="n">
        <f aca="false">+Tabla[[#This Row],[P4]]+Tabla[[#This Row],[P3]]+Tabla[[#This Row],[P2]]+Tabla[[#This Row],[P1]]</f>
        <v>0</v>
      </c>
      <c r="AD721" s="34" t="n">
        <f aca="false">+W721-AC721</f>
        <v>4100632</v>
      </c>
      <c r="AE721" s="21" t="str">
        <f aca="false">IF(AB721&lt;1,"PAGADA","PENDIENTE")</f>
        <v>PENDIENTE</v>
      </c>
      <c r="AF721" s="67"/>
      <c r="AG721" s="29"/>
      <c r="AH721" s="68"/>
      <c r="AI721" s="40" t="n">
        <f aca="false">+IF(Tabla[[#This Row],[FECHA PAGO / ABONO]]&lt;1,0,(MONTH(Tabla[[#This Row],[FECHA PAGO / ABONO]])))</f>
        <v>0</v>
      </c>
      <c r="AJ721" s="40" t="n">
        <f aca="false">+IF(Tabla[[#This Row],[FECHA PAGO / ABONO]]&lt;1,0,(YEAR(Tabla[[#This Row],[FECHA PAGO / ABONO]])))</f>
        <v>0</v>
      </c>
      <c r="AK721" s="41"/>
    </row>
    <row r="722" customFormat="false" ht="14.25" hidden="false" customHeight="false" outlineLevel="0" collapsed="false">
      <c r="A722" s="17" t="s">
        <v>181</v>
      </c>
      <c r="B722" s="18" t="s">
        <v>182</v>
      </c>
      <c r="C722" s="18" t="s">
        <v>69</v>
      </c>
      <c r="D722" s="18" t="n">
        <v>33214</v>
      </c>
      <c r="E722" s="21" t="str">
        <f aca="false">+CONCATENATE(Tabla[[#This Row],[RUT]],Tabla[[#This Row],[PROVEEDOR]],Tabla[[#This Row],[FACTURA]])</f>
        <v>96810030-0RDF MEDIA SPA33214</v>
      </c>
      <c r="F722" s="30" t="n">
        <v>46156</v>
      </c>
      <c r="G722" s="31" t="n">
        <f aca="false">+F722+30</f>
        <v>46186</v>
      </c>
      <c r="H722" s="29" t="n">
        <f aca="true">+IF(AE722="PAGADA",0,TODAY()-G722)</f>
        <v>18</v>
      </c>
      <c r="I722" s="29" t="str">
        <f aca="false">+IF(H722&gt;180,"Atrasada",IF(H722&gt;150,"150 dias",IF(H722&gt;120,"120 dias",IF(H722&gt;90,"90 dias",IF(H722&gt;60,"60 dias",IF(H722&gt;30,"30 dias","Al Día"))))))</f>
        <v>Al Día</v>
      </c>
      <c r="J722" s="59" t="s">
        <v>80</v>
      </c>
      <c r="K722" s="60" t="s">
        <v>81</v>
      </c>
      <c r="L722" s="61" t="s">
        <v>326</v>
      </c>
      <c r="M722" s="29" t="n">
        <f aca="false">+YEAR(F722)</f>
        <v>2026</v>
      </c>
      <c r="N722" s="62" t="n">
        <v>2026</v>
      </c>
      <c r="O722" s="63" t="n">
        <v>4</v>
      </c>
      <c r="P722" s="29" t="str">
        <f aca="false">+CONCATENATE(Tabla[[#This Row],[MES CAMPAÑA]],"/",Tabla[[#This Row],[AÑO CAMPAÑA]])</f>
        <v>4/2026</v>
      </c>
      <c r="Q722" s="60" t="s">
        <v>108</v>
      </c>
      <c r="R722" s="29"/>
      <c r="S722" s="64" t="n">
        <v>0</v>
      </c>
      <c r="T722" s="64" t="n">
        <v>4370000</v>
      </c>
      <c r="U722" s="64" t="n">
        <v>830300</v>
      </c>
      <c r="V722" s="65"/>
      <c r="W722" s="24" t="n">
        <v>5200300</v>
      </c>
      <c r="X722" s="36"/>
      <c r="Y722" s="66"/>
      <c r="Z722" s="66"/>
      <c r="AA722" s="66"/>
      <c r="AB722" s="38" t="n">
        <f aca="false">+W722-AC722</f>
        <v>5200300</v>
      </c>
      <c r="AC722" s="34" t="n">
        <f aca="false">+Tabla[[#This Row],[P4]]+Tabla[[#This Row],[P3]]+Tabla[[#This Row],[P2]]+Tabla[[#This Row],[P1]]</f>
        <v>0</v>
      </c>
      <c r="AD722" s="34" t="n">
        <f aca="false">+W722-AC722</f>
        <v>5200300</v>
      </c>
      <c r="AE722" s="21" t="str">
        <f aca="false">IF(AB722&lt;1,"PAGADA","PENDIENTE")</f>
        <v>PENDIENTE</v>
      </c>
      <c r="AF722" s="67"/>
      <c r="AG722" s="29"/>
      <c r="AH722" s="68"/>
      <c r="AI722" s="40" t="n">
        <f aca="false">+IF(Tabla[[#This Row],[FECHA PAGO / ABONO]]&lt;1,0,(MONTH(Tabla[[#This Row],[FECHA PAGO / ABONO]])))</f>
        <v>0</v>
      </c>
      <c r="AJ722" s="40" t="n">
        <f aca="false">+IF(Tabla[[#This Row],[FECHA PAGO / ABONO]]&lt;1,0,(YEAR(Tabla[[#This Row],[FECHA PAGO / ABONO]])))</f>
        <v>0</v>
      </c>
      <c r="AK722" s="41"/>
    </row>
    <row r="723" customFormat="false" ht="14.25" hidden="false" customHeight="false" outlineLevel="0" collapsed="false">
      <c r="A723" s="17" t="s">
        <v>181</v>
      </c>
      <c r="B723" s="18" t="s">
        <v>182</v>
      </c>
      <c r="C723" s="18" t="s">
        <v>69</v>
      </c>
      <c r="D723" s="18" t="n">
        <v>33215</v>
      </c>
      <c r="E723" s="21" t="str">
        <f aca="false">+CONCATENATE(Tabla[[#This Row],[RUT]],Tabla[[#This Row],[PROVEEDOR]],Tabla[[#This Row],[FACTURA]])</f>
        <v>96810030-0RDF MEDIA SPA33215</v>
      </c>
      <c r="F723" s="30" t="n">
        <v>46156</v>
      </c>
      <c r="G723" s="31" t="n">
        <f aca="false">+F723+30</f>
        <v>46186</v>
      </c>
      <c r="H723" s="29" t="n">
        <f aca="true">+IF(AE723="PAGADA",0,TODAY()-G723)</f>
        <v>18</v>
      </c>
      <c r="I723" s="29" t="str">
        <f aca="false">+IF(H723&gt;180,"Atrasada",IF(H723&gt;150,"150 dias",IF(H723&gt;120,"120 dias",IF(H723&gt;90,"90 dias",IF(H723&gt;60,"60 dias",IF(H723&gt;30,"30 dias","Al Día"))))))</f>
        <v>Al Día</v>
      </c>
      <c r="J723" s="59" t="s">
        <v>80</v>
      </c>
      <c r="K723" s="60" t="s">
        <v>81</v>
      </c>
      <c r="L723" s="61" t="s">
        <v>326</v>
      </c>
      <c r="M723" s="29" t="n">
        <f aca="false">+YEAR(F723)</f>
        <v>2026</v>
      </c>
      <c r="N723" s="62" t="n">
        <v>2026</v>
      </c>
      <c r="O723" s="63" t="n">
        <v>4</v>
      </c>
      <c r="P723" s="29" t="str">
        <f aca="false">+CONCATENATE(Tabla[[#This Row],[MES CAMPAÑA]],"/",Tabla[[#This Row],[AÑO CAMPAÑA]])</f>
        <v>4/2026</v>
      </c>
      <c r="Q723" s="60" t="s">
        <v>323</v>
      </c>
      <c r="R723" s="29"/>
      <c r="S723" s="64" t="n">
        <v>0</v>
      </c>
      <c r="T723" s="64" t="n">
        <v>1188000</v>
      </c>
      <c r="U723" s="64" t="n">
        <v>225720</v>
      </c>
      <c r="V723" s="65"/>
      <c r="W723" s="24" t="n">
        <v>1413720</v>
      </c>
      <c r="X723" s="36"/>
      <c r="Y723" s="66"/>
      <c r="Z723" s="66"/>
      <c r="AA723" s="66"/>
      <c r="AB723" s="38" t="n">
        <f aca="false">+W723-AC723</f>
        <v>1413720</v>
      </c>
      <c r="AC723" s="34" t="n">
        <f aca="false">+Tabla[[#This Row],[P4]]+Tabla[[#This Row],[P3]]+Tabla[[#This Row],[P2]]+Tabla[[#This Row],[P1]]</f>
        <v>0</v>
      </c>
      <c r="AD723" s="34" t="n">
        <f aca="false">+W723-AC723</f>
        <v>1413720</v>
      </c>
      <c r="AE723" s="21" t="str">
        <f aca="false">IF(AB723&lt;1,"PAGADA","PENDIENTE")</f>
        <v>PENDIENTE</v>
      </c>
      <c r="AF723" s="67"/>
      <c r="AG723" s="29"/>
      <c r="AH723" s="68"/>
      <c r="AI723" s="40" t="n">
        <f aca="false">+IF(Tabla[[#This Row],[FECHA PAGO / ABONO]]&lt;1,0,(MONTH(Tabla[[#This Row],[FECHA PAGO / ABONO]])))</f>
        <v>0</v>
      </c>
      <c r="AJ723" s="40" t="n">
        <f aca="false">+IF(Tabla[[#This Row],[FECHA PAGO / ABONO]]&lt;1,0,(YEAR(Tabla[[#This Row],[FECHA PAGO / ABONO]])))</f>
        <v>0</v>
      </c>
      <c r="AK723" s="41"/>
    </row>
    <row r="724" customFormat="false" ht="14.25" hidden="false" customHeight="false" outlineLevel="0" collapsed="false">
      <c r="A724" s="17" t="s">
        <v>166</v>
      </c>
      <c r="B724" s="18" t="s">
        <v>167</v>
      </c>
      <c r="C724" s="18" t="s">
        <v>69</v>
      </c>
      <c r="D724" s="18" t="n">
        <v>1194</v>
      </c>
      <c r="E724" s="21" t="str">
        <f aca="false">+CONCATENATE(Tabla[[#This Row],[RUT]],Tabla[[#This Row],[PROVEEDOR]],Tabla[[#This Row],[FACTURA]])</f>
        <v>76564873-4SERVICIOS DE PRODUCCIÃ“N CRISTIAN MARCELO LABBÃ‰ VENEGAS E.I.R.L.1194</v>
      </c>
      <c r="F724" s="30" t="n">
        <v>46156</v>
      </c>
      <c r="G724" s="31" t="n">
        <f aca="false">+F724+30</f>
        <v>46186</v>
      </c>
      <c r="H724" s="29" t="n">
        <f aca="true">+IF(AE724="PAGADA",0,TODAY()-G724)</f>
        <v>0</v>
      </c>
      <c r="I724" s="29" t="str">
        <f aca="false">+IF(H724&gt;180,"Atrasada",IF(H724&gt;150,"150 dias",IF(H724&gt;120,"120 dias",IF(H724&gt;90,"90 dias",IF(H724&gt;60,"60 dias",IF(H724&gt;30,"30 dias","Al Día"))))))</f>
        <v>Al Día</v>
      </c>
      <c r="J724" s="59" t="s">
        <v>80</v>
      </c>
      <c r="K724" s="60" t="s">
        <v>81</v>
      </c>
      <c r="L724" s="61" t="s">
        <v>326</v>
      </c>
      <c r="M724" s="29" t="n">
        <f aca="false">+YEAR(F724)</f>
        <v>2026</v>
      </c>
      <c r="N724" s="62" t="n">
        <v>2026</v>
      </c>
      <c r="O724" s="63" t="n">
        <v>4</v>
      </c>
      <c r="P724" s="29" t="str">
        <f aca="false">+CONCATENATE(Tabla[[#This Row],[MES CAMPAÑA]],"/",Tabla[[#This Row],[AÑO CAMPAÑA]])</f>
        <v>4/2026</v>
      </c>
      <c r="Q724" s="60" t="s">
        <v>108</v>
      </c>
      <c r="R724" s="29"/>
      <c r="S724" s="64" t="n">
        <v>0</v>
      </c>
      <c r="T724" s="64" t="n">
        <v>607200</v>
      </c>
      <c r="U724" s="64" t="n">
        <v>115368</v>
      </c>
      <c r="V724" s="65"/>
      <c r="W724" s="24" t="n">
        <v>722568</v>
      </c>
      <c r="X724" s="36" t="n">
        <f aca="false">+Tabla[[#This Row],[TOTAL]]</f>
        <v>722568</v>
      </c>
      <c r="Y724" s="66"/>
      <c r="Z724" s="66"/>
      <c r="AA724" s="66"/>
      <c r="AB724" s="38" t="n">
        <f aca="false">+W724-AC724</f>
        <v>0</v>
      </c>
      <c r="AC724" s="34" t="n">
        <f aca="false">+Tabla[[#This Row],[P4]]+Tabla[[#This Row],[P3]]+Tabla[[#This Row],[P2]]+Tabla[[#This Row],[P1]]</f>
        <v>722568</v>
      </c>
      <c r="AD724" s="34" t="n">
        <f aca="false">+W724-AC724</f>
        <v>0</v>
      </c>
      <c r="AE724" s="21" t="str">
        <f aca="false">IF(AB724&lt;1,"PAGADA","PENDIENTE")</f>
        <v>PAGADA</v>
      </c>
      <c r="AF724" s="67"/>
      <c r="AG724" s="29" t="s">
        <v>77</v>
      </c>
      <c r="AH724" s="69" t="n">
        <v>46185</v>
      </c>
      <c r="AI724" s="40" t="n">
        <f aca="false">+IF(Tabla[[#This Row],[FECHA PAGO / ABONO]]&lt;1,0,(MONTH(Tabla[[#This Row],[FECHA PAGO / ABONO]])))</f>
        <v>6</v>
      </c>
      <c r="AJ724" s="40" t="n">
        <f aca="false">+IF(Tabla[[#This Row],[FECHA PAGO / ABONO]]&lt;1,0,(YEAR(Tabla[[#This Row],[FECHA PAGO / ABONO]])))</f>
        <v>2026</v>
      </c>
      <c r="AK724" s="41"/>
    </row>
    <row r="725" customFormat="false" ht="14.25" hidden="false" customHeight="false" outlineLevel="0" collapsed="false">
      <c r="A725" s="17" t="s">
        <v>330</v>
      </c>
      <c r="B725" s="18" t="s">
        <v>331</v>
      </c>
      <c r="C725" s="18" t="s">
        <v>69</v>
      </c>
      <c r="D725" s="18" t="n">
        <v>3323</v>
      </c>
      <c r="E725" s="21" t="str">
        <f aca="false">+CONCATENATE(Tabla[[#This Row],[RUT]],Tabla[[#This Row],[PROVEEDOR]],Tabla[[#This Row],[FACTURA]])</f>
        <v>76680165-KPAUTA SPA3323</v>
      </c>
      <c r="F725" s="30" t="n">
        <v>46156</v>
      </c>
      <c r="G725" s="31" t="n">
        <f aca="false">+F725+30</f>
        <v>46186</v>
      </c>
      <c r="H725" s="29" t="n">
        <f aca="true">+IF(AE725="PAGADA",0,TODAY()-G725)</f>
        <v>18</v>
      </c>
      <c r="I725" s="29" t="str">
        <f aca="false">+IF(H725&gt;180,"Atrasada",IF(H725&gt;150,"150 dias",IF(H725&gt;120,"120 dias",IF(H725&gt;90,"90 dias",IF(H725&gt;60,"60 dias",IF(H725&gt;30,"30 dias","Al Día"))))))</f>
        <v>Al Día</v>
      </c>
      <c r="J725" s="59" t="s">
        <v>80</v>
      </c>
      <c r="K725" s="60" t="s">
        <v>81</v>
      </c>
      <c r="L725" s="61" t="s">
        <v>326</v>
      </c>
      <c r="M725" s="29" t="n">
        <f aca="false">+YEAR(F725)</f>
        <v>2026</v>
      </c>
      <c r="N725" s="62" t="n">
        <v>2026</v>
      </c>
      <c r="O725" s="63" t="n">
        <v>4</v>
      </c>
      <c r="P725" s="29" t="str">
        <f aca="false">+CONCATENATE(Tabla[[#This Row],[MES CAMPAÑA]],"/",Tabla[[#This Row],[AÑO CAMPAÑA]])</f>
        <v>4/2026</v>
      </c>
      <c r="Q725" s="60" t="s">
        <v>108</v>
      </c>
      <c r="R725" s="29"/>
      <c r="S725" s="64" t="n">
        <v>0</v>
      </c>
      <c r="T725" s="64" t="n">
        <v>1400000</v>
      </c>
      <c r="U725" s="64" t="n">
        <v>266000</v>
      </c>
      <c r="V725" s="65"/>
      <c r="W725" s="24" t="n">
        <v>1666000</v>
      </c>
      <c r="X725" s="36"/>
      <c r="Y725" s="66"/>
      <c r="Z725" s="66"/>
      <c r="AA725" s="66"/>
      <c r="AB725" s="38" t="n">
        <f aca="false">+W725-AC725</f>
        <v>1666000</v>
      </c>
      <c r="AC725" s="34" t="n">
        <f aca="false">+Tabla[[#This Row],[P4]]+Tabla[[#This Row],[P3]]+Tabla[[#This Row],[P2]]+Tabla[[#This Row],[P1]]</f>
        <v>0</v>
      </c>
      <c r="AD725" s="34" t="n">
        <f aca="false">+W725-AC725</f>
        <v>1666000</v>
      </c>
      <c r="AE725" s="21" t="str">
        <f aca="false">IF(AB725&lt;1,"PAGADA","PENDIENTE")</f>
        <v>PENDIENTE</v>
      </c>
      <c r="AF725" s="67"/>
      <c r="AG725" s="29"/>
      <c r="AH725" s="68"/>
      <c r="AI725" s="40" t="n">
        <f aca="false">+IF(Tabla[[#This Row],[FECHA PAGO / ABONO]]&lt;1,0,(MONTH(Tabla[[#This Row],[FECHA PAGO / ABONO]])))</f>
        <v>0</v>
      </c>
      <c r="AJ725" s="40" t="n">
        <f aca="false">+IF(Tabla[[#This Row],[FECHA PAGO / ABONO]]&lt;1,0,(YEAR(Tabla[[#This Row],[FECHA PAGO / ABONO]])))</f>
        <v>0</v>
      </c>
      <c r="AK725" s="41"/>
    </row>
    <row r="726" customFormat="false" ht="14.25" hidden="false" customHeight="false" outlineLevel="0" collapsed="false">
      <c r="A726" s="17" t="s">
        <v>313</v>
      </c>
      <c r="B726" s="18" t="s">
        <v>314</v>
      </c>
      <c r="C726" s="18" t="s">
        <v>69</v>
      </c>
      <c r="D726" s="18" t="n">
        <v>756</v>
      </c>
      <c r="E726" s="21" t="str">
        <f aca="false">+CONCATENATE(Tabla[[#This Row],[RUT]],Tabla[[#This Row],[PROVEEDOR]],Tabla[[#This Row],[FACTURA]])</f>
        <v>76857696-3POWER ID DIGITAL SPA756</v>
      </c>
      <c r="F726" s="30" t="n">
        <v>46156</v>
      </c>
      <c r="G726" s="31" t="n">
        <f aca="false">+F726+30</f>
        <v>46186</v>
      </c>
      <c r="H726" s="29" t="n">
        <f aca="true">+IF(AE726="PAGADA",0,TODAY()-G726)</f>
        <v>18</v>
      </c>
      <c r="I726" s="29" t="str">
        <f aca="false">+IF(H726&gt;180,"Atrasada",IF(H726&gt;150,"150 dias",IF(H726&gt;120,"120 dias",IF(H726&gt;90,"90 dias",IF(H726&gt;60,"60 dias",IF(H726&gt;30,"30 dias","Al Día"))))))</f>
        <v>Al Día</v>
      </c>
      <c r="J726" s="59" t="s">
        <v>80</v>
      </c>
      <c r="K726" s="60" t="s">
        <v>81</v>
      </c>
      <c r="L726" s="61" t="s">
        <v>326</v>
      </c>
      <c r="M726" s="29" t="n">
        <f aca="false">+YEAR(F726)</f>
        <v>2026</v>
      </c>
      <c r="N726" s="62" t="n">
        <v>2026</v>
      </c>
      <c r="O726" s="63" t="n">
        <v>4</v>
      </c>
      <c r="P726" s="29" t="str">
        <f aca="false">+CONCATENATE(Tabla[[#This Row],[MES CAMPAÑA]],"/",Tabla[[#This Row],[AÑO CAMPAÑA]])</f>
        <v>4/2026</v>
      </c>
      <c r="Q726" s="60" t="s">
        <v>323</v>
      </c>
      <c r="R726" s="29"/>
      <c r="S726" s="64" t="n">
        <v>0</v>
      </c>
      <c r="T726" s="64" t="n">
        <v>2000000</v>
      </c>
      <c r="U726" s="64" t="n">
        <v>380000</v>
      </c>
      <c r="V726" s="65"/>
      <c r="W726" s="24" t="n">
        <v>2380000</v>
      </c>
      <c r="X726" s="36"/>
      <c r="Y726" s="66"/>
      <c r="Z726" s="66"/>
      <c r="AA726" s="66"/>
      <c r="AB726" s="38" t="n">
        <f aca="false">+W726-AC726</f>
        <v>2380000</v>
      </c>
      <c r="AC726" s="34" t="n">
        <f aca="false">+Tabla[[#This Row],[P4]]+Tabla[[#This Row],[P3]]+Tabla[[#This Row],[P2]]+Tabla[[#This Row],[P1]]</f>
        <v>0</v>
      </c>
      <c r="AD726" s="34" t="n">
        <f aca="false">+W726-AC726</f>
        <v>2380000</v>
      </c>
      <c r="AE726" s="21" t="str">
        <f aca="false">IF(AB726&lt;1,"PAGADA","PENDIENTE")</f>
        <v>PENDIENTE</v>
      </c>
      <c r="AF726" s="67"/>
      <c r="AG726" s="29"/>
      <c r="AH726" s="68"/>
      <c r="AI726" s="40" t="n">
        <f aca="false">+IF(Tabla[[#This Row],[FECHA PAGO / ABONO]]&lt;1,0,(MONTH(Tabla[[#This Row],[FECHA PAGO / ABONO]])))</f>
        <v>0</v>
      </c>
      <c r="AJ726" s="40" t="n">
        <f aca="false">+IF(Tabla[[#This Row],[FECHA PAGO / ABONO]]&lt;1,0,(YEAR(Tabla[[#This Row],[FECHA PAGO / ABONO]])))</f>
        <v>0</v>
      </c>
      <c r="AK726" s="41"/>
    </row>
    <row r="727" customFormat="false" ht="14.25" hidden="false" customHeight="false" outlineLevel="0" collapsed="false">
      <c r="A727" s="17" t="s">
        <v>310</v>
      </c>
      <c r="B727" s="18" t="s">
        <v>311</v>
      </c>
      <c r="C727" s="18" t="s">
        <v>69</v>
      </c>
      <c r="D727" s="18" t="n">
        <v>7411</v>
      </c>
      <c r="E727" s="21" t="str">
        <f aca="false">+CONCATENATE(Tabla[[#This Row],[RUT]],Tabla[[#This Row],[PROVEEDOR]],Tabla[[#This Row],[FACTURA]])</f>
        <v>77199330-3ARMSTRONG Y ASOCIADOS SA7411</v>
      </c>
      <c r="F727" s="30" t="n">
        <v>46156</v>
      </c>
      <c r="G727" s="31" t="n">
        <f aca="false">+F727+30</f>
        <v>46186</v>
      </c>
      <c r="H727" s="29" t="n">
        <f aca="true">+IF(AE727="PAGADA",0,TODAY()-G727)</f>
        <v>18</v>
      </c>
      <c r="I727" s="29" t="str">
        <f aca="false">+IF(H727&gt;180,"Atrasada",IF(H727&gt;150,"150 dias",IF(H727&gt;120,"120 dias",IF(H727&gt;90,"90 dias",IF(H727&gt;60,"60 dias",IF(H727&gt;30,"30 dias","Al Día"))))))</f>
        <v>Al Día</v>
      </c>
      <c r="J727" s="59" t="s">
        <v>31</v>
      </c>
      <c r="K727" s="60" t="s">
        <v>81</v>
      </c>
      <c r="L727" s="61" t="s">
        <v>326</v>
      </c>
      <c r="M727" s="29" t="n">
        <f aca="false">+YEAR(F727)</f>
        <v>2026</v>
      </c>
      <c r="N727" s="62" t="n">
        <v>2026</v>
      </c>
      <c r="O727" s="63" t="n">
        <v>4</v>
      </c>
      <c r="P727" s="29" t="str">
        <f aca="false">+CONCATENATE(Tabla[[#This Row],[MES CAMPAÑA]],"/",Tabla[[#This Row],[AÑO CAMPAÑA]])</f>
        <v>4/2026</v>
      </c>
      <c r="Q727" s="60" t="s">
        <v>73</v>
      </c>
      <c r="R727" s="29"/>
      <c r="S727" s="64" t="n">
        <v>0</v>
      </c>
      <c r="T727" s="64" t="n">
        <v>2940742</v>
      </c>
      <c r="U727" s="64" t="n">
        <v>558741</v>
      </c>
      <c r="V727" s="65"/>
      <c r="W727" s="24" t="n">
        <v>3499483</v>
      </c>
      <c r="X727" s="36"/>
      <c r="Y727" s="66"/>
      <c r="Z727" s="66"/>
      <c r="AA727" s="66"/>
      <c r="AB727" s="38" t="n">
        <f aca="false">+W727-AC727</f>
        <v>3499483</v>
      </c>
      <c r="AC727" s="34" t="n">
        <f aca="false">+Tabla[[#This Row],[P4]]+Tabla[[#This Row],[P3]]+Tabla[[#This Row],[P2]]+Tabla[[#This Row],[P1]]</f>
        <v>0</v>
      </c>
      <c r="AD727" s="34" t="n">
        <f aca="false">+W727-AC727</f>
        <v>3499483</v>
      </c>
      <c r="AE727" s="21" t="str">
        <f aca="false">IF(AB727&lt;1,"PAGADA","PENDIENTE")</f>
        <v>PENDIENTE</v>
      </c>
      <c r="AF727" s="67"/>
      <c r="AG727" s="29"/>
      <c r="AH727" s="68"/>
      <c r="AI727" s="40" t="n">
        <f aca="false">+IF(Tabla[[#This Row],[FECHA PAGO / ABONO]]&lt;1,0,(MONTH(Tabla[[#This Row],[FECHA PAGO / ABONO]])))</f>
        <v>0</v>
      </c>
      <c r="AJ727" s="40" t="n">
        <f aca="false">+IF(Tabla[[#This Row],[FECHA PAGO / ABONO]]&lt;1,0,(YEAR(Tabla[[#This Row],[FECHA PAGO / ABONO]])))</f>
        <v>0</v>
      </c>
      <c r="AK727" s="41"/>
    </row>
    <row r="728" customFormat="false" ht="14.25" hidden="false" customHeight="false" outlineLevel="0" collapsed="false">
      <c r="A728" s="17" t="s">
        <v>127</v>
      </c>
      <c r="B728" s="18" t="s">
        <v>128</v>
      </c>
      <c r="C728" s="18" t="s">
        <v>69</v>
      </c>
      <c r="D728" s="18" t="n">
        <v>47582</v>
      </c>
      <c r="E728" s="21" t="str">
        <f aca="false">+CONCATENATE(Tabla[[#This Row],[RUT]],Tabla[[#This Row],[PROVEEDOR]],Tabla[[#This Row],[FACTURA]])</f>
        <v>84364100-8Publicidad Exterior Publivia SpA47582</v>
      </c>
      <c r="F728" s="30" t="n">
        <v>46157</v>
      </c>
      <c r="G728" s="31" t="n">
        <f aca="false">+F728+30</f>
        <v>46187</v>
      </c>
      <c r="H728" s="29" t="n">
        <f aca="true">+IF(AE728="PAGADA",0,TODAY()-G728)</f>
        <v>17</v>
      </c>
      <c r="I728" s="29" t="str">
        <f aca="false">+IF(H728&gt;180,"Atrasada",IF(H728&gt;150,"150 dias",IF(H728&gt;120,"120 dias",IF(H728&gt;90,"90 dias",IF(H728&gt;60,"60 dias",IF(H728&gt;30,"30 dias","Al Día"))))))</f>
        <v>Al Día</v>
      </c>
      <c r="J728" s="59" t="s">
        <v>80</v>
      </c>
      <c r="K728" s="60" t="s">
        <v>81</v>
      </c>
      <c r="L728" s="61" t="s">
        <v>326</v>
      </c>
      <c r="M728" s="29" t="n">
        <f aca="false">+YEAR(F728)</f>
        <v>2026</v>
      </c>
      <c r="N728" s="62" t="n">
        <v>2026</v>
      </c>
      <c r="O728" s="63" t="n">
        <v>4</v>
      </c>
      <c r="P728" s="29" t="str">
        <f aca="false">+CONCATENATE(Tabla[[#This Row],[MES CAMPAÑA]],"/",Tabla[[#This Row],[AÑO CAMPAÑA]])</f>
        <v>4/2026</v>
      </c>
      <c r="Q728" s="60" t="s">
        <v>92</v>
      </c>
      <c r="R728" s="29"/>
      <c r="S728" s="64" t="n">
        <v>0</v>
      </c>
      <c r="T728" s="64" t="n">
        <v>597095</v>
      </c>
      <c r="U728" s="64" t="n">
        <v>113448</v>
      </c>
      <c r="V728" s="65"/>
      <c r="W728" s="24" t="n">
        <v>710543</v>
      </c>
      <c r="X728" s="36"/>
      <c r="Y728" s="66"/>
      <c r="Z728" s="66"/>
      <c r="AA728" s="66"/>
      <c r="AB728" s="38" t="n">
        <f aca="false">+W728-AC728</f>
        <v>710543</v>
      </c>
      <c r="AC728" s="34" t="n">
        <f aca="false">+Tabla[[#This Row],[P4]]+Tabla[[#This Row],[P3]]+Tabla[[#This Row],[P2]]+Tabla[[#This Row],[P1]]</f>
        <v>0</v>
      </c>
      <c r="AD728" s="34" t="n">
        <f aca="false">+W728-AC728</f>
        <v>710543</v>
      </c>
      <c r="AE728" s="21" t="str">
        <f aca="false">IF(AB728&lt;1,"PAGADA","PENDIENTE")</f>
        <v>PENDIENTE</v>
      </c>
      <c r="AF728" s="67"/>
      <c r="AG728" s="29"/>
      <c r="AH728" s="68"/>
      <c r="AI728" s="40" t="n">
        <f aca="false">+IF(Tabla[[#This Row],[FECHA PAGO / ABONO]]&lt;1,0,(MONTH(Tabla[[#This Row],[FECHA PAGO / ABONO]])))</f>
        <v>0</v>
      </c>
      <c r="AJ728" s="40" t="n">
        <f aca="false">+IF(Tabla[[#This Row],[FECHA PAGO / ABONO]]&lt;1,0,(YEAR(Tabla[[#This Row],[FECHA PAGO / ABONO]])))</f>
        <v>0</v>
      </c>
      <c r="AK728" s="41"/>
    </row>
    <row r="729" customFormat="false" ht="14.25" hidden="false" customHeight="false" outlineLevel="0" collapsed="false">
      <c r="A729" s="17" t="s">
        <v>139</v>
      </c>
      <c r="B729" s="18" t="s">
        <v>140</v>
      </c>
      <c r="C729" s="18" t="s">
        <v>69</v>
      </c>
      <c r="D729" s="18" t="n">
        <v>2671</v>
      </c>
      <c r="E729" s="21" t="str">
        <f aca="false">+CONCATENATE(Tabla[[#This Row],[RUT]],Tabla[[#This Row],[PROVEEDOR]],Tabla[[#This Row],[FACTURA]])</f>
        <v>76126782-5VISUAL MEDIA LTDA.2671</v>
      </c>
      <c r="F729" s="30" t="n">
        <v>46157</v>
      </c>
      <c r="G729" s="31" t="n">
        <f aca="false">+F729+30</f>
        <v>46187</v>
      </c>
      <c r="H729" s="29" t="n">
        <f aca="true">+IF(AE729="PAGADA",0,TODAY()-G729)</f>
        <v>17</v>
      </c>
      <c r="I729" s="29" t="str">
        <f aca="false">+IF(H729&gt;180,"Atrasada",IF(H729&gt;150,"150 dias",IF(H729&gt;120,"120 dias",IF(H729&gt;90,"90 dias",IF(H729&gt;60,"60 dias",IF(H729&gt;30,"30 dias","Al Día"))))))</f>
        <v>Al Día</v>
      </c>
      <c r="J729" s="59" t="s">
        <v>80</v>
      </c>
      <c r="K729" s="60" t="s">
        <v>124</v>
      </c>
      <c r="L729" s="61" t="s">
        <v>326</v>
      </c>
      <c r="M729" s="29" t="n">
        <f aca="false">+YEAR(F729)</f>
        <v>2026</v>
      </c>
      <c r="N729" s="62" t="n">
        <v>2026</v>
      </c>
      <c r="O729" s="63" t="n">
        <v>4</v>
      </c>
      <c r="P729" s="29" t="str">
        <f aca="false">+CONCATENATE(Tabla[[#This Row],[MES CAMPAÑA]],"/",Tabla[[#This Row],[AÑO CAMPAÑA]])</f>
        <v>4/2026</v>
      </c>
      <c r="Q729" s="60" t="s">
        <v>92</v>
      </c>
      <c r="R729" s="29"/>
      <c r="S729" s="64" t="n">
        <v>0</v>
      </c>
      <c r="T729" s="64" t="n">
        <v>350000</v>
      </c>
      <c r="U729" s="64" t="n">
        <v>66500</v>
      </c>
      <c r="V729" s="65"/>
      <c r="W729" s="24" t="n">
        <v>416500</v>
      </c>
      <c r="X729" s="36"/>
      <c r="Y729" s="66"/>
      <c r="Z729" s="66"/>
      <c r="AA729" s="66"/>
      <c r="AB729" s="38" t="n">
        <f aca="false">+W729-AC729</f>
        <v>416500</v>
      </c>
      <c r="AC729" s="34" t="n">
        <f aca="false">+Tabla[[#This Row],[P4]]+Tabla[[#This Row],[P3]]+Tabla[[#This Row],[P2]]+Tabla[[#This Row],[P1]]</f>
        <v>0</v>
      </c>
      <c r="AD729" s="34" t="n">
        <f aca="false">+W729-AC729</f>
        <v>416500</v>
      </c>
      <c r="AE729" s="21" t="str">
        <f aca="false">IF(AB729&lt;1,"PAGADA","PENDIENTE")</f>
        <v>PENDIENTE</v>
      </c>
      <c r="AF729" s="67"/>
      <c r="AG729" s="29"/>
      <c r="AH729" s="68"/>
      <c r="AI729" s="40" t="n">
        <f aca="false">+IF(Tabla[[#This Row],[FECHA PAGO / ABONO]]&lt;1,0,(MONTH(Tabla[[#This Row],[FECHA PAGO / ABONO]])))</f>
        <v>0</v>
      </c>
      <c r="AJ729" s="40" t="n">
        <f aca="false">+IF(Tabla[[#This Row],[FECHA PAGO / ABONO]]&lt;1,0,(YEAR(Tabla[[#This Row],[FECHA PAGO / ABONO]])))</f>
        <v>0</v>
      </c>
      <c r="AK729" s="41"/>
    </row>
    <row r="730" customFormat="false" ht="14.25" hidden="false" customHeight="false" outlineLevel="0" collapsed="false">
      <c r="A730" s="17" t="s">
        <v>127</v>
      </c>
      <c r="B730" s="18" t="s">
        <v>128</v>
      </c>
      <c r="C730" s="18" t="s">
        <v>69</v>
      </c>
      <c r="D730" s="18" t="n">
        <v>47583</v>
      </c>
      <c r="E730" s="21" t="str">
        <f aca="false">+CONCATENATE(Tabla[[#This Row],[RUT]],Tabla[[#This Row],[PROVEEDOR]],Tabla[[#This Row],[FACTURA]])</f>
        <v>84364100-8Publicidad Exterior Publivia SpA47583</v>
      </c>
      <c r="F730" s="30" t="n">
        <v>46157</v>
      </c>
      <c r="G730" s="31" t="n">
        <f aca="false">+F730+30</f>
        <v>46187</v>
      </c>
      <c r="H730" s="29" t="n">
        <f aca="true">+IF(AE730="PAGADA",0,TODAY()-G730)</f>
        <v>17</v>
      </c>
      <c r="I730" s="29" t="str">
        <f aca="false">+IF(H730&gt;180,"Atrasada",IF(H730&gt;150,"150 dias",IF(H730&gt;120,"120 dias",IF(H730&gt;90,"90 dias",IF(H730&gt;60,"60 dias",IF(H730&gt;30,"30 dias","Al Día"))))))</f>
        <v>Al Día</v>
      </c>
      <c r="J730" s="59" t="s">
        <v>80</v>
      </c>
      <c r="K730" s="60" t="s">
        <v>81</v>
      </c>
      <c r="L730" s="61" t="s">
        <v>326</v>
      </c>
      <c r="M730" s="29" t="n">
        <f aca="false">+YEAR(F730)</f>
        <v>2026</v>
      </c>
      <c r="N730" s="62" t="n">
        <v>2026</v>
      </c>
      <c r="O730" s="63" t="n">
        <v>4</v>
      </c>
      <c r="P730" s="29" t="str">
        <f aca="false">+CONCATENATE(Tabla[[#This Row],[MES CAMPAÑA]],"/",Tabla[[#This Row],[AÑO CAMPAÑA]])</f>
        <v>4/2026</v>
      </c>
      <c r="Q730" s="60" t="s">
        <v>92</v>
      </c>
      <c r="R730" s="29"/>
      <c r="S730" s="64" t="n">
        <v>0</v>
      </c>
      <c r="T730" s="64" t="n">
        <v>1287104</v>
      </c>
      <c r="U730" s="64" t="n">
        <v>244550</v>
      </c>
      <c r="V730" s="65"/>
      <c r="W730" s="24" t="n">
        <v>1531654</v>
      </c>
      <c r="X730" s="36"/>
      <c r="Y730" s="66"/>
      <c r="Z730" s="66"/>
      <c r="AA730" s="66"/>
      <c r="AB730" s="38" t="n">
        <f aca="false">+W730-AC730</f>
        <v>1531654</v>
      </c>
      <c r="AC730" s="34" t="n">
        <f aca="false">+Tabla[[#This Row],[P4]]+Tabla[[#This Row],[P3]]+Tabla[[#This Row],[P2]]+Tabla[[#This Row],[P1]]</f>
        <v>0</v>
      </c>
      <c r="AD730" s="34" t="n">
        <f aca="false">+W730-AC730</f>
        <v>1531654</v>
      </c>
      <c r="AE730" s="21" t="str">
        <f aca="false">IF(AB730&lt;1,"PAGADA","PENDIENTE")</f>
        <v>PENDIENTE</v>
      </c>
      <c r="AF730" s="67"/>
      <c r="AG730" s="29"/>
      <c r="AH730" s="68"/>
      <c r="AI730" s="40" t="n">
        <f aca="false">+IF(Tabla[[#This Row],[FECHA PAGO / ABONO]]&lt;1,0,(MONTH(Tabla[[#This Row],[FECHA PAGO / ABONO]])))</f>
        <v>0</v>
      </c>
      <c r="AJ730" s="40" t="n">
        <f aca="false">+IF(Tabla[[#This Row],[FECHA PAGO / ABONO]]&lt;1,0,(YEAR(Tabla[[#This Row],[FECHA PAGO / ABONO]])))</f>
        <v>0</v>
      </c>
      <c r="AK730" s="41"/>
    </row>
    <row r="731" customFormat="false" ht="14.25" hidden="false" customHeight="false" outlineLevel="0" collapsed="false">
      <c r="A731" s="17" t="s">
        <v>127</v>
      </c>
      <c r="B731" s="18" t="s">
        <v>128</v>
      </c>
      <c r="C731" s="18" t="s">
        <v>69</v>
      </c>
      <c r="D731" s="18" t="n">
        <v>47584</v>
      </c>
      <c r="E731" s="21" t="str">
        <f aca="false">+CONCATENATE(Tabla[[#This Row],[RUT]],Tabla[[#This Row],[PROVEEDOR]],Tabla[[#This Row],[FACTURA]])</f>
        <v>84364100-8Publicidad Exterior Publivia SpA47584</v>
      </c>
      <c r="F731" s="30" t="n">
        <v>46157</v>
      </c>
      <c r="G731" s="31" t="n">
        <f aca="false">+F731+30</f>
        <v>46187</v>
      </c>
      <c r="H731" s="29" t="n">
        <f aca="true">+IF(AE731="PAGADA",0,TODAY()-G731)</f>
        <v>17</v>
      </c>
      <c r="I731" s="29" t="str">
        <f aca="false">+IF(H731&gt;180,"Atrasada",IF(H731&gt;150,"150 dias",IF(H731&gt;120,"120 dias",IF(H731&gt;90,"90 dias",IF(H731&gt;60,"60 dias",IF(H731&gt;30,"30 dias","Al Día"))))))</f>
        <v>Al Día</v>
      </c>
      <c r="J731" s="59" t="s">
        <v>80</v>
      </c>
      <c r="K731" s="60" t="s">
        <v>81</v>
      </c>
      <c r="L731" s="61" t="s">
        <v>326</v>
      </c>
      <c r="M731" s="29" t="n">
        <f aca="false">+YEAR(F731)</f>
        <v>2026</v>
      </c>
      <c r="N731" s="62" t="n">
        <v>2026</v>
      </c>
      <c r="O731" s="63" t="n">
        <v>4</v>
      </c>
      <c r="P731" s="29" t="str">
        <f aca="false">+CONCATENATE(Tabla[[#This Row],[MES CAMPAÑA]],"/",Tabla[[#This Row],[AÑO CAMPAÑA]])</f>
        <v>4/2026</v>
      </c>
      <c r="Q731" s="60" t="s">
        <v>92</v>
      </c>
      <c r="R731" s="29"/>
      <c r="S731" s="64" t="n">
        <v>0</v>
      </c>
      <c r="T731" s="64" t="n">
        <v>364110</v>
      </c>
      <c r="U731" s="64" t="n">
        <v>69181</v>
      </c>
      <c r="V731" s="65"/>
      <c r="W731" s="24" t="n">
        <v>433291</v>
      </c>
      <c r="X731" s="36"/>
      <c r="Y731" s="66"/>
      <c r="Z731" s="66"/>
      <c r="AA731" s="66"/>
      <c r="AB731" s="38" t="n">
        <f aca="false">+W731-AC731</f>
        <v>433291</v>
      </c>
      <c r="AC731" s="34" t="n">
        <f aca="false">+Tabla[[#This Row],[P4]]+Tabla[[#This Row],[P3]]+Tabla[[#This Row],[P2]]+Tabla[[#This Row],[P1]]</f>
        <v>0</v>
      </c>
      <c r="AD731" s="34" t="n">
        <f aca="false">+W731-AC731</f>
        <v>433291</v>
      </c>
      <c r="AE731" s="21" t="str">
        <f aca="false">IF(AB731&lt;1,"PAGADA","PENDIENTE")</f>
        <v>PENDIENTE</v>
      </c>
      <c r="AF731" s="67"/>
      <c r="AG731" s="29"/>
      <c r="AH731" s="68"/>
      <c r="AI731" s="40" t="n">
        <f aca="false">+IF(Tabla[[#This Row],[FECHA PAGO / ABONO]]&lt;1,0,(MONTH(Tabla[[#This Row],[FECHA PAGO / ABONO]])))</f>
        <v>0</v>
      </c>
      <c r="AJ731" s="40" t="n">
        <f aca="false">+IF(Tabla[[#This Row],[FECHA PAGO / ABONO]]&lt;1,0,(YEAR(Tabla[[#This Row],[FECHA PAGO / ABONO]])))</f>
        <v>0</v>
      </c>
      <c r="AK731" s="41"/>
    </row>
    <row r="732" customFormat="false" ht="14.25" hidden="false" customHeight="false" outlineLevel="0" collapsed="false">
      <c r="A732" s="17" t="s">
        <v>127</v>
      </c>
      <c r="B732" s="18" t="s">
        <v>128</v>
      </c>
      <c r="C732" s="18" t="s">
        <v>69</v>
      </c>
      <c r="D732" s="18" t="n">
        <v>47585</v>
      </c>
      <c r="E732" s="21" t="str">
        <f aca="false">+CONCATENATE(Tabla[[#This Row],[RUT]],Tabla[[#This Row],[PROVEEDOR]],Tabla[[#This Row],[FACTURA]])</f>
        <v>84364100-8Publicidad Exterior Publivia SpA47585</v>
      </c>
      <c r="F732" s="30" t="n">
        <v>46157</v>
      </c>
      <c r="G732" s="31" t="n">
        <f aca="false">+F732+30</f>
        <v>46187</v>
      </c>
      <c r="H732" s="29" t="n">
        <f aca="true">+IF(AE732="PAGADA",0,TODAY()-G732)</f>
        <v>17</v>
      </c>
      <c r="I732" s="29" t="str">
        <f aca="false">+IF(H732&gt;180,"Atrasada",IF(H732&gt;150,"150 dias",IF(H732&gt;120,"120 dias",IF(H732&gt;90,"90 dias",IF(H732&gt;60,"60 dias",IF(H732&gt;30,"30 dias","Al Día"))))))</f>
        <v>Al Día</v>
      </c>
      <c r="J732" s="59" t="s">
        <v>80</v>
      </c>
      <c r="K732" s="60" t="s">
        <v>81</v>
      </c>
      <c r="L732" s="61" t="s">
        <v>326</v>
      </c>
      <c r="M732" s="29" t="n">
        <f aca="false">+YEAR(F732)</f>
        <v>2026</v>
      </c>
      <c r="N732" s="62" t="n">
        <v>2026</v>
      </c>
      <c r="O732" s="63" t="n">
        <v>4</v>
      </c>
      <c r="P732" s="29" t="str">
        <f aca="false">+CONCATENATE(Tabla[[#This Row],[MES CAMPAÑA]],"/",Tabla[[#This Row],[AÑO CAMPAÑA]])</f>
        <v>4/2026</v>
      </c>
      <c r="Q732" s="60" t="s">
        <v>92</v>
      </c>
      <c r="R732" s="29"/>
      <c r="S732" s="64" t="n">
        <v>0</v>
      </c>
      <c r="T732" s="64" t="n">
        <v>544034</v>
      </c>
      <c r="U732" s="64" t="n">
        <v>103366</v>
      </c>
      <c r="V732" s="65"/>
      <c r="W732" s="24" t="n">
        <v>647400</v>
      </c>
      <c r="X732" s="36"/>
      <c r="Y732" s="66"/>
      <c r="Z732" s="66"/>
      <c r="AA732" s="66"/>
      <c r="AB732" s="38" t="n">
        <f aca="false">+W732-AC732</f>
        <v>647400</v>
      </c>
      <c r="AC732" s="34" t="n">
        <f aca="false">+Tabla[[#This Row],[P4]]+Tabla[[#This Row],[P3]]+Tabla[[#This Row],[P2]]+Tabla[[#This Row],[P1]]</f>
        <v>0</v>
      </c>
      <c r="AD732" s="34" t="n">
        <f aca="false">+W732-AC732</f>
        <v>647400</v>
      </c>
      <c r="AE732" s="21" t="str">
        <f aca="false">IF(AB732&lt;1,"PAGADA","PENDIENTE")</f>
        <v>PENDIENTE</v>
      </c>
      <c r="AF732" s="67"/>
      <c r="AG732" s="29"/>
      <c r="AH732" s="68"/>
      <c r="AI732" s="40" t="n">
        <f aca="false">+IF(Tabla[[#This Row],[FECHA PAGO / ABONO]]&lt;1,0,(MONTH(Tabla[[#This Row],[FECHA PAGO / ABONO]])))</f>
        <v>0</v>
      </c>
      <c r="AJ732" s="40" t="n">
        <f aca="false">+IF(Tabla[[#This Row],[FECHA PAGO / ABONO]]&lt;1,0,(YEAR(Tabla[[#This Row],[FECHA PAGO / ABONO]])))</f>
        <v>0</v>
      </c>
      <c r="AK732" s="41"/>
    </row>
    <row r="733" customFormat="false" ht="14.25" hidden="false" customHeight="false" outlineLevel="0" collapsed="false">
      <c r="A733" s="17" t="s">
        <v>127</v>
      </c>
      <c r="B733" s="18" t="s">
        <v>128</v>
      </c>
      <c r="C733" s="18" t="s">
        <v>69</v>
      </c>
      <c r="D733" s="18" t="n">
        <v>47586</v>
      </c>
      <c r="E733" s="21" t="str">
        <f aca="false">+CONCATENATE(Tabla[[#This Row],[RUT]],Tabla[[#This Row],[PROVEEDOR]],Tabla[[#This Row],[FACTURA]])</f>
        <v>84364100-8Publicidad Exterior Publivia SpA47586</v>
      </c>
      <c r="F733" s="30" t="n">
        <v>46157</v>
      </c>
      <c r="G733" s="31" t="n">
        <f aca="false">+F733+30</f>
        <v>46187</v>
      </c>
      <c r="H733" s="29" t="n">
        <f aca="true">+IF(AE733="PAGADA",0,TODAY()-G733)</f>
        <v>17</v>
      </c>
      <c r="I733" s="29" t="str">
        <f aca="false">+IF(H733&gt;180,"Atrasada",IF(H733&gt;150,"150 dias",IF(H733&gt;120,"120 dias",IF(H733&gt;90,"90 dias",IF(H733&gt;60,"60 dias",IF(H733&gt;30,"30 dias","Al Día"))))))</f>
        <v>Al Día</v>
      </c>
      <c r="J733" s="59" t="s">
        <v>80</v>
      </c>
      <c r="K733" s="60" t="s">
        <v>81</v>
      </c>
      <c r="L733" s="61" t="s">
        <v>326</v>
      </c>
      <c r="M733" s="29" t="n">
        <f aca="false">+YEAR(F733)</f>
        <v>2026</v>
      </c>
      <c r="N733" s="62" t="n">
        <v>2026</v>
      </c>
      <c r="O733" s="63" t="n">
        <v>4</v>
      </c>
      <c r="P733" s="29" t="str">
        <f aca="false">+CONCATENATE(Tabla[[#This Row],[MES CAMPAÑA]],"/",Tabla[[#This Row],[AÑO CAMPAÑA]])</f>
        <v>4/2026</v>
      </c>
      <c r="Q733" s="60" t="s">
        <v>92</v>
      </c>
      <c r="R733" s="29"/>
      <c r="S733" s="64" t="n">
        <v>0</v>
      </c>
      <c r="T733" s="64" t="n">
        <v>571179</v>
      </c>
      <c r="U733" s="64" t="n">
        <v>108524</v>
      </c>
      <c r="V733" s="65"/>
      <c r="W733" s="24" t="n">
        <v>679703</v>
      </c>
      <c r="X733" s="36"/>
      <c r="Y733" s="66"/>
      <c r="Z733" s="66"/>
      <c r="AA733" s="66"/>
      <c r="AB733" s="38" t="n">
        <f aca="false">+W733-AC733</f>
        <v>679703</v>
      </c>
      <c r="AC733" s="34" t="n">
        <f aca="false">+Tabla[[#This Row],[P4]]+Tabla[[#This Row],[P3]]+Tabla[[#This Row],[P2]]+Tabla[[#This Row],[P1]]</f>
        <v>0</v>
      </c>
      <c r="AD733" s="34" t="n">
        <f aca="false">+W733-AC733</f>
        <v>679703</v>
      </c>
      <c r="AE733" s="21" t="str">
        <f aca="false">IF(AB733&lt;1,"PAGADA","PENDIENTE")</f>
        <v>PENDIENTE</v>
      </c>
      <c r="AF733" s="67"/>
      <c r="AG733" s="29"/>
      <c r="AH733" s="68"/>
      <c r="AI733" s="40" t="n">
        <f aca="false">+IF(Tabla[[#This Row],[FECHA PAGO / ABONO]]&lt;1,0,(MONTH(Tabla[[#This Row],[FECHA PAGO / ABONO]])))</f>
        <v>0</v>
      </c>
      <c r="AJ733" s="40" t="n">
        <f aca="false">+IF(Tabla[[#This Row],[FECHA PAGO / ABONO]]&lt;1,0,(YEAR(Tabla[[#This Row],[FECHA PAGO / ABONO]])))</f>
        <v>0</v>
      </c>
      <c r="AK733" s="41"/>
    </row>
    <row r="734" customFormat="false" ht="14.25" hidden="false" customHeight="false" outlineLevel="0" collapsed="false">
      <c r="A734" s="17" t="s">
        <v>127</v>
      </c>
      <c r="B734" s="18" t="s">
        <v>128</v>
      </c>
      <c r="C734" s="18" t="s">
        <v>69</v>
      </c>
      <c r="D734" s="18" t="n">
        <v>47587</v>
      </c>
      <c r="E734" s="21" t="str">
        <f aca="false">+CONCATENATE(Tabla[[#This Row],[RUT]],Tabla[[#This Row],[PROVEEDOR]],Tabla[[#This Row],[FACTURA]])</f>
        <v>84364100-8Publicidad Exterior Publivia SpA47587</v>
      </c>
      <c r="F734" s="30" t="n">
        <v>46157</v>
      </c>
      <c r="G734" s="31" t="n">
        <f aca="false">+F734+30</f>
        <v>46187</v>
      </c>
      <c r="H734" s="29" t="n">
        <f aca="true">+IF(AE734="PAGADA",0,TODAY()-G734)</f>
        <v>17</v>
      </c>
      <c r="I734" s="29" t="str">
        <f aca="false">+IF(H734&gt;180,"Atrasada",IF(H734&gt;150,"150 dias",IF(H734&gt;120,"120 dias",IF(H734&gt;90,"90 dias",IF(H734&gt;60,"60 dias",IF(H734&gt;30,"30 dias","Al Día"))))))</f>
        <v>Al Día</v>
      </c>
      <c r="J734" s="59" t="s">
        <v>80</v>
      </c>
      <c r="K734" s="60" t="s">
        <v>81</v>
      </c>
      <c r="L734" s="61" t="s">
        <v>326</v>
      </c>
      <c r="M734" s="29" t="n">
        <f aca="false">+YEAR(F734)</f>
        <v>2026</v>
      </c>
      <c r="N734" s="62" t="n">
        <v>2026</v>
      </c>
      <c r="O734" s="63" t="n">
        <v>4</v>
      </c>
      <c r="P734" s="29" t="str">
        <f aca="false">+CONCATENATE(Tabla[[#This Row],[MES CAMPAÑA]],"/",Tabla[[#This Row],[AÑO CAMPAÑA]])</f>
        <v>4/2026</v>
      </c>
      <c r="Q734" s="60" t="s">
        <v>92</v>
      </c>
      <c r="R734" s="29"/>
      <c r="S734" s="64" t="n">
        <v>0</v>
      </c>
      <c r="T734" s="64" t="n">
        <v>515199</v>
      </c>
      <c r="U734" s="64" t="n">
        <v>97888</v>
      </c>
      <c r="V734" s="65"/>
      <c r="W734" s="24" t="n">
        <v>613087</v>
      </c>
      <c r="X734" s="36"/>
      <c r="Y734" s="66"/>
      <c r="Z734" s="66"/>
      <c r="AA734" s="66"/>
      <c r="AB734" s="38" t="n">
        <f aca="false">+W734-AC734</f>
        <v>613087</v>
      </c>
      <c r="AC734" s="34" t="n">
        <f aca="false">+Tabla[[#This Row],[P4]]+Tabla[[#This Row],[P3]]+Tabla[[#This Row],[P2]]+Tabla[[#This Row],[P1]]</f>
        <v>0</v>
      </c>
      <c r="AD734" s="34" t="n">
        <f aca="false">+W734-AC734</f>
        <v>613087</v>
      </c>
      <c r="AE734" s="21" t="str">
        <f aca="false">IF(AB734&lt;1,"PAGADA","PENDIENTE")</f>
        <v>PENDIENTE</v>
      </c>
      <c r="AF734" s="67"/>
      <c r="AG734" s="29"/>
      <c r="AH734" s="68"/>
      <c r="AI734" s="40" t="n">
        <f aca="false">+IF(Tabla[[#This Row],[FECHA PAGO / ABONO]]&lt;1,0,(MONTH(Tabla[[#This Row],[FECHA PAGO / ABONO]])))</f>
        <v>0</v>
      </c>
      <c r="AJ734" s="40" t="n">
        <f aca="false">+IF(Tabla[[#This Row],[FECHA PAGO / ABONO]]&lt;1,0,(YEAR(Tabla[[#This Row],[FECHA PAGO / ABONO]])))</f>
        <v>0</v>
      </c>
      <c r="AK734" s="41"/>
    </row>
    <row r="735" customFormat="false" ht="14.25" hidden="false" customHeight="false" outlineLevel="0" collapsed="false">
      <c r="A735" s="17" t="s">
        <v>127</v>
      </c>
      <c r="B735" s="18" t="s">
        <v>128</v>
      </c>
      <c r="C735" s="18" t="s">
        <v>69</v>
      </c>
      <c r="D735" s="18" t="n">
        <v>47588</v>
      </c>
      <c r="E735" s="21" t="str">
        <f aca="false">+CONCATENATE(Tabla[[#This Row],[RUT]],Tabla[[#This Row],[PROVEEDOR]],Tabla[[#This Row],[FACTURA]])</f>
        <v>84364100-8Publicidad Exterior Publivia SpA47588</v>
      </c>
      <c r="F735" s="30" t="n">
        <v>46157</v>
      </c>
      <c r="G735" s="31" t="n">
        <f aca="false">+F735+30</f>
        <v>46187</v>
      </c>
      <c r="H735" s="29" t="n">
        <f aca="true">+IF(AE735="PAGADA",0,TODAY()-G735)</f>
        <v>17</v>
      </c>
      <c r="I735" s="29" t="str">
        <f aca="false">+IF(H735&gt;180,"Atrasada",IF(H735&gt;150,"150 dias",IF(H735&gt;120,"120 dias",IF(H735&gt;90,"90 dias",IF(H735&gt;60,"60 dias",IF(H735&gt;30,"30 dias","Al Día"))))))</f>
        <v>Al Día</v>
      </c>
      <c r="J735" s="59" t="s">
        <v>80</v>
      </c>
      <c r="K735" s="60" t="s">
        <v>81</v>
      </c>
      <c r="L735" s="61" t="s">
        <v>326</v>
      </c>
      <c r="M735" s="29" t="n">
        <f aca="false">+YEAR(F735)</f>
        <v>2026</v>
      </c>
      <c r="N735" s="62" t="n">
        <v>2026</v>
      </c>
      <c r="O735" s="63" t="n">
        <v>4</v>
      </c>
      <c r="P735" s="29" t="str">
        <f aca="false">+CONCATENATE(Tabla[[#This Row],[MES CAMPAÑA]],"/",Tabla[[#This Row],[AÑO CAMPAÑA]])</f>
        <v>4/2026</v>
      </c>
      <c r="Q735" s="60" t="s">
        <v>92</v>
      </c>
      <c r="R735" s="29"/>
      <c r="S735" s="64" t="n">
        <v>0</v>
      </c>
      <c r="T735" s="64" t="n">
        <v>489257</v>
      </c>
      <c r="U735" s="64" t="n">
        <v>92959</v>
      </c>
      <c r="V735" s="65"/>
      <c r="W735" s="24" t="n">
        <v>582216</v>
      </c>
      <c r="X735" s="36"/>
      <c r="Y735" s="66"/>
      <c r="Z735" s="66"/>
      <c r="AA735" s="66"/>
      <c r="AB735" s="38" t="n">
        <f aca="false">+W735-AC735</f>
        <v>582216</v>
      </c>
      <c r="AC735" s="34" t="n">
        <f aca="false">+Tabla[[#This Row],[P4]]+Tabla[[#This Row],[P3]]+Tabla[[#This Row],[P2]]+Tabla[[#This Row],[P1]]</f>
        <v>0</v>
      </c>
      <c r="AD735" s="34" t="n">
        <f aca="false">+W735-AC735</f>
        <v>582216</v>
      </c>
      <c r="AE735" s="21" t="str">
        <f aca="false">IF(AB735&lt;1,"PAGADA","PENDIENTE")</f>
        <v>PENDIENTE</v>
      </c>
      <c r="AF735" s="67"/>
      <c r="AG735" s="29"/>
      <c r="AH735" s="68"/>
      <c r="AI735" s="40" t="n">
        <f aca="false">+IF(Tabla[[#This Row],[FECHA PAGO / ABONO]]&lt;1,0,(MONTH(Tabla[[#This Row],[FECHA PAGO / ABONO]])))</f>
        <v>0</v>
      </c>
      <c r="AJ735" s="40" t="n">
        <f aca="false">+IF(Tabla[[#This Row],[FECHA PAGO / ABONO]]&lt;1,0,(YEAR(Tabla[[#This Row],[FECHA PAGO / ABONO]])))</f>
        <v>0</v>
      </c>
      <c r="AK735" s="41"/>
    </row>
    <row r="736" customFormat="false" ht="14.25" hidden="false" customHeight="false" outlineLevel="0" collapsed="false">
      <c r="A736" s="17" t="s">
        <v>127</v>
      </c>
      <c r="B736" s="18" t="s">
        <v>128</v>
      </c>
      <c r="C736" s="18" t="s">
        <v>69</v>
      </c>
      <c r="D736" s="18" t="n">
        <v>47589</v>
      </c>
      <c r="E736" s="21" t="str">
        <f aca="false">+CONCATENATE(Tabla[[#This Row],[RUT]],Tabla[[#This Row],[PROVEEDOR]],Tabla[[#This Row],[FACTURA]])</f>
        <v>84364100-8Publicidad Exterior Publivia SpA47589</v>
      </c>
      <c r="F736" s="30" t="n">
        <v>46157</v>
      </c>
      <c r="G736" s="31" t="n">
        <f aca="false">+F736+30</f>
        <v>46187</v>
      </c>
      <c r="H736" s="29" t="n">
        <f aca="true">+IF(AE736="PAGADA",0,TODAY()-G736)</f>
        <v>17</v>
      </c>
      <c r="I736" s="29" t="str">
        <f aca="false">+IF(H736&gt;180,"Atrasada",IF(H736&gt;150,"150 dias",IF(H736&gt;120,"120 dias",IF(H736&gt;90,"90 dias",IF(H736&gt;60,"60 dias",IF(H736&gt;30,"30 dias","Al Día"))))))</f>
        <v>Al Día</v>
      </c>
      <c r="J736" s="59" t="s">
        <v>80</v>
      </c>
      <c r="K736" s="60" t="s">
        <v>81</v>
      </c>
      <c r="L736" s="61" t="s">
        <v>326</v>
      </c>
      <c r="M736" s="29" t="n">
        <f aca="false">+YEAR(F736)</f>
        <v>2026</v>
      </c>
      <c r="N736" s="62" t="n">
        <v>2026</v>
      </c>
      <c r="O736" s="63" t="n">
        <v>4</v>
      </c>
      <c r="P736" s="29" t="str">
        <f aca="false">+CONCATENATE(Tabla[[#This Row],[MES CAMPAÑA]],"/",Tabla[[#This Row],[AÑO CAMPAÑA]])</f>
        <v>4/2026</v>
      </c>
      <c r="Q736" s="60" t="s">
        <v>92</v>
      </c>
      <c r="R736" s="29"/>
      <c r="S736" s="64" t="n">
        <v>0</v>
      </c>
      <c r="T736" s="64" t="n">
        <v>361254</v>
      </c>
      <c r="U736" s="64" t="n">
        <v>68638</v>
      </c>
      <c r="V736" s="65"/>
      <c r="W736" s="24" t="n">
        <v>429892</v>
      </c>
      <c r="X736" s="36"/>
      <c r="Y736" s="66"/>
      <c r="Z736" s="66"/>
      <c r="AA736" s="66"/>
      <c r="AB736" s="38" t="n">
        <f aca="false">+W736-AC736</f>
        <v>429892</v>
      </c>
      <c r="AC736" s="34" t="n">
        <f aca="false">+Tabla[[#This Row],[P4]]+Tabla[[#This Row],[P3]]+Tabla[[#This Row],[P2]]+Tabla[[#This Row],[P1]]</f>
        <v>0</v>
      </c>
      <c r="AD736" s="34" t="n">
        <f aca="false">+W736-AC736</f>
        <v>429892</v>
      </c>
      <c r="AE736" s="21" t="str">
        <f aca="false">IF(AB736&lt;1,"PAGADA","PENDIENTE")</f>
        <v>PENDIENTE</v>
      </c>
      <c r="AF736" s="67"/>
      <c r="AG736" s="29"/>
      <c r="AH736" s="68"/>
      <c r="AI736" s="40" t="n">
        <f aca="false">+IF(Tabla[[#This Row],[FECHA PAGO / ABONO]]&lt;1,0,(MONTH(Tabla[[#This Row],[FECHA PAGO / ABONO]])))</f>
        <v>0</v>
      </c>
      <c r="AJ736" s="40" t="n">
        <f aca="false">+IF(Tabla[[#This Row],[FECHA PAGO / ABONO]]&lt;1,0,(YEAR(Tabla[[#This Row],[FECHA PAGO / ABONO]])))</f>
        <v>0</v>
      </c>
      <c r="AK736" s="41"/>
    </row>
    <row r="737" customFormat="false" ht="14.25" hidden="false" customHeight="false" outlineLevel="0" collapsed="false">
      <c r="A737" s="17" t="s">
        <v>127</v>
      </c>
      <c r="B737" s="18" t="s">
        <v>128</v>
      </c>
      <c r="C737" s="18" t="s">
        <v>69</v>
      </c>
      <c r="D737" s="18" t="n">
        <v>47590</v>
      </c>
      <c r="E737" s="21" t="str">
        <f aca="false">+CONCATENATE(Tabla[[#This Row],[RUT]],Tabla[[#This Row],[PROVEEDOR]],Tabla[[#This Row],[FACTURA]])</f>
        <v>84364100-8Publicidad Exterior Publivia SpA47590</v>
      </c>
      <c r="F737" s="30" t="n">
        <v>46157</v>
      </c>
      <c r="G737" s="31" t="n">
        <f aca="false">+F737+30</f>
        <v>46187</v>
      </c>
      <c r="H737" s="29" t="n">
        <f aca="true">+IF(AE737="PAGADA",0,TODAY()-G737)</f>
        <v>17</v>
      </c>
      <c r="I737" s="29" t="str">
        <f aca="false">+IF(H737&gt;180,"Atrasada",IF(H737&gt;150,"150 dias",IF(H737&gt;120,"120 dias",IF(H737&gt;90,"90 dias",IF(H737&gt;60,"60 dias",IF(H737&gt;30,"30 dias","Al Día"))))))</f>
        <v>Al Día</v>
      </c>
      <c r="J737" s="59" t="s">
        <v>80</v>
      </c>
      <c r="K737" s="60" t="s">
        <v>81</v>
      </c>
      <c r="L737" s="61" t="s">
        <v>326</v>
      </c>
      <c r="M737" s="29" t="n">
        <f aca="false">+YEAR(F737)</f>
        <v>2026</v>
      </c>
      <c r="N737" s="62" t="n">
        <v>2026</v>
      </c>
      <c r="O737" s="63" t="n">
        <v>4</v>
      </c>
      <c r="P737" s="29" t="str">
        <f aca="false">+CONCATENATE(Tabla[[#This Row],[MES CAMPAÑA]],"/",Tabla[[#This Row],[AÑO CAMPAÑA]])</f>
        <v>4/2026</v>
      </c>
      <c r="Q737" s="60" t="s">
        <v>92</v>
      </c>
      <c r="R737" s="29"/>
      <c r="S737" s="64" t="n">
        <v>0</v>
      </c>
      <c r="T737" s="64" t="n">
        <v>641156</v>
      </c>
      <c r="U737" s="64" t="n">
        <v>121820</v>
      </c>
      <c r="V737" s="65"/>
      <c r="W737" s="24" t="n">
        <v>762976</v>
      </c>
      <c r="X737" s="36"/>
      <c r="Y737" s="66"/>
      <c r="Z737" s="66"/>
      <c r="AA737" s="66"/>
      <c r="AB737" s="38" t="n">
        <f aca="false">+W737-AC737</f>
        <v>762976</v>
      </c>
      <c r="AC737" s="34" t="n">
        <f aca="false">+Tabla[[#This Row],[P4]]+Tabla[[#This Row],[P3]]+Tabla[[#This Row],[P2]]+Tabla[[#This Row],[P1]]</f>
        <v>0</v>
      </c>
      <c r="AD737" s="34" t="n">
        <f aca="false">+W737-AC737</f>
        <v>762976</v>
      </c>
      <c r="AE737" s="21" t="str">
        <f aca="false">IF(AB737&lt;1,"PAGADA","PENDIENTE")</f>
        <v>PENDIENTE</v>
      </c>
      <c r="AF737" s="67"/>
      <c r="AG737" s="29"/>
      <c r="AH737" s="68"/>
      <c r="AI737" s="40" t="n">
        <f aca="false">+IF(Tabla[[#This Row],[FECHA PAGO / ABONO]]&lt;1,0,(MONTH(Tabla[[#This Row],[FECHA PAGO / ABONO]])))</f>
        <v>0</v>
      </c>
      <c r="AJ737" s="40" t="n">
        <f aca="false">+IF(Tabla[[#This Row],[FECHA PAGO / ABONO]]&lt;1,0,(YEAR(Tabla[[#This Row],[FECHA PAGO / ABONO]])))</f>
        <v>0</v>
      </c>
      <c r="AK737" s="41"/>
    </row>
    <row r="738" customFormat="false" ht="14.25" hidden="false" customHeight="false" outlineLevel="0" collapsed="false">
      <c r="A738" s="17" t="s">
        <v>127</v>
      </c>
      <c r="B738" s="18" t="s">
        <v>128</v>
      </c>
      <c r="C738" s="18" t="s">
        <v>69</v>
      </c>
      <c r="D738" s="18" t="n">
        <v>47591</v>
      </c>
      <c r="E738" s="21" t="str">
        <f aca="false">+CONCATENATE(Tabla[[#This Row],[RUT]],Tabla[[#This Row],[PROVEEDOR]],Tabla[[#This Row],[FACTURA]])</f>
        <v>84364100-8Publicidad Exterior Publivia SpA47591</v>
      </c>
      <c r="F738" s="30" t="n">
        <v>46157</v>
      </c>
      <c r="G738" s="31" t="n">
        <f aca="false">+F738+30</f>
        <v>46187</v>
      </c>
      <c r="H738" s="29" t="n">
        <f aca="true">+IF(AE738="PAGADA",0,TODAY()-G738)</f>
        <v>17</v>
      </c>
      <c r="I738" s="29" t="str">
        <f aca="false">+IF(H738&gt;180,"Atrasada",IF(H738&gt;150,"150 dias",IF(H738&gt;120,"120 dias",IF(H738&gt;90,"90 dias",IF(H738&gt;60,"60 dias",IF(H738&gt;30,"30 dias","Al Día"))))))</f>
        <v>Al Día</v>
      </c>
      <c r="J738" s="59" t="s">
        <v>80</v>
      </c>
      <c r="K738" s="60" t="s">
        <v>81</v>
      </c>
      <c r="L738" s="61" t="s">
        <v>326</v>
      </c>
      <c r="M738" s="29" t="n">
        <f aca="false">+YEAR(F738)</f>
        <v>2026</v>
      </c>
      <c r="N738" s="62" t="n">
        <v>2026</v>
      </c>
      <c r="O738" s="63" t="n">
        <v>4</v>
      </c>
      <c r="P738" s="29" t="str">
        <f aca="false">+CONCATENATE(Tabla[[#This Row],[MES CAMPAÑA]],"/",Tabla[[#This Row],[AÑO CAMPAÑA]])</f>
        <v>4/2026</v>
      </c>
      <c r="Q738" s="60" t="s">
        <v>92</v>
      </c>
      <c r="R738" s="29"/>
      <c r="S738" s="64" t="n">
        <v>0</v>
      </c>
      <c r="T738" s="64" t="n">
        <v>488041</v>
      </c>
      <c r="U738" s="64" t="n">
        <v>92728</v>
      </c>
      <c r="V738" s="65"/>
      <c r="W738" s="24" t="n">
        <v>580769</v>
      </c>
      <c r="X738" s="36"/>
      <c r="Y738" s="66"/>
      <c r="Z738" s="66"/>
      <c r="AA738" s="66"/>
      <c r="AB738" s="38" t="n">
        <f aca="false">+W738-AC738</f>
        <v>580769</v>
      </c>
      <c r="AC738" s="34" t="n">
        <f aca="false">+Tabla[[#This Row],[P4]]+Tabla[[#This Row],[P3]]+Tabla[[#This Row],[P2]]+Tabla[[#This Row],[P1]]</f>
        <v>0</v>
      </c>
      <c r="AD738" s="34" t="n">
        <f aca="false">+W738-AC738</f>
        <v>580769</v>
      </c>
      <c r="AE738" s="21" t="str">
        <f aca="false">IF(AB738&lt;1,"PAGADA","PENDIENTE")</f>
        <v>PENDIENTE</v>
      </c>
      <c r="AF738" s="67"/>
      <c r="AG738" s="29"/>
      <c r="AH738" s="68"/>
      <c r="AI738" s="40" t="n">
        <f aca="false">+IF(Tabla[[#This Row],[FECHA PAGO / ABONO]]&lt;1,0,(MONTH(Tabla[[#This Row],[FECHA PAGO / ABONO]])))</f>
        <v>0</v>
      </c>
      <c r="AJ738" s="40" t="n">
        <f aca="false">+IF(Tabla[[#This Row],[FECHA PAGO / ABONO]]&lt;1,0,(YEAR(Tabla[[#This Row],[FECHA PAGO / ABONO]])))</f>
        <v>0</v>
      </c>
      <c r="AK738" s="41"/>
    </row>
    <row r="739" customFormat="false" ht="14.25" hidden="false" customHeight="false" outlineLevel="0" collapsed="false">
      <c r="A739" s="17" t="s">
        <v>127</v>
      </c>
      <c r="B739" s="18" t="s">
        <v>128</v>
      </c>
      <c r="C739" s="18" t="s">
        <v>69</v>
      </c>
      <c r="D739" s="18" t="n">
        <v>47592</v>
      </c>
      <c r="E739" s="21" t="str">
        <f aca="false">+CONCATENATE(Tabla[[#This Row],[RUT]],Tabla[[#This Row],[PROVEEDOR]],Tabla[[#This Row],[FACTURA]])</f>
        <v>84364100-8Publicidad Exterior Publivia SpA47592</v>
      </c>
      <c r="F739" s="30" t="n">
        <v>46157</v>
      </c>
      <c r="G739" s="31" t="n">
        <f aca="false">+F739+30</f>
        <v>46187</v>
      </c>
      <c r="H739" s="29" t="n">
        <f aca="true">+IF(AE739="PAGADA",0,TODAY()-G739)</f>
        <v>17</v>
      </c>
      <c r="I739" s="29" t="str">
        <f aca="false">+IF(H739&gt;180,"Atrasada",IF(H739&gt;150,"150 dias",IF(H739&gt;120,"120 dias",IF(H739&gt;90,"90 dias",IF(H739&gt;60,"60 dias",IF(H739&gt;30,"30 dias","Al Día"))))))</f>
        <v>Al Día</v>
      </c>
      <c r="J739" s="59" t="s">
        <v>80</v>
      </c>
      <c r="K739" s="60" t="s">
        <v>81</v>
      </c>
      <c r="L739" s="61" t="s">
        <v>326</v>
      </c>
      <c r="M739" s="29" t="n">
        <f aca="false">+YEAR(F739)</f>
        <v>2026</v>
      </c>
      <c r="N739" s="62" t="n">
        <v>2026</v>
      </c>
      <c r="O739" s="63" t="n">
        <v>4</v>
      </c>
      <c r="P739" s="29" t="str">
        <f aca="false">+CONCATENATE(Tabla[[#This Row],[MES CAMPAÑA]],"/",Tabla[[#This Row],[AÑO CAMPAÑA]])</f>
        <v>4/2026</v>
      </c>
      <c r="Q739" s="60" t="s">
        <v>92</v>
      </c>
      <c r="R739" s="29"/>
      <c r="S739" s="64" t="n">
        <v>0</v>
      </c>
      <c r="T739" s="64" t="n">
        <v>378343</v>
      </c>
      <c r="U739" s="64" t="n">
        <v>71885</v>
      </c>
      <c r="V739" s="65"/>
      <c r="W739" s="24" t="n">
        <v>450228</v>
      </c>
      <c r="X739" s="36"/>
      <c r="Y739" s="66"/>
      <c r="Z739" s="66"/>
      <c r="AA739" s="66"/>
      <c r="AB739" s="38" t="n">
        <f aca="false">+W739-AC739</f>
        <v>450228</v>
      </c>
      <c r="AC739" s="34" t="n">
        <f aca="false">+Tabla[[#This Row],[P4]]+Tabla[[#This Row],[P3]]+Tabla[[#This Row],[P2]]+Tabla[[#This Row],[P1]]</f>
        <v>0</v>
      </c>
      <c r="AD739" s="34" t="n">
        <f aca="false">+W739-AC739</f>
        <v>450228</v>
      </c>
      <c r="AE739" s="21" t="str">
        <f aca="false">IF(AB739&lt;1,"PAGADA","PENDIENTE")</f>
        <v>PENDIENTE</v>
      </c>
      <c r="AF739" s="67"/>
      <c r="AG739" s="29"/>
      <c r="AH739" s="68"/>
      <c r="AI739" s="40" t="n">
        <f aca="false">+IF(Tabla[[#This Row],[FECHA PAGO / ABONO]]&lt;1,0,(MONTH(Tabla[[#This Row],[FECHA PAGO / ABONO]])))</f>
        <v>0</v>
      </c>
      <c r="AJ739" s="40" t="n">
        <f aca="false">+IF(Tabla[[#This Row],[FECHA PAGO / ABONO]]&lt;1,0,(YEAR(Tabla[[#This Row],[FECHA PAGO / ABONO]])))</f>
        <v>0</v>
      </c>
      <c r="AK739" s="41"/>
    </row>
    <row r="740" customFormat="false" ht="14.25" hidden="false" customHeight="false" outlineLevel="0" collapsed="false">
      <c r="A740" s="17" t="s">
        <v>127</v>
      </c>
      <c r="B740" s="18" t="s">
        <v>128</v>
      </c>
      <c r="C740" s="18" t="s">
        <v>69</v>
      </c>
      <c r="D740" s="18" t="n">
        <v>47593</v>
      </c>
      <c r="E740" s="21" t="str">
        <f aca="false">+CONCATENATE(Tabla[[#This Row],[RUT]],Tabla[[#This Row],[PROVEEDOR]],Tabla[[#This Row],[FACTURA]])</f>
        <v>84364100-8Publicidad Exterior Publivia SpA47593</v>
      </c>
      <c r="F740" s="30" t="n">
        <v>46157</v>
      </c>
      <c r="G740" s="31" t="n">
        <f aca="false">+F740+30</f>
        <v>46187</v>
      </c>
      <c r="H740" s="29" t="n">
        <f aca="true">+IF(AE740="PAGADA",0,TODAY()-G740)</f>
        <v>17</v>
      </c>
      <c r="I740" s="29" t="str">
        <f aca="false">+IF(H740&gt;180,"Atrasada",IF(H740&gt;150,"150 dias",IF(H740&gt;120,"120 dias",IF(H740&gt;90,"90 dias",IF(H740&gt;60,"60 dias",IF(H740&gt;30,"30 dias","Al Día"))))))</f>
        <v>Al Día</v>
      </c>
      <c r="J740" s="59" t="s">
        <v>80</v>
      </c>
      <c r="K740" s="60" t="s">
        <v>81</v>
      </c>
      <c r="L740" s="61" t="s">
        <v>326</v>
      </c>
      <c r="M740" s="29" t="n">
        <f aca="false">+YEAR(F740)</f>
        <v>2026</v>
      </c>
      <c r="N740" s="62" t="n">
        <v>2026</v>
      </c>
      <c r="O740" s="63" t="n">
        <v>4</v>
      </c>
      <c r="P740" s="29" t="str">
        <f aca="false">+CONCATENATE(Tabla[[#This Row],[MES CAMPAÑA]],"/",Tabla[[#This Row],[AÑO CAMPAÑA]])</f>
        <v>4/2026</v>
      </c>
      <c r="Q740" s="60" t="s">
        <v>92</v>
      </c>
      <c r="R740" s="29"/>
      <c r="S740" s="64" t="n">
        <v>0</v>
      </c>
      <c r="T740" s="64" t="n">
        <v>429411</v>
      </c>
      <c r="U740" s="64" t="n">
        <v>81588</v>
      </c>
      <c r="V740" s="65"/>
      <c r="W740" s="24" t="n">
        <v>510999</v>
      </c>
      <c r="X740" s="36"/>
      <c r="Y740" s="66"/>
      <c r="Z740" s="66"/>
      <c r="AA740" s="66"/>
      <c r="AB740" s="38" t="n">
        <f aca="false">+W740-AC740</f>
        <v>510999</v>
      </c>
      <c r="AC740" s="34" t="n">
        <f aca="false">+Tabla[[#This Row],[P4]]+Tabla[[#This Row],[P3]]+Tabla[[#This Row],[P2]]+Tabla[[#This Row],[P1]]</f>
        <v>0</v>
      </c>
      <c r="AD740" s="34" t="n">
        <f aca="false">+W740-AC740</f>
        <v>510999</v>
      </c>
      <c r="AE740" s="21" t="str">
        <f aca="false">IF(AB740&lt;1,"PAGADA","PENDIENTE")</f>
        <v>PENDIENTE</v>
      </c>
      <c r="AF740" s="67"/>
      <c r="AG740" s="29"/>
      <c r="AH740" s="68"/>
      <c r="AI740" s="40" t="n">
        <f aca="false">+IF(Tabla[[#This Row],[FECHA PAGO / ABONO]]&lt;1,0,(MONTH(Tabla[[#This Row],[FECHA PAGO / ABONO]])))</f>
        <v>0</v>
      </c>
      <c r="AJ740" s="40" t="n">
        <f aca="false">+IF(Tabla[[#This Row],[FECHA PAGO / ABONO]]&lt;1,0,(YEAR(Tabla[[#This Row],[FECHA PAGO / ABONO]])))</f>
        <v>0</v>
      </c>
      <c r="AK740" s="41"/>
    </row>
    <row r="741" customFormat="false" ht="14.25" hidden="false" customHeight="false" outlineLevel="0" collapsed="false">
      <c r="A741" s="17" t="s">
        <v>127</v>
      </c>
      <c r="B741" s="18" t="s">
        <v>128</v>
      </c>
      <c r="C741" s="18" t="s">
        <v>69</v>
      </c>
      <c r="D741" s="18" t="n">
        <v>47594</v>
      </c>
      <c r="E741" s="21" t="str">
        <f aca="false">+CONCATENATE(Tabla[[#This Row],[RUT]],Tabla[[#This Row],[PROVEEDOR]],Tabla[[#This Row],[FACTURA]])</f>
        <v>84364100-8Publicidad Exterior Publivia SpA47594</v>
      </c>
      <c r="F741" s="30" t="n">
        <v>46157</v>
      </c>
      <c r="G741" s="31" t="n">
        <f aca="false">+F741+30</f>
        <v>46187</v>
      </c>
      <c r="H741" s="29" t="n">
        <f aca="true">+IF(AE741="PAGADA",0,TODAY()-G741)</f>
        <v>17</v>
      </c>
      <c r="I741" s="29" t="str">
        <f aca="false">+IF(H741&gt;180,"Atrasada",IF(H741&gt;150,"150 dias",IF(H741&gt;120,"120 dias",IF(H741&gt;90,"90 dias",IF(H741&gt;60,"60 dias",IF(H741&gt;30,"30 dias","Al Día"))))))</f>
        <v>Al Día</v>
      </c>
      <c r="J741" s="59" t="s">
        <v>80</v>
      </c>
      <c r="K741" s="60" t="s">
        <v>81</v>
      </c>
      <c r="L741" s="61" t="s">
        <v>326</v>
      </c>
      <c r="M741" s="29" t="n">
        <f aca="false">+YEAR(F741)</f>
        <v>2026</v>
      </c>
      <c r="N741" s="62" t="n">
        <v>2026</v>
      </c>
      <c r="O741" s="63" t="n">
        <v>4</v>
      </c>
      <c r="P741" s="29" t="str">
        <f aca="false">+CONCATENATE(Tabla[[#This Row],[MES CAMPAÑA]],"/",Tabla[[#This Row],[AÑO CAMPAÑA]])</f>
        <v>4/2026</v>
      </c>
      <c r="Q741" s="60" t="s">
        <v>92</v>
      </c>
      <c r="R741" s="29"/>
      <c r="S741" s="64" t="n">
        <v>0</v>
      </c>
      <c r="T741" s="64" t="n">
        <v>361254</v>
      </c>
      <c r="U741" s="64" t="n">
        <v>68638</v>
      </c>
      <c r="V741" s="65"/>
      <c r="W741" s="24" t="n">
        <v>429892</v>
      </c>
      <c r="X741" s="36"/>
      <c r="Y741" s="66"/>
      <c r="Z741" s="66"/>
      <c r="AA741" s="66"/>
      <c r="AB741" s="38" t="n">
        <f aca="false">+W741-AC741</f>
        <v>429892</v>
      </c>
      <c r="AC741" s="34" t="n">
        <f aca="false">+Tabla[[#This Row],[P4]]+Tabla[[#This Row],[P3]]+Tabla[[#This Row],[P2]]+Tabla[[#This Row],[P1]]</f>
        <v>0</v>
      </c>
      <c r="AD741" s="34" t="n">
        <f aca="false">+W741-AC741</f>
        <v>429892</v>
      </c>
      <c r="AE741" s="21" t="str">
        <f aca="false">IF(AB741&lt;1,"PAGADA","PENDIENTE")</f>
        <v>PENDIENTE</v>
      </c>
      <c r="AF741" s="67"/>
      <c r="AG741" s="29"/>
      <c r="AH741" s="68"/>
      <c r="AI741" s="40" t="n">
        <f aca="false">+IF(Tabla[[#This Row],[FECHA PAGO / ABONO]]&lt;1,0,(MONTH(Tabla[[#This Row],[FECHA PAGO / ABONO]])))</f>
        <v>0</v>
      </c>
      <c r="AJ741" s="40" t="n">
        <f aca="false">+IF(Tabla[[#This Row],[FECHA PAGO / ABONO]]&lt;1,0,(YEAR(Tabla[[#This Row],[FECHA PAGO / ABONO]])))</f>
        <v>0</v>
      </c>
      <c r="AK741" s="41"/>
    </row>
    <row r="742" customFormat="false" ht="14.25" hidden="false" customHeight="false" outlineLevel="0" collapsed="false">
      <c r="A742" s="17" t="s">
        <v>127</v>
      </c>
      <c r="B742" s="18" t="s">
        <v>128</v>
      </c>
      <c r="C742" s="18" t="s">
        <v>69</v>
      </c>
      <c r="D742" s="18" t="n">
        <v>47595</v>
      </c>
      <c r="E742" s="21" t="str">
        <f aca="false">+CONCATENATE(Tabla[[#This Row],[RUT]],Tabla[[#This Row],[PROVEEDOR]],Tabla[[#This Row],[FACTURA]])</f>
        <v>84364100-8Publicidad Exterior Publivia SpA47595</v>
      </c>
      <c r="F742" s="30" t="n">
        <v>46157</v>
      </c>
      <c r="G742" s="31" t="n">
        <f aca="false">+F742+30</f>
        <v>46187</v>
      </c>
      <c r="H742" s="29" t="n">
        <f aca="true">+IF(AE742="PAGADA",0,TODAY()-G742)</f>
        <v>17</v>
      </c>
      <c r="I742" s="29" t="str">
        <f aca="false">+IF(H742&gt;180,"Atrasada",IF(H742&gt;150,"150 dias",IF(H742&gt;120,"120 dias",IF(H742&gt;90,"90 dias",IF(H742&gt;60,"60 dias",IF(H742&gt;30,"30 dias","Al Día"))))))</f>
        <v>Al Día</v>
      </c>
      <c r="J742" s="59" t="s">
        <v>80</v>
      </c>
      <c r="K742" s="60" t="s">
        <v>81</v>
      </c>
      <c r="L742" s="61" t="s">
        <v>326</v>
      </c>
      <c r="M742" s="29" t="n">
        <f aca="false">+YEAR(F742)</f>
        <v>2026</v>
      </c>
      <c r="N742" s="62" t="n">
        <v>2026</v>
      </c>
      <c r="O742" s="63" t="n">
        <v>4</v>
      </c>
      <c r="P742" s="29" t="str">
        <f aca="false">+CONCATENATE(Tabla[[#This Row],[MES CAMPAÑA]],"/",Tabla[[#This Row],[AÑO CAMPAÑA]])</f>
        <v>4/2026</v>
      </c>
      <c r="Q742" s="60" t="s">
        <v>92</v>
      </c>
      <c r="R742" s="29"/>
      <c r="S742" s="64" t="n">
        <v>0</v>
      </c>
      <c r="T742" s="64" t="n">
        <v>361254</v>
      </c>
      <c r="U742" s="64" t="n">
        <v>68638</v>
      </c>
      <c r="V742" s="65"/>
      <c r="W742" s="24" t="n">
        <v>429892</v>
      </c>
      <c r="X742" s="36"/>
      <c r="Y742" s="66"/>
      <c r="Z742" s="66"/>
      <c r="AA742" s="66"/>
      <c r="AB742" s="38" t="n">
        <f aca="false">+W742-AC742</f>
        <v>429892</v>
      </c>
      <c r="AC742" s="34" t="n">
        <f aca="false">+Tabla[[#This Row],[P4]]+Tabla[[#This Row],[P3]]+Tabla[[#This Row],[P2]]+Tabla[[#This Row],[P1]]</f>
        <v>0</v>
      </c>
      <c r="AD742" s="34" t="n">
        <f aca="false">+W742-AC742</f>
        <v>429892</v>
      </c>
      <c r="AE742" s="21" t="str">
        <f aca="false">IF(AB742&lt;1,"PAGADA","PENDIENTE")</f>
        <v>PENDIENTE</v>
      </c>
      <c r="AF742" s="67"/>
      <c r="AG742" s="29"/>
      <c r="AH742" s="68"/>
      <c r="AI742" s="40" t="n">
        <f aca="false">+IF(Tabla[[#This Row],[FECHA PAGO / ABONO]]&lt;1,0,(MONTH(Tabla[[#This Row],[FECHA PAGO / ABONO]])))</f>
        <v>0</v>
      </c>
      <c r="AJ742" s="40" t="n">
        <f aca="false">+IF(Tabla[[#This Row],[FECHA PAGO / ABONO]]&lt;1,0,(YEAR(Tabla[[#This Row],[FECHA PAGO / ABONO]])))</f>
        <v>0</v>
      </c>
      <c r="AK742" s="41"/>
    </row>
    <row r="743" customFormat="false" ht="14.25" hidden="false" customHeight="false" outlineLevel="0" collapsed="false">
      <c r="A743" s="17" t="s">
        <v>127</v>
      </c>
      <c r="B743" s="18" t="s">
        <v>128</v>
      </c>
      <c r="C743" s="18" t="s">
        <v>69</v>
      </c>
      <c r="D743" s="18" t="n">
        <v>47596</v>
      </c>
      <c r="E743" s="21" t="str">
        <f aca="false">+CONCATENATE(Tabla[[#This Row],[RUT]],Tabla[[#This Row],[PROVEEDOR]],Tabla[[#This Row],[FACTURA]])</f>
        <v>84364100-8Publicidad Exterior Publivia SpA47596</v>
      </c>
      <c r="F743" s="30" t="n">
        <v>46157</v>
      </c>
      <c r="G743" s="31" t="n">
        <f aca="false">+F743+30</f>
        <v>46187</v>
      </c>
      <c r="H743" s="29" t="n">
        <f aca="true">+IF(AE743="PAGADA",0,TODAY()-G743)</f>
        <v>17</v>
      </c>
      <c r="I743" s="29" t="str">
        <f aca="false">+IF(H743&gt;180,"Atrasada",IF(H743&gt;150,"150 dias",IF(H743&gt;120,"120 dias",IF(H743&gt;90,"90 dias",IF(H743&gt;60,"60 dias",IF(H743&gt;30,"30 dias","Al Día"))))))</f>
        <v>Al Día</v>
      </c>
      <c r="J743" s="59" t="s">
        <v>80</v>
      </c>
      <c r="K743" s="60" t="s">
        <v>81</v>
      </c>
      <c r="L743" s="61" t="s">
        <v>326</v>
      </c>
      <c r="M743" s="29" t="n">
        <f aca="false">+YEAR(F743)</f>
        <v>2026</v>
      </c>
      <c r="N743" s="62" t="n">
        <v>2026</v>
      </c>
      <c r="O743" s="63" t="n">
        <v>4</v>
      </c>
      <c r="P743" s="29" t="str">
        <f aca="false">+CONCATENATE(Tabla[[#This Row],[MES CAMPAÑA]],"/",Tabla[[#This Row],[AÑO CAMPAÑA]])</f>
        <v>4/2026</v>
      </c>
      <c r="Q743" s="60" t="s">
        <v>92</v>
      </c>
      <c r="R743" s="29"/>
      <c r="S743" s="64" t="n">
        <v>0</v>
      </c>
      <c r="T743" s="64" t="n">
        <v>432640</v>
      </c>
      <c r="U743" s="64" t="n">
        <v>82202</v>
      </c>
      <c r="V743" s="65"/>
      <c r="W743" s="24" t="n">
        <v>514842</v>
      </c>
      <c r="X743" s="36"/>
      <c r="Y743" s="66"/>
      <c r="Z743" s="66"/>
      <c r="AA743" s="66"/>
      <c r="AB743" s="38" t="n">
        <f aca="false">+W743-AC743</f>
        <v>514842</v>
      </c>
      <c r="AC743" s="34" t="n">
        <f aca="false">+Tabla[[#This Row],[P4]]+Tabla[[#This Row],[P3]]+Tabla[[#This Row],[P2]]+Tabla[[#This Row],[P1]]</f>
        <v>0</v>
      </c>
      <c r="AD743" s="34" t="n">
        <f aca="false">+W743-AC743</f>
        <v>514842</v>
      </c>
      <c r="AE743" s="21" t="str">
        <f aca="false">IF(AB743&lt;1,"PAGADA","PENDIENTE")</f>
        <v>PENDIENTE</v>
      </c>
      <c r="AF743" s="67"/>
      <c r="AG743" s="29"/>
      <c r="AH743" s="68"/>
      <c r="AI743" s="40" t="n">
        <f aca="false">+IF(Tabla[[#This Row],[FECHA PAGO / ABONO]]&lt;1,0,(MONTH(Tabla[[#This Row],[FECHA PAGO / ABONO]])))</f>
        <v>0</v>
      </c>
      <c r="AJ743" s="40" t="n">
        <f aca="false">+IF(Tabla[[#This Row],[FECHA PAGO / ABONO]]&lt;1,0,(YEAR(Tabla[[#This Row],[FECHA PAGO / ABONO]])))</f>
        <v>0</v>
      </c>
      <c r="AK743" s="41"/>
    </row>
    <row r="744" customFormat="false" ht="14.25" hidden="false" customHeight="false" outlineLevel="0" collapsed="false">
      <c r="A744" s="17" t="s">
        <v>127</v>
      </c>
      <c r="B744" s="18" t="s">
        <v>128</v>
      </c>
      <c r="C744" s="18" t="s">
        <v>69</v>
      </c>
      <c r="D744" s="18" t="n">
        <v>47597</v>
      </c>
      <c r="E744" s="21" t="str">
        <f aca="false">+CONCATENATE(Tabla[[#This Row],[RUT]],Tabla[[#This Row],[PROVEEDOR]],Tabla[[#This Row],[FACTURA]])</f>
        <v>84364100-8Publicidad Exterior Publivia SpA47597</v>
      </c>
      <c r="F744" s="30" t="n">
        <v>46157</v>
      </c>
      <c r="G744" s="31" t="n">
        <f aca="false">+F744+30</f>
        <v>46187</v>
      </c>
      <c r="H744" s="29" t="n">
        <f aca="true">+IF(AE744="PAGADA",0,TODAY()-G744)</f>
        <v>17</v>
      </c>
      <c r="I744" s="29" t="str">
        <f aca="false">+IF(H744&gt;180,"Atrasada",IF(H744&gt;150,"150 dias",IF(H744&gt;120,"120 dias",IF(H744&gt;90,"90 dias",IF(H744&gt;60,"60 dias",IF(H744&gt;30,"30 dias","Al Día"))))))</f>
        <v>Al Día</v>
      </c>
      <c r="J744" s="59" t="s">
        <v>80</v>
      </c>
      <c r="K744" s="60" t="s">
        <v>81</v>
      </c>
      <c r="L744" s="61" t="s">
        <v>326</v>
      </c>
      <c r="M744" s="29" t="n">
        <f aca="false">+YEAR(F744)</f>
        <v>2026</v>
      </c>
      <c r="N744" s="62" t="n">
        <v>2026</v>
      </c>
      <c r="O744" s="63" t="n">
        <v>4</v>
      </c>
      <c r="P744" s="29" t="str">
        <f aca="false">+CONCATENATE(Tabla[[#This Row],[MES CAMPAÑA]],"/",Tabla[[#This Row],[AÑO CAMPAÑA]])</f>
        <v>4/2026</v>
      </c>
      <c r="Q744" s="60" t="s">
        <v>92</v>
      </c>
      <c r="R744" s="29"/>
      <c r="S744" s="64" t="n">
        <v>0</v>
      </c>
      <c r="T744" s="64" t="n">
        <v>1095995</v>
      </c>
      <c r="U744" s="64" t="n">
        <v>208239</v>
      </c>
      <c r="V744" s="65"/>
      <c r="W744" s="24" t="n">
        <v>1304234</v>
      </c>
      <c r="X744" s="36"/>
      <c r="Y744" s="66"/>
      <c r="Z744" s="66"/>
      <c r="AA744" s="66"/>
      <c r="AB744" s="38" t="n">
        <f aca="false">+W744-AC744</f>
        <v>1304234</v>
      </c>
      <c r="AC744" s="34" t="n">
        <f aca="false">+Tabla[[#This Row],[P4]]+Tabla[[#This Row],[P3]]+Tabla[[#This Row],[P2]]+Tabla[[#This Row],[P1]]</f>
        <v>0</v>
      </c>
      <c r="AD744" s="34" t="n">
        <f aca="false">+W744-AC744</f>
        <v>1304234</v>
      </c>
      <c r="AE744" s="21" t="str">
        <f aca="false">IF(AB744&lt;1,"PAGADA","PENDIENTE")</f>
        <v>PENDIENTE</v>
      </c>
      <c r="AF744" s="67"/>
      <c r="AG744" s="29"/>
      <c r="AH744" s="68"/>
      <c r="AI744" s="40" t="n">
        <f aca="false">+IF(Tabla[[#This Row],[FECHA PAGO / ABONO]]&lt;1,0,(MONTH(Tabla[[#This Row],[FECHA PAGO / ABONO]])))</f>
        <v>0</v>
      </c>
      <c r="AJ744" s="40" t="n">
        <f aca="false">+IF(Tabla[[#This Row],[FECHA PAGO / ABONO]]&lt;1,0,(YEAR(Tabla[[#This Row],[FECHA PAGO / ABONO]])))</f>
        <v>0</v>
      </c>
      <c r="AK744" s="41"/>
    </row>
    <row r="745" customFormat="false" ht="14.25" hidden="false" customHeight="false" outlineLevel="0" collapsed="false">
      <c r="A745" s="17" t="s">
        <v>127</v>
      </c>
      <c r="B745" s="18" t="s">
        <v>128</v>
      </c>
      <c r="C745" s="18" t="s">
        <v>69</v>
      </c>
      <c r="D745" s="18" t="n">
        <v>47598</v>
      </c>
      <c r="E745" s="21" t="str">
        <f aca="false">+CONCATENATE(Tabla[[#This Row],[RUT]],Tabla[[#This Row],[PROVEEDOR]],Tabla[[#This Row],[FACTURA]])</f>
        <v>84364100-8Publicidad Exterior Publivia SpA47598</v>
      </c>
      <c r="F745" s="30" t="n">
        <v>46157</v>
      </c>
      <c r="G745" s="31" t="n">
        <f aca="false">+F745+30</f>
        <v>46187</v>
      </c>
      <c r="H745" s="29" t="n">
        <f aca="true">+IF(AE745="PAGADA",0,TODAY()-G745)</f>
        <v>17</v>
      </c>
      <c r="I745" s="29" t="str">
        <f aca="false">+IF(H745&gt;180,"Atrasada",IF(H745&gt;150,"150 dias",IF(H745&gt;120,"120 dias",IF(H745&gt;90,"90 dias",IF(H745&gt;60,"60 dias",IF(H745&gt;30,"30 dias","Al Día"))))))</f>
        <v>Al Día</v>
      </c>
      <c r="J745" s="59" t="s">
        <v>80</v>
      </c>
      <c r="K745" s="60" t="s">
        <v>81</v>
      </c>
      <c r="L745" s="61" t="s">
        <v>326</v>
      </c>
      <c r="M745" s="29" t="n">
        <f aca="false">+YEAR(F745)</f>
        <v>2026</v>
      </c>
      <c r="N745" s="62" t="n">
        <v>2026</v>
      </c>
      <c r="O745" s="63" t="n">
        <v>4</v>
      </c>
      <c r="P745" s="29" t="str">
        <f aca="false">+CONCATENATE(Tabla[[#This Row],[MES CAMPAÑA]],"/",Tabla[[#This Row],[AÑO CAMPAÑA]])</f>
        <v>4/2026</v>
      </c>
      <c r="Q745" s="60" t="s">
        <v>92</v>
      </c>
      <c r="R745" s="29"/>
      <c r="S745" s="64" t="n">
        <v>0</v>
      </c>
      <c r="T745" s="64" t="n">
        <v>412738</v>
      </c>
      <c r="U745" s="64" t="n">
        <v>78420</v>
      </c>
      <c r="V745" s="65"/>
      <c r="W745" s="24" t="n">
        <v>491158</v>
      </c>
      <c r="X745" s="36"/>
      <c r="Y745" s="66"/>
      <c r="Z745" s="66"/>
      <c r="AA745" s="66"/>
      <c r="AB745" s="38" t="n">
        <f aca="false">+W745-AC745</f>
        <v>491158</v>
      </c>
      <c r="AC745" s="34" t="n">
        <f aca="false">+Tabla[[#This Row],[P4]]+Tabla[[#This Row],[P3]]+Tabla[[#This Row],[P2]]+Tabla[[#This Row],[P1]]</f>
        <v>0</v>
      </c>
      <c r="AD745" s="34" t="n">
        <f aca="false">+W745-AC745</f>
        <v>491158</v>
      </c>
      <c r="AE745" s="21" t="str">
        <f aca="false">IF(AB745&lt;1,"PAGADA","PENDIENTE")</f>
        <v>PENDIENTE</v>
      </c>
      <c r="AF745" s="67"/>
      <c r="AG745" s="29"/>
      <c r="AH745" s="68"/>
      <c r="AI745" s="40" t="n">
        <f aca="false">+IF(Tabla[[#This Row],[FECHA PAGO / ABONO]]&lt;1,0,(MONTH(Tabla[[#This Row],[FECHA PAGO / ABONO]])))</f>
        <v>0</v>
      </c>
      <c r="AJ745" s="40" t="n">
        <f aca="false">+IF(Tabla[[#This Row],[FECHA PAGO / ABONO]]&lt;1,0,(YEAR(Tabla[[#This Row],[FECHA PAGO / ABONO]])))</f>
        <v>0</v>
      </c>
      <c r="AK745" s="41"/>
    </row>
    <row r="746" customFormat="false" ht="14.25" hidden="false" customHeight="false" outlineLevel="0" collapsed="false">
      <c r="A746" s="17" t="s">
        <v>127</v>
      </c>
      <c r="B746" s="18" t="s">
        <v>128</v>
      </c>
      <c r="C746" s="18" t="s">
        <v>69</v>
      </c>
      <c r="D746" s="18" t="n">
        <v>47599</v>
      </c>
      <c r="E746" s="21" t="str">
        <f aca="false">+CONCATENATE(Tabla[[#This Row],[RUT]],Tabla[[#This Row],[PROVEEDOR]],Tabla[[#This Row],[FACTURA]])</f>
        <v>84364100-8Publicidad Exterior Publivia SpA47599</v>
      </c>
      <c r="F746" s="30" t="n">
        <v>46157</v>
      </c>
      <c r="G746" s="31" t="n">
        <f aca="false">+F746+30</f>
        <v>46187</v>
      </c>
      <c r="H746" s="29" t="n">
        <f aca="true">+IF(AE746="PAGADA",0,TODAY()-G746)</f>
        <v>17</v>
      </c>
      <c r="I746" s="29" t="str">
        <f aca="false">+IF(H746&gt;180,"Atrasada",IF(H746&gt;150,"150 dias",IF(H746&gt;120,"120 dias",IF(H746&gt;90,"90 dias",IF(H746&gt;60,"60 dias",IF(H746&gt;30,"30 dias","Al Día"))))))</f>
        <v>Al Día</v>
      </c>
      <c r="J746" s="59" t="s">
        <v>80</v>
      </c>
      <c r="K746" s="60" t="s">
        <v>81</v>
      </c>
      <c r="L746" s="61" t="s">
        <v>326</v>
      </c>
      <c r="M746" s="29" t="n">
        <f aca="false">+YEAR(F746)</f>
        <v>2026</v>
      </c>
      <c r="N746" s="62" t="n">
        <v>2026</v>
      </c>
      <c r="O746" s="63" t="n">
        <v>4</v>
      </c>
      <c r="P746" s="29" t="str">
        <f aca="false">+CONCATENATE(Tabla[[#This Row],[MES CAMPAÑA]],"/",Tabla[[#This Row],[AÑO CAMPAÑA]])</f>
        <v>4/2026</v>
      </c>
      <c r="Q746" s="60" t="s">
        <v>92</v>
      </c>
      <c r="R746" s="29"/>
      <c r="S746" s="64" t="n">
        <v>0</v>
      </c>
      <c r="T746" s="64" t="n">
        <v>393133</v>
      </c>
      <c r="U746" s="64" t="n">
        <v>74695</v>
      </c>
      <c r="V746" s="65"/>
      <c r="W746" s="24" t="n">
        <v>467828</v>
      </c>
      <c r="X746" s="36"/>
      <c r="Y746" s="66"/>
      <c r="Z746" s="66"/>
      <c r="AA746" s="66"/>
      <c r="AB746" s="38" t="n">
        <f aca="false">+W746-AC746</f>
        <v>467828</v>
      </c>
      <c r="AC746" s="34" t="n">
        <f aca="false">+Tabla[[#This Row],[P4]]+Tabla[[#This Row],[P3]]+Tabla[[#This Row],[P2]]+Tabla[[#This Row],[P1]]</f>
        <v>0</v>
      </c>
      <c r="AD746" s="34" t="n">
        <f aca="false">+W746-AC746</f>
        <v>467828</v>
      </c>
      <c r="AE746" s="21" t="str">
        <f aca="false">IF(AB746&lt;1,"PAGADA","PENDIENTE")</f>
        <v>PENDIENTE</v>
      </c>
      <c r="AF746" s="67"/>
      <c r="AG746" s="29"/>
      <c r="AH746" s="68"/>
      <c r="AI746" s="40" t="n">
        <f aca="false">+IF(Tabla[[#This Row],[FECHA PAGO / ABONO]]&lt;1,0,(MONTH(Tabla[[#This Row],[FECHA PAGO / ABONO]])))</f>
        <v>0</v>
      </c>
      <c r="AJ746" s="40" t="n">
        <f aca="false">+IF(Tabla[[#This Row],[FECHA PAGO / ABONO]]&lt;1,0,(YEAR(Tabla[[#This Row],[FECHA PAGO / ABONO]])))</f>
        <v>0</v>
      </c>
      <c r="AK746" s="41"/>
    </row>
    <row r="747" customFormat="false" ht="14.25" hidden="false" customHeight="false" outlineLevel="0" collapsed="false">
      <c r="A747" s="17" t="s">
        <v>171</v>
      </c>
      <c r="B747" s="18" t="s">
        <v>172</v>
      </c>
      <c r="C747" s="18" t="s">
        <v>69</v>
      </c>
      <c r="D747" s="18" t="n">
        <v>2336</v>
      </c>
      <c r="E747" s="21" t="str">
        <f aca="false">+CONCATENATE(Tabla[[#This Row],[RUT]],Tabla[[#This Row],[PROVEEDOR]],Tabla[[#This Row],[FACTURA]])</f>
        <v>76279899-9COMUNICACIONES BRAVA SOCIEDAD ANONIMA2336</v>
      </c>
      <c r="F747" s="30" t="n">
        <v>46157</v>
      </c>
      <c r="G747" s="31" t="n">
        <f aca="false">+F747+30</f>
        <v>46187</v>
      </c>
      <c r="H747" s="29" t="n">
        <f aca="true">+IF(AE747="PAGADA",0,TODAY()-G747)</f>
        <v>17</v>
      </c>
      <c r="I747" s="29" t="str">
        <f aca="false">+IF(H747&gt;180,"Atrasada",IF(H747&gt;150,"150 dias",IF(H747&gt;120,"120 dias",IF(H747&gt;90,"90 dias",IF(H747&gt;60,"60 dias",IF(H747&gt;30,"30 dias","Al Día"))))))</f>
        <v>Al Día</v>
      </c>
      <c r="J747" s="59" t="s">
        <v>80</v>
      </c>
      <c r="K747" s="60" t="s">
        <v>81</v>
      </c>
      <c r="L747" s="61" t="s">
        <v>326</v>
      </c>
      <c r="M747" s="29" t="n">
        <f aca="false">+YEAR(F747)</f>
        <v>2026</v>
      </c>
      <c r="N747" s="62" t="n">
        <v>2026</v>
      </c>
      <c r="O747" s="63" t="n">
        <v>3</v>
      </c>
      <c r="P747" s="29" t="str">
        <f aca="false">+CONCATENATE(Tabla[[#This Row],[MES CAMPAÑA]],"/",Tabla[[#This Row],[AÑO CAMPAÑA]])</f>
        <v>3/2026</v>
      </c>
      <c r="Q747" s="60" t="s">
        <v>108</v>
      </c>
      <c r="R747" s="29"/>
      <c r="S747" s="64" t="n">
        <v>0</v>
      </c>
      <c r="T747" s="64" t="n">
        <v>350000</v>
      </c>
      <c r="U747" s="64" t="n">
        <v>66500</v>
      </c>
      <c r="V747" s="65"/>
      <c r="W747" s="24" t="n">
        <v>416500</v>
      </c>
      <c r="X747" s="36"/>
      <c r="Y747" s="66"/>
      <c r="Z747" s="66"/>
      <c r="AA747" s="66"/>
      <c r="AB747" s="38" t="n">
        <f aca="false">+W747-AC747</f>
        <v>416500</v>
      </c>
      <c r="AC747" s="34" t="n">
        <f aca="false">+Tabla[[#This Row],[P4]]+Tabla[[#This Row],[P3]]+Tabla[[#This Row],[P2]]+Tabla[[#This Row],[P1]]</f>
        <v>0</v>
      </c>
      <c r="AD747" s="34" t="n">
        <f aca="false">+W747-AC747</f>
        <v>416500</v>
      </c>
      <c r="AE747" s="21" t="str">
        <f aca="false">IF(AB747&lt;1,"PAGADA","PENDIENTE")</f>
        <v>PENDIENTE</v>
      </c>
      <c r="AF747" s="67"/>
      <c r="AG747" s="29"/>
      <c r="AH747" s="68"/>
      <c r="AI747" s="40" t="n">
        <f aca="false">+IF(Tabla[[#This Row],[FECHA PAGO / ABONO]]&lt;1,0,(MONTH(Tabla[[#This Row],[FECHA PAGO / ABONO]])))</f>
        <v>0</v>
      </c>
      <c r="AJ747" s="40" t="n">
        <f aca="false">+IF(Tabla[[#This Row],[FECHA PAGO / ABONO]]&lt;1,0,(YEAR(Tabla[[#This Row],[FECHA PAGO / ABONO]])))</f>
        <v>0</v>
      </c>
      <c r="AK747" s="41"/>
    </row>
    <row r="748" customFormat="false" ht="14.25" hidden="false" customHeight="false" outlineLevel="0" collapsed="false">
      <c r="A748" s="17" t="s">
        <v>127</v>
      </c>
      <c r="B748" s="18" t="s">
        <v>128</v>
      </c>
      <c r="C748" s="18" t="s">
        <v>69</v>
      </c>
      <c r="D748" s="18" t="n">
        <v>47600</v>
      </c>
      <c r="E748" s="21" t="str">
        <f aca="false">+CONCATENATE(Tabla[[#This Row],[RUT]],Tabla[[#This Row],[PROVEEDOR]],Tabla[[#This Row],[FACTURA]])</f>
        <v>84364100-8Publicidad Exterior Publivia SpA47600</v>
      </c>
      <c r="F748" s="30" t="n">
        <v>46157</v>
      </c>
      <c r="G748" s="31" t="n">
        <f aca="false">+F748+30</f>
        <v>46187</v>
      </c>
      <c r="H748" s="29" t="n">
        <f aca="true">+IF(AE748="PAGADA",0,TODAY()-G748)</f>
        <v>17</v>
      </c>
      <c r="I748" s="29" t="str">
        <f aca="false">+IF(H748&gt;180,"Atrasada",IF(H748&gt;150,"150 dias",IF(H748&gt;120,"120 dias",IF(H748&gt;90,"90 dias",IF(H748&gt;60,"60 dias",IF(H748&gt;30,"30 dias","Al Día"))))))</f>
        <v>Al Día</v>
      </c>
      <c r="J748" s="59" t="s">
        <v>80</v>
      </c>
      <c r="K748" s="60" t="s">
        <v>81</v>
      </c>
      <c r="L748" s="61" t="s">
        <v>326</v>
      </c>
      <c r="M748" s="29" t="n">
        <f aca="false">+YEAR(F748)</f>
        <v>2026</v>
      </c>
      <c r="N748" s="62" t="n">
        <v>2026</v>
      </c>
      <c r="O748" s="63" t="n">
        <v>4</v>
      </c>
      <c r="P748" s="29" t="str">
        <f aca="false">+CONCATENATE(Tabla[[#This Row],[MES CAMPAÑA]],"/",Tabla[[#This Row],[AÑO CAMPAÑA]])</f>
        <v>4/2026</v>
      </c>
      <c r="Q748" s="60" t="s">
        <v>105</v>
      </c>
      <c r="R748" s="29"/>
      <c r="S748" s="64" t="n">
        <v>0</v>
      </c>
      <c r="T748" s="64" t="n">
        <v>3150000</v>
      </c>
      <c r="U748" s="64" t="n">
        <v>598500</v>
      </c>
      <c r="V748" s="65"/>
      <c r="W748" s="24" t="n">
        <v>3748500</v>
      </c>
      <c r="X748" s="36"/>
      <c r="Y748" s="66"/>
      <c r="Z748" s="66"/>
      <c r="AA748" s="66"/>
      <c r="AB748" s="38" t="n">
        <f aca="false">+W748-AC748</f>
        <v>3748500</v>
      </c>
      <c r="AC748" s="34" t="n">
        <f aca="false">+Tabla[[#This Row],[P4]]+Tabla[[#This Row],[P3]]+Tabla[[#This Row],[P2]]+Tabla[[#This Row],[P1]]</f>
        <v>0</v>
      </c>
      <c r="AD748" s="34" t="n">
        <f aca="false">+W748-AC748</f>
        <v>3748500</v>
      </c>
      <c r="AE748" s="21" t="str">
        <f aca="false">IF(AB748&lt;1,"PAGADA","PENDIENTE")</f>
        <v>PENDIENTE</v>
      </c>
      <c r="AF748" s="67"/>
      <c r="AG748" s="29"/>
      <c r="AH748" s="68"/>
      <c r="AI748" s="40" t="n">
        <f aca="false">+IF(Tabla[[#This Row],[FECHA PAGO / ABONO]]&lt;1,0,(MONTH(Tabla[[#This Row],[FECHA PAGO / ABONO]])))</f>
        <v>0</v>
      </c>
      <c r="AJ748" s="40" t="n">
        <f aca="false">+IF(Tabla[[#This Row],[FECHA PAGO / ABONO]]&lt;1,0,(YEAR(Tabla[[#This Row],[FECHA PAGO / ABONO]])))</f>
        <v>0</v>
      </c>
      <c r="AK748" s="41"/>
    </row>
    <row r="749" customFormat="false" ht="14.25" hidden="false" customHeight="false" outlineLevel="0" collapsed="false">
      <c r="A749" s="17" t="s">
        <v>171</v>
      </c>
      <c r="B749" s="18" t="s">
        <v>172</v>
      </c>
      <c r="C749" s="18" t="s">
        <v>69</v>
      </c>
      <c r="D749" s="18" t="n">
        <v>2337</v>
      </c>
      <c r="E749" s="21" t="str">
        <f aca="false">+CONCATENATE(Tabla[[#This Row],[RUT]],Tabla[[#This Row],[PROVEEDOR]],Tabla[[#This Row],[FACTURA]])</f>
        <v>76279899-9COMUNICACIONES BRAVA SOCIEDAD ANONIMA2337</v>
      </c>
      <c r="F749" s="30" t="n">
        <v>46157</v>
      </c>
      <c r="G749" s="31" t="n">
        <f aca="false">+F749+30</f>
        <v>46187</v>
      </c>
      <c r="H749" s="29" t="n">
        <f aca="true">+IF(AE749="PAGADA",0,TODAY()-G749)</f>
        <v>17</v>
      </c>
      <c r="I749" s="29" t="str">
        <f aca="false">+IF(H749&gt;180,"Atrasada",IF(H749&gt;150,"150 dias",IF(H749&gt;120,"120 dias",IF(H749&gt;90,"90 dias",IF(H749&gt;60,"60 dias",IF(H749&gt;30,"30 dias","Al Día"))))))</f>
        <v>Al Día</v>
      </c>
      <c r="J749" s="59" t="s">
        <v>80</v>
      </c>
      <c r="K749" s="60" t="s">
        <v>81</v>
      </c>
      <c r="L749" s="61" t="s">
        <v>326</v>
      </c>
      <c r="M749" s="29" t="n">
        <f aca="false">+YEAR(F749)</f>
        <v>2026</v>
      </c>
      <c r="N749" s="62" t="n">
        <v>2026</v>
      </c>
      <c r="O749" s="63" t="n">
        <v>4</v>
      </c>
      <c r="P749" s="29" t="str">
        <f aca="false">+CONCATENATE(Tabla[[#This Row],[MES CAMPAÑA]],"/",Tabla[[#This Row],[AÑO CAMPAÑA]])</f>
        <v>4/2026</v>
      </c>
      <c r="Q749" s="60" t="s">
        <v>108</v>
      </c>
      <c r="R749" s="29"/>
      <c r="S749" s="64" t="n">
        <v>0</v>
      </c>
      <c r="T749" s="64" t="n">
        <v>350000</v>
      </c>
      <c r="U749" s="64" t="n">
        <v>66500</v>
      </c>
      <c r="V749" s="65"/>
      <c r="W749" s="24" t="n">
        <v>416500</v>
      </c>
      <c r="X749" s="36"/>
      <c r="Y749" s="66"/>
      <c r="Z749" s="66"/>
      <c r="AA749" s="66"/>
      <c r="AB749" s="38" t="n">
        <f aca="false">+W749-AC749</f>
        <v>416500</v>
      </c>
      <c r="AC749" s="34" t="n">
        <f aca="false">+Tabla[[#This Row],[P4]]+Tabla[[#This Row],[P3]]+Tabla[[#This Row],[P2]]+Tabla[[#This Row],[P1]]</f>
        <v>0</v>
      </c>
      <c r="AD749" s="34" t="n">
        <f aca="false">+W749-AC749</f>
        <v>416500</v>
      </c>
      <c r="AE749" s="21" t="str">
        <f aca="false">IF(AB749&lt;1,"PAGADA","PENDIENTE")</f>
        <v>PENDIENTE</v>
      </c>
      <c r="AF749" s="67"/>
      <c r="AG749" s="29"/>
      <c r="AH749" s="68"/>
      <c r="AI749" s="40" t="n">
        <f aca="false">+IF(Tabla[[#This Row],[FECHA PAGO / ABONO]]&lt;1,0,(MONTH(Tabla[[#This Row],[FECHA PAGO / ABONO]])))</f>
        <v>0</v>
      </c>
      <c r="AJ749" s="40" t="n">
        <f aca="false">+IF(Tabla[[#This Row],[FECHA PAGO / ABONO]]&lt;1,0,(YEAR(Tabla[[#This Row],[FECHA PAGO / ABONO]])))</f>
        <v>0</v>
      </c>
      <c r="AK749" s="41"/>
    </row>
    <row r="750" customFormat="false" ht="14.25" hidden="false" customHeight="false" outlineLevel="0" collapsed="false">
      <c r="A750" s="17" t="s">
        <v>231</v>
      </c>
      <c r="B750" s="18" t="s">
        <v>232</v>
      </c>
      <c r="C750" s="18" t="s">
        <v>69</v>
      </c>
      <c r="D750" s="18" t="n">
        <v>322317</v>
      </c>
      <c r="E750" s="21" t="str">
        <f aca="false">+CONCATENATE(Tabla[[#This Row],[RUT]],Tabla[[#This Row],[PROVEEDOR]],Tabla[[#This Row],[FACTURA]])</f>
        <v>99538470-1PORTALES DE NEGOCIOS S.A322317</v>
      </c>
      <c r="F750" s="30" t="n">
        <v>46157</v>
      </c>
      <c r="G750" s="31" t="n">
        <f aca="false">+F750+30</f>
        <v>46187</v>
      </c>
      <c r="H750" s="29" t="n">
        <f aca="true">+IF(AE750="PAGADA",0,TODAY()-G750)</f>
        <v>17</v>
      </c>
      <c r="I750" s="29" t="str">
        <f aca="false">+IF(H750&gt;180,"Atrasada",IF(H750&gt;150,"150 dias",IF(H750&gt;120,"120 dias",IF(H750&gt;90,"90 dias",IF(H750&gt;60,"60 dias",IF(H750&gt;30,"30 dias","Al Día"))))))</f>
        <v>Al Día</v>
      </c>
      <c r="J750" s="59" t="s">
        <v>80</v>
      </c>
      <c r="K750" s="60" t="s">
        <v>81</v>
      </c>
      <c r="L750" s="61" t="s">
        <v>326</v>
      </c>
      <c r="M750" s="29" t="n">
        <f aca="false">+YEAR(F750)</f>
        <v>2026</v>
      </c>
      <c r="N750" s="62" t="n">
        <v>2026</v>
      </c>
      <c r="O750" s="63" t="n">
        <v>4</v>
      </c>
      <c r="P750" s="29" t="str">
        <f aca="false">+CONCATENATE(Tabla[[#This Row],[MES CAMPAÑA]],"/",Tabla[[#This Row],[AÑO CAMPAÑA]])</f>
        <v>4/2026</v>
      </c>
      <c r="Q750" s="60" t="s">
        <v>315</v>
      </c>
      <c r="R750" s="29"/>
      <c r="S750" s="64" t="n">
        <v>0</v>
      </c>
      <c r="T750" s="64" t="n">
        <v>2000000</v>
      </c>
      <c r="U750" s="64" t="n">
        <v>380000</v>
      </c>
      <c r="V750" s="65"/>
      <c r="W750" s="24" t="n">
        <v>2380000</v>
      </c>
      <c r="X750" s="36"/>
      <c r="Y750" s="66"/>
      <c r="Z750" s="66"/>
      <c r="AA750" s="66"/>
      <c r="AB750" s="38" t="n">
        <f aca="false">+W750-AC750</f>
        <v>2380000</v>
      </c>
      <c r="AC750" s="34" t="n">
        <f aca="false">+Tabla[[#This Row],[P4]]+Tabla[[#This Row],[P3]]+Tabla[[#This Row],[P2]]+Tabla[[#This Row],[P1]]</f>
        <v>0</v>
      </c>
      <c r="AD750" s="34" t="n">
        <f aca="false">+W750-AC750</f>
        <v>2380000</v>
      </c>
      <c r="AE750" s="21" t="str">
        <f aca="false">IF(AB750&lt;1,"PAGADA","PENDIENTE")</f>
        <v>PENDIENTE</v>
      </c>
      <c r="AF750" s="67"/>
      <c r="AG750" s="29"/>
      <c r="AH750" s="68"/>
      <c r="AI750" s="40" t="n">
        <f aca="false">+IF(Tabla[[#This Row],[FECHA PAGO / ABONO]]&lt;1,0,(MONTH(Tabla[[#This Row],[FECHA PAGO / ABONO]])))</f>
        <v>0</v>
      </c>
      <c r="AJ750" s="40" t="n">
        <f aca="false">+IF(Tabla[[#This Row],[FECHA PAGO / ABONO]]&lt;1,0,(YEAR(Tabla[[#This Row],[FECHA PAGO / ABONO]])))</f>
        <v>0</v>
      </c>
      <c r="AK750" s="41"/>
    </row>
    <row r="751" customFormat="false" ht="14.25" hidden="false" customHeight="false" outlineLevel="0" collapsed="false">
      <c r="A751" s="17" t="s">
        <v>231</v>
      </c>
      <c r="B751" s="18" t="s">
        <v>232</v>
      </c>
      <c r="C751" s="18" t="s">
        <v>69</v>
      </c>
      <c r="D751" s="18" t="n">
        <v>322318</v>
      </c>
      <c r="E751" s="21" t="str">
        <f aca="false">+CONCATENATE(Tabla[[#This Row],[RUT]],Tabla[[#This Row],[PROVEEDOR]],Tabla[[#This Row],[FACTURA]])</f>
        <v>99538470-1PORTALES DE NEGOCIOS S.A322318</v>
      </c>
      <c r="F751" s="30" t="n">
        <v>46157</v>
      </c>
      <c r="G751" s="31" t="n">
        <f aca="false">+F751+30</f>
        <v>46187</v>
      </c>
      <c r="H751" s="29" t="n">
        <f aca="true">+IF(AE751="PAGADA",0,TODAY()-G751)</f>
        <v>17</v>
      </c>
      <c r="I751" s="29" t="str">
        <f aca="false">+IF(H751&gt;180,"Atrasada",IF(H751&gt;150,"150 dias",IF(H751&gt;120,"120 dias",IF(H751&gt;90,"90 dias",IF(H751&gt;60,"60 dias",IF(H751&gt;30,"30 dias","Al Día"))))))</f>
        <v>Al Día</v>
      </c>
      <c r="J751" s="59" t="s">
        <v>80</v>
      </c>
      <c r="K751" s="60" t="s">
        <v>81</v>
      </c>
      <c r="L751" s="61" t="s">
        <v>326</v>
      </c>
      <c r="M751" s="29" t="n">
        <f aca="false">+YEAR(F751)</f>
        <v>2026</v>
      </c>
      <c r="N751" s="62" t="n">
        <v>2026</v>
      </c>
      <c r="O751" s="63" t="n">
        <v>4</v>
      </c>
      <c r="P751" s="29" t="str">
        <f aca="false">+CONCATENATE(Tabla[[#This Row],[MES CAMPAÑA]],"/",Tabla[[#This Row],[AÑO CAMPAÑA]])</f>
        <v>4/2026</v>
      </c>
      <c r="Q751" s="60" t="s">
        <v>265</v>
      </c>
      <c r="R751" s="29"/>
      <c r="S751" s="64" t="n">
        <v>0</v>
      </c>
      <c r="T751" s="64" t="n">
        <v>700000</v>
      </c>
      <c r="U751" s="64" t="n">
        <v>133000</v>
      </c>
      <c r="V751" s="65"/>
      <c r="W751" s="24" t="n">
        <v>833000</v>
      </c>
      <c r="X751" s="36"/>
      <c r="Y751" s="66"/>
      <c r="Z751" s="66"/>
      <c r="AA751" s="66"/>
      <c r="AB751" s="38" t="n">
        <f aca="false">+W751-AC751</f>
        <v>833000</v>
      </c>
      <c r="AC751" s="34" t="n">
        <f aca="false">+Tabla[[#This Row],[P4]]+Tabla[[#This Row],[P3]]+Tabla[[#This Row],[P2]]+Tabla[[#This Row],[P1]]</f>
        <v>0</v>
      </c>
      <c r="AD751" s="34" t="n">
        <f aca="false">+W751-AC751</f>
        <v>833000</v>
      </c>
      <c r="AE751" s="21" t="str">
        <f aca="false">IF(AB751&lt;1,"PAGADA","PENDIENTE")</f>
        <v>PENDIENTE</v>
      </c>
      <c r="AF751" s="67"/>
      <c r="AG751" s="29"/>
      <c r="AH751" s="68"/>
      <c r="AI751" s="40" t="n">
        <f aca="false">+IF(Tabla[[#This Row],[FECHA PAGO / ABONO]]&lt;1,0,(MONTH(Tabla[[#This Row],[FECHA PAGO / ABONO]])))</f>
        <v>0</v>
      </c>
      <c r="AJ751" s="40" t="n">
        <f aca="false">+IF(Tabla[[#This Row],[FECHA PAGO / ABONO]]&lt;1,0,(YEAR(Tabla[[#This Row],[FECHA PAGO / ABONO]])))</f>
        <v>0</v>
      </c>
      <c r="AK751" s="41"/>
    </row>
    <row r="752" customFormat="false" ht="14.25" hidden="false" customHeight="false" outlineLevel="0" collapsed="false">
      <c r="A752" s="17" t="s">
        <v>95</v>
      </c>
      <c r="B752" s="18" t="s">
        <v>96</v>
      </c>
      <c r="C752" s="18" t="s">
        <v>69</v>
      </c>
      <c r="D752" s="18" t="n">
        <v>3095</v>
      </c>
      <c r="E752" s="21" t="str">
        <f aca="false">+CONCATENATE(Tabla[[#This Row],[RUT]],Tabla[[#This Row],[PROVEEDOR]],Tabla[[#This Row],[FACTURA]])</f>
        <v>77199950-6TABACH Y SALAS LIMITADA3095</v>
      </c>
      <c r="F752" s="30" t="n">
        <v>46157</v>
      </c>
      <c r="G752" s="31" t="n">
        <f aca="false">+F752+30</f>
        <v>46187</v>
      </c>
      <c r="H752" s="29" t="n">
        <f aca="true">+IF(AE752="PAGADA",0,TODAY()-G752)</f>
        <v>17</v>
      </c>
      <c r="I752" s="29" t="str">
        <f aca="false">+IF(H752&gt;180,"Atrasada",IF(H752&gt;150,"150 dias",IF(H752&gt;120,"120 dias",IF(H752&gt;90,"90 dias",IF(H752&gt;60,"60 dias",IF(H752&gt;30,"30 dias","Al Día"))))))</f>
        <v>Al Día</v>
      </c>
      <c r="J752" s="59" t="s">
        <v>80</v>
      </c>
      <c r="K752" s="60" t="s">
        <v>81</v>
      </c>
      <c r="L752" s="61" t="s">
        <v>326</v>
      </c>
      <c r="M752" s="29" t="n">
        <f aca="false">+YEAR(F752)</f>
        <v>2026</v>
      </c>
      <c r="N752" s="62" t="n">
        <v>2026</v>
      </c>
      <c r="O752" s="63" t="n">
        <v>4</v>
      </c>
      <c r="P752" s="29" t="str">
        <f aca="false">+CONCATENATE(Tabla[[#This Row],[MES CAMPAÑA]],"/",Tabla[[#This Row],[AÑO CAMPAÑA]])</f>
        <v>4/2026</v>
      </c>
      <c r="Q752" s="60" t="s">
        <v>105</v>
      </c>
      <c r="R752" s="29"/>
      <c r="S752" s="64" t="n">
        <v>0</v>
      </c>
      <c r="T752" s="64" t="n">
        <v>5600000</v>
      </c>
      <c r="U752" s="64" t="n">
        <v>1064000</v>
      </c>
      <c r="V752" s="65"/>
      <c r="W752" s="24" t="n">
        <v>6664000</v>
      </c>
      <c r="X752" s="36"/>
      <c r="Y752" s="66"/>
      <c r="Z752" s="66"/>
      <c r="AA752" s="66"/>
      <c r="AB752" s="38" t="n">
        <f aca="false">+W752-AC752</f>
        <v>6664000</v>
      </c>
      <c r="AC752" s="34" t="n">
        <f aca="false">+Tabla[[#This Row],[P4]]+Tabla[[#This Row],[P3]]+Tabla[[#This Row],[P2]]+Tabla[[#This Row],[P1]]</f>
        <v>0</v>
      </c>
      <c r="AD752" s="34" t="n">
        <f aca="false">+W752-AC752</f>
        <v>6664000</v>
      </c>
      <c r="AE752" s="21" t="str">
        <f aca="false">IF(AB752&lt;1,"PAGADA","PENDIENTE")</f>
        <v>PENDIENTE</v>
      </c>
      <c r="AF752" s="67"/>
      <c r="AG752" s="29"/>
      <c r="AH752" s="68"/>
      <c r="AI752" s="40" t="n">
        <f aca="false">+IF(Tabla[[#This Row],[FECHA PAGO / ABONO]]&lt;1,0,(MONTH(Tabla[[#This Row],[FECHA PAGO / ABONO]])))</f>
        <v>0</v>
      </c>
      <c r="AJ752" s="40" t="n">
        <f aca="false">+IF(Tabla[[#This Row],[FECHA PAGO / ABONO]]&lt;1,0,(YEAR(Tabla[[#This Row],[FECHA PAGO / ABONO]])))</f>
        <v>0</v>
      </c>
      <c r="AK752" s="41"/>
    </row>
    <row r="753" customFormat="false" ht="14.25" hidden="false" customHeight="false" outlineLevel="0" collapsed="false">
      <c r="A753" s="17" t="s">
        <v>231</v>
      </c>
      <c r="B753" s="18" t="s">
        <v>232</v>
      </c>
      <c r="C753" s="18" t="s">
        <v>69</v>
      </c>
      <c r="D753" s="18" t="n">
        <v>322319</v>
      </c>
      <c r="E753" s="21" t="str">
        <f aca="false">+CONCATENATE(Tabla[[#This Row],[RUT]],Tabla[[#This Row],[PROVEEDOR]],Tabla[[#This Row],[FACTURA]])</f>
        <v>99538470-1PORTALES DE NEGOCIOS S.A322319</v>
      </c>
      <c r="F753" s="30" t="n">
        <v>46157</v>
      </c>
      <c r="G753" s="31" t="n">
        <f aca="false">+F753+30</f>
        <v>46187</v>
      </c>
      <c r="H753" s="29" t="n">
        <f aca="true">+IF(AE753="PAGADA",0,TODAY()-G753)</f>
        <v>17</v>
      </c>
      <c r="I753" s="29" t="str">
        <f aca="false">+IF(H753&gt;180,"Atrasada",IF(H753&gt;150,"150 dias",IF(H753&gt;120,"120 dias",IF(H753&gt;90,"90 dias",IF(H753&gt;60,"60 dias",IF(H753&gt;30,"30 dias","Al Día"))))))</f>
        <v>Al Día</v>
      </c>
      <c r="J753" s="59" t="s">
        <v>80</v>
      </c>
      <c r="K753" s="60" t="s">
        <v>81</v>
      </c>
      <c r="L753" s="61" t="s">
        <v>326</v>
      </c>
      <c r="M753" s="29" t="n">
        <f aca="false">+YEAR(F753)</f>
        <v>2026</v>
      </c>
      <c r="N753" s="62" t="n">
        <v>2026</v>
      </c>
      <c r="O753" s="63" t="n">
        <v>4</v>
      </c>
      <c r="P753" s="29" t="str">
        <f aca="false">+CONCATENATE(Tabla[[#This Row],[MES CAMPAÑA]],"/",Tabla[[#This Row],[AÑO CAMPAÑA]])</f>
        <v>4/2026</v>
      </c>
      <c r="Q753" s="60" t="s">
        <v>130</v>
      </c>
      <c r="R753" s="29"/>
      <c r="S753" s="64" t="n">
        <v>0</v>
      </c>
      <c r="T753" s="64" t="n">
        <v>3000000</v>
      </c>
      <c r="U753" s="64" t="n">
        <v>570000</v>
      </c>
      <c r="V753" s="65"/>
      <c r="W753" s="24" t="n">
        <v>3570000</v>
      </c>
      <c r="X753" s="36"/>
      <c r="Y753" s="66"/>
      <c r="Z753" s="66"/>
      <c r="AA753" s="66"/>
      <c r="AB753" s="38" t="n">
        <f aca="false">+W753-AC753</f>
        <v>3570000</v>
      </c>
      <c r="AC753" s="34" t="n">
        <f aca="false">+Tabla[[#This Row],[P4]]+Tabla[[#This Row],[P3]]+Tabla[[#This Row],[P2]]+Tabla[[#This Row],[P1]]</f>
        <v>0</v>
      </c>
      <c r="AD753" s="34" t="n">
        <f aca="false">+W753-AC753</f>
        <v>3570000</v>
      </c>
      <c r="AE753" s="21" t="str">
        <f aca="false">IF(AB753&lt;1,"PAGADA","PENDIENTE")</f>
        <v>PENDIENTE</v>
      </c>
      <c r="AF753" s="67"/>
      <c r="AG753" s="29"/>
      <c r="AH753" s="68"/>
      <c r="AI753" s="40" t="n">
        <f aca="false">+IF(Tabla[[#This Row],[FECHA PAGO / ABONO]]&lt;1,0,(MONTH(Tabla[[#This Row],[FECHA PAGO / ABONO]])))</f>
        <v>0</v>
      </c>
      <c r="AJ753" s="40" t="n">
        <f aca="false">+IF(Tabla[[#This Row],[FECHA PAGO / ABONO]]&lt;1,0,(YEAR(Tabla[[#This Row],[FECHA PAGO / ABONO]])))</f>
        <v>0</v>
      </c>
      <c r="AK753" s="41"/>
    </row>
    <row r="754" customFormat="false" ht="14.25" hidden="false" customHeight="false" outlineLevel="0" collapsed="false">
      <c r="A754" s="17" t="s">
        <v>95</v>
      </c>
      <c r="B754" s="18" t="s">
        <v>96</v>
      </c>
      <c r="C754" s="18" t="s">
        <v>69</v>
      </c>
      <c r="D754" s="18" t="n">
        <v>3096</v>
      </c>
      <c r="E754" s="21" t="str">
        <f aca="false">+CONCATENATE(Tabla[[#This Row],[RUT]],Tabla[[#This Row],[PROVEEDOR]],Tabla[[#This Row],[FACTURA]])</f>
        <v>77199950-6TABACH Y SALAS LIMITADA3096</v>
      </c>
      <c r="F754" s="30" t="n">
        <v>46157</v>
      </c>
      <c r="G754" s="31" t="n">
        <f aca="false">+F754+30</f>
        <v>46187</v>
      </c>
      <c r="H754" s="29" t="n">
        <f aca="true">+IF(AE754="PAGADA",0,TODAY()-G754)</f>
        <v>17</v>
      </c>
      <c r="I754" s="29" t="str">
        <f aca="false">+IF(H754&gt;180,"Atrasada",IF(H754&gt;150,"150 dias",IF(H754&gt;120,"120 dias",IF(H754&gt;90,"90 dias",IF(H754&gt;60,"60 dias",IF(H754&gt;30,"30 dias","Al Día"))))))</f>
        <v>Al Día</v>
      </c>
      <c r="J754" s="59" t="s">
        <v>80</v>
      </c>
      <c r="K754" s="60" t="s">
        <v>81</v>
      </c>
      <c r="L754" s="61" t="s">
        <v>326</v>
      </c>
      <c r="M754" s="29" t="n">
        <f aca="false">+YEAR(F754)</f>
        <v>2026</v>
      </c>
      <c r="N754" s="62" t="n">
        <v>2026</v>
      </c>
      <c r="O754" s="63" t="n">
        <v>4</v>
      </c>
      <c r="P754" s="29" t="str">
        <f aca="false">+CONCATENATE(Tabla[[#This Row],[MES CAMPAÑA]],"/",Tabla[[#This Row],[AÑO CAMPAÑA]])</f>
        <v>4/2026</v>
      </c>
      <c r="Q754" s="60" t="s">
        <v>316</v>
      </c>
      <c r="R754" s="29"/>
      <c r="S754" s="64" t="n">
        <v>0</v>
      </c>
      <c r="T754" s="64" t="n">
        <v>6306667</v>
      </c>
      <c r="U754" s="64" t="n">
        <v>1198267</v>
      </c>
      <c r="V754" s="65"/>
      <c r="W754" s="24" t="n">
        <v>7504934</v>
      </c>
      <c r="X754" s="36"/>
      <c r="Y754" s="66"/>
      <c r="Z754" s="66"/>
      <c r="AA754" s="66"/>
      <c r="AB754" s="38" t="n">
        <f aca="false">+W754-AC754</f>
        <v>7504934</v>
      </c>
      <c r="AC754" s="34" t="n">
        <f aca="false">+Tabla[[#This Row],[P4]]+Tabla[[#This Row],[P3]]+Tabla[[#This Row],[P2]]+Tabla[[#This Row],[P1]]</f>
        <v>0</v>
      </c>
      <c r="AD754" s="34" t="n">
        <f aca="false">+W754-AC754</f>
        <v>7504934</v>
      </c>
      <c r="AE754" s="21" t="str">
        <f aca="false">IF(AB754&lt;1,"PAGADA","PENDIENTE")</f>
        <v>PENDIENTE</v>
      </c>
      <c r="AF754" s="67"/>
      <c r="AG754" s="29"/>
      <c r="AH754" s="68"/>
      <c r="AI754" s="40" t="n">
        <f aca="false">+IF(Tabla[[#This Row],[FECHA PAGO / ABONO]]&lt;1,0,(MONTH(Tabla[[#This Row],[FECHA PAGO / ABONO]])))</f>
        <v>0</v>
      </c>
      <c r="AJ754" s="40" t="n">
        <f aca="false">+IF(Tabla[[#This Row],[FECHA PAGO / ABONO]]&lt;1,0,(YEAR(Tabla[[#This Row],[FECHA PAGO / ABONO]])))</f>
        <v>0</v>
      </c>
      <c r="AK754" s="41"/>
    </row>
    <row r="755" customFormat="false" ht="14.25" hidden="false" customHeight="false" outlineLevel="0" collapsed="false">
      <c r="A755" s="17" t="s">
        <v>199</v>
      </c>
      <c r="B755" s="18" t="s">
        <v>200</v>
      </c>
      <c r="C755" s="18" t="s">
        <v>69</v>
      </c>
      <c r="D755" s="18" t="n">
        <v>6737</v>
      </c>
      <c r="E755" s="21" t="str">
        <f aca="false">+CONCATENATE(Tabla[[#This Row],[RUT]],Tabla[[#This Row],[PROVEEDOR]],Tabla[[#This Row],[FACTURA]])</f>
        <v>96945160-3YES SOCIEDAD ANONIMA6737</v>
      </c>
      <c r="F755" s="30" t="n">
        <v>46157</v>
      </c>
      <c r="G755" s="31" t="n">
        <f aca="false">+F755+30</f>
        <v>46187</v>
      </c>
      <c r="H755" s="29" t="n">
        <f aca="true">+IF(AE755="PAGADA",0,TODAY()-G755)</f>
        <v>0</v>
      </c>
      <c r="I755" s="29" t="str">
        <f aca="false">+IF(H755&gt;180,"Atrasada",IF(H755&gt;150,"150 dias",IF(H755&gt;120,"120 dias",IF(H755&gt;90,"90 dias",IF(H755&gt;60,"60 dias",IF(H755&gt;30,"30 dias","Al Día"))))))</f>
        <v>Al Día</v>
      </c>
      <c r="J755" s="59" t="s">
        <v>80</v>
      </c>
      <c r="K755" s="60" t="s">
        <v>81</v>
      </c>
      <c r="L755" s="61" t="s">
        <v>326</v>
      </c>
      <c r="M755" s="29" t="n">
        <f aca="false">+YEAR(F755)</f>
        <v>2026</v>
      </c>
      <c r="N755" s="62" t="n">
        <v>2026</v>
      </c>
      <c r="O755" s="63" t="n">
        <v>4</v>
      </c>
      <c r="P755" s="29" t="str">
        <f aca="false">+CONCATENATE(Tabla[[#This Row],[MES CAMPAÑA]],"/",Tabla[[#This Row],[AÑO CAMPAÑA]])</f>
        <v>4/2026</v>
      </c>
      <c r="Q755" s="60" t="s">
        <v>92</v>
      </c>
      <c r="R755" s="29"/>
      <c r="S755" s="64" t="n">
        <v>0</v>
      </c>
      <c r="T755" s="64" t="n">
        <v>1163514</v>
      </c>
      <c r="U755" s="64" t="n">
        <v>221068</v>
      </c>
      <c r="V755" s="65"/>
      <c r="W755" s="24" t="n">
        <v>1384582</v>
      </c>
      <c r="X755" s="36" t="n">
        <f aca="false">+Tabla[[#This Row],[TOTAL]]</f>
        <v>1384582</v>
      </c>
      <c r="Y755" s="66"/>
      <c r="Z755" s="66"/>
      <c r="AA755" s="66"/>
      <c r="AB755" s="38" t="n">
        <f aca="false">+W755-AC755</f>
        <v>0</v>
      </c>
      <c r="AC755" s="34" t="n">
        <f aca="false">+Tabla[[#This Row],[P4]]+Tabla[[#This Row],[P3]]+Tabla[[#This Row],[P2]]+Tabla[[#This Row],[P1]]</f>
        <v>1384582</v>
      </c>
      <c r="AD755" s="34" t="n">
        <f aca="false">+W755-AC755</f>
        <v>0</v>
      </c>
      <c r="AE755" s="21" t="str">
        <f aca="false">IF(AB755&lt;1,"PAGADA","PENDIENTE")</f>
        <v>PAGADA</v>
      </c>
      <c r="AF755" s="67"/>
      <c r="AG755" s="29" t="s">
        <v>77</v>
      </c>
      <c r="AH755" s="69" t="n">
        <v>46196</v>
      </c>
      <c r="AI755" s="40" t="n">
        <f aca="false">+IF(Tabla[[#This Row],[FECHA PAGO / ABONO]]&lt;1,0,(MONTH(Tabla[[#This Row],[FECHA PAGO / ABONO]])))</f>
        <v>6</v>
      </c>
      <c r="AJ755" s="40" t="n">
        <f aca="false">+IF(Tabla[[#This Row],[FECHA PAGO / ABONO]]&lt;1,0,(YEAR(Tabla[[#This Row],[FECHA PAGO / ABONO]])))</f>
        <v>2026</v>
      </c>
      <c r="AK755" s="41"/>
    </row>
    <row r="756" customFormat="false" ht="14.25" hidden="false" customHeight="false" outlineLevel="0" collapsed="false">
      <c r="A756" s="17" t="s">
        <v>139</v>
      </c>
      <c r="B756" s="18" t="s">
        <v>140</v>
      </c>
      <c r="C756" s="18" t="s">
        <v>69</v>
      </c>
      <c r="D756" s="18" t="n">
        <v>2672</v>
      </c>
      <c r="E756" s="21" t="str">
        <f aca="false">+CONCATENATE(Tabla[[#This Row],[RUT]],Tabla[[#This Row],[PROVEEDOR]],Tabla[[#This Row],[FACTURA]])</f>
        <v>76126782-5VISUAL MEDIA LTDA.2672</v>
      </c>
      <c r="F756" s="30" t="n">
        <v>46157</v>
      </c>
      <c r="G756" s="31" t="n">
        <f aca="false">+F756+30</f>
        <v>46187</v>
      </c>
      <c r="H756" s="29" t="n">
        <f aca="true">+IF(AE756="PAGADA",0,TODAY()-G756)</f>
        <v>17</v>
      </c>
      <c r="I756" s="29" t="str">
        <f aca="false">+IF(H756&gt;180,"Atrasada",IF(H756&gt;150,"150 dias",IF(H756&gt;120,"120 dias",IF(H756&gt;90,"90 dias",IF(H756&gt;60,"60 dias",IF(H756&gt;30,"30 dias","Al Día"))))))</f>
        <v>Al Día</v>
      </c>
      <c r="J756" s="59" t="s">
        <v>80</v>
      </c>
      <c r="K756" s="60" t="s">
        <v>81</v>
      </c>
      <c r="L756" s="61" t="s">
        <v>326</v>
      </c>
      <c r="M756" s="29" t="n">
        <f aca="false">+YEAR(F756)</f>
        <v>2026</v>
      </c>
      <c r="N756" s="62" t="n">
        <v>2026</v>
      </c>
      <c r="O756" s="63" t="n">
        <v>4</v>
      </c>
      <c r="P756" s="29" t="str">
        <f aca="false">+CONCATENATE(Tabla[[#This Row],[MES CAMPAÑA]],"/",Tabla[[#This Row],[AÑO CAMPAÑA]])</f>
        <v>4/2026</v>
      </c>
      <c r="Q756" s="60" t="s">
        <v>92</v>
      </c>
      <c r="R756" s="29"/>
      <c r="S756" s="64" t="n">
        <v>0</v>
      </c>
      <c r="T756" s="64" t="n">
        <v>350000</v>
      </c>
      <c r="U756" s="64" t="n">
        <v>66500</v>
      </c>
      <c r="V756" s="65"/>
      <c r="W756" s="24" t="n">
        <v>416500</v>
      </c>
      <c r="X756" s="36"/>
      <c r="Y756" s="66"/>
      <c r="Z756" s="66"/>
      <c r="AA756" s="66"/>
      <c r="AB756" s="38" t="n">
        <f aca="false">+W756-AC756</f>
        <v>416500</v>
      </c>
      <c r="AC756" s="34" t="n">
        <f aca="false">+Tabla[[#This Row],[P4]]+Tabla[[#This Row],[P3]]+Tabla[[#This Row],[P2]]+Tabla[[#This Row],[P1]]</f>
        <v>0</v>
      </c>
      <c r="AD756" s="34" t="n">
        <f aca="false">+W756-AC756</f>
        <v>416500</v>
      </c>
      <c r="AE756" s="21" t="str">
        <f aca="false">IF(AB756&lt;1,"PAGADA","PENDIENTE")</f>
        <v>PENDIENTE</v>
      </c>
      <c r="AF756" s="67"/>
      <c r="AG756" s="29"/>
      <c r="AH756" s="68"/>
      <c r="AI756" s="40" t="n">
        <f aca="false">+IF(Tabla[[#This Row],[FECHA PAGO / ABONO]]&lt;1,0,(MONTH(Tabla[[#This Row],[FECHA PAGO / ABONO]])))</f>
        <v>0</v>
      </c>
      <c r="AJ756" s="40" t="n">
        <f aca="false">+IF(Tabla[[#This Row],[FECHA PAGO / ABONO]]&lt;1,0,(YEAR(Tabla[[#This Row],[FECHA PAGO / ABONO]])))</f>
        <v>0</v>
      </c>
      <c r="AK756" s="41"/>
    </row>
    <row r="757" customFormat="false" ht="14.25" hidden="false" customHeight="false" outlineLevel="0" collapsed="false">
      <c r="A757" s="17" t="s">
        <v>139</v>
      </c>
      <c r="B757" s="18" t="s">
        <v>140</v>
      </c>
      <c r="C757" s="18" t="s">
        <v>125</v>
      </c>
      <c r="D757" s="18" t="n">
        <v>126</v>
      </c>
      <c r="E757" s="21" t="str">
        <f aca="false">+CONCATENATE(Tabla[[#This Row],[RUT]],Tabla[[#This Row],[PROVEEDOR]],Tabla[[#This Row],[FACTURA]])</f>
        <v>76126782-5VISUAL MEDIA LTDA.126</v>
      </c>
      <c r="F757" s="30" t="n">
        <v>46157</v>
      </c>
      <c r="G757" s="31" t="n">
        <f aca="false">+F757+30</f>
        <v>46187</v>
      </c>
      <c r="H757" s="29" t="n">
        <f aca="true">+IF(AE757="PAGADA",0,TODAY()-G757)</f>
        <v>0</v>
      </c>
      <c r="I757" s="29" t="str">
        <f aca="false">+IF(H757&gt;180,"Atrasada",IF(H757&gt;150,"150 dias",IF(H757&gt;120,"120 dias",IF(H757&gt;90,"90 dias",IF(H757&gt;60,"60 dias",IF(H757&gt;30,"30 dias","Al Día"))))))</f>
        <v>Al Día</v>
      </c>
      <c r="J757" s="59" t="s">
        <v>80</v>
      </c>
      <c r="K757" s="60" t="s">
        <v>126</v>
      </c>
      <c r="L757" s="61" t="s">
        <v>326</v>
      </c>
      <c r="M757" s="29" t="n">
        <f aca="false">+YEAR(F757)</f>
        <v>2026</v>
      </c>
      <c r="N757" s="62" t="n">
        <v>2026</v>
      </c>
      <c r="O757" s="63" t="n">
        <v>4</v>
      </c>
      <c r="P757" s="29" t="str">
        <f aca="false">+CONCATENATE(Tabla[[#This Row],[MES CAMPAÑA]],"/",Tabla[[#This Row],[AÑO CAMPAÑA]])</f>
        <v>4/2026</v>
      </c>
      <c r="Q757" s="60" t="s">
        <v>92</v>
      </c>
      <c r="R757" s="29"/>
      <c r="S757" s="64" t="n">
        <v>0</v>
      </c>
      <c r="T757" s="64" t="n">
        <v>350000</v>
      </c>
      <c r="U757" s="64" t="n">
        <v>66500</v>
      </c>
      <c r="V757" s="65"/>
      <c r="W757" s="24" t="n">
        <v>416500</v>
      </c>
      <c r="X757" s="36" t="n">
        <f aca="false">+Tabla[[#This Row],[TOTAL]]</f>
        <v>416500</v>
      </c>
      <c r="Y757" s="66"/>
      <c r="Z757" s="66"/>
      <c r="AA757" s="66"/>
      <c r="AB757" s="38" t="n">
        <f aca="false">+W757-AC757</f>
        <v>0</v>
      </c>
      <c r="AC757" s="34" t="n">
        <f aca="false">+Tabla[[#This Row],[P4]]+Tabla[[#This Row],[P3]]+Tabla[[#This Row],[P2]]+Tabla[[#This Row],[P1]]</f>
        <v>416500</v>
      </c>
      <c r="AD757" s="34" t="n">
        <f aca="false">+W757-AC757</f>
        <v>0</v>
      </c>
      <c r="AE757" s="21" t="str">
        <f aca="false">IF(AB757&lt;1,"PAGADA","PENDIENTE")</f>
        <v>PAGADA</v>
      </c>
      <c r="AF757" s="67"/>
      <c r="AG757" s="29" t="str">
        <f aca="false">+Tabla[[#This Row],[ESTADO]]</f>
        <v>ANULA</v>
      </c>
      <c r="AH757" s="68"/>
      <c r="AI757" s="40" t="n">
        <f aca="false">+IF(Tabla[[#This Row],[FECHA PAGO / ABONO]]&lt;1,0,(MONTH(Tabla[[#This Row],[FECHA PAGO / ABONO]])))</f>
        <v>0</v>
      </c>
      <c r="AJ757" s="40" t="n">
        <f aca="false">+IF(Tabla[[#This Row],[FECHA PAGO / ABONO]]&lt;1,0,(YEAR(Tabla[[#This Row],[FECHA PAGO / ABONO]])))</f>
        <v>0</v>
      </c>
      <c r="AK757" s="41"/>
    </row>
    <row r="758" customFormat="false" ht="14.25" hidden="false" customHeight="false" outlineLevel="0" collapsed="false">
      <c r="A758" s="17" t="s">
        <v>219</v>
      </c>
      <c r="B758" s="18" t="s">
        <v>220</v>
      </c>
      <c r="C758" s="18" t="s">
        <v>69</v>
      </c>
      <c r="D758" s="18" t="n">
        <v>119529</v>
      </c>
      <c r="E758" s="21" t="str">
        <f aca="false">+CONCATENATE(Tabla[[#This Row],[RUT]],Tabla[[#This Row],[PROVEEDOR]],Tabla[[#This Row],[FACTURA]])</f>
        <v>76115132-0CANAL 13 SpA.119529</v>
      </c>
      <c r="F758" s="30" t="n">
        <v>46157</v>
      </c>
      <c r="G758" s="31" t="n">
        <f aca="false">+F758+30</f>
        <v>46187</v>
      </c>
      <c r="H758" s="29" t="n">
        <f aca="true">+IF(AE758="PAGADA",0,TODAY()-G758)</f>
        <v>17</v>
      </c>
      <c r="I758" s="29" t="str">
        <f aca="false">+IF(H758&gt;180,"Atrasada",IF(H758&gt;150,"150 dias",IF(H758&gt;120,"120 dias",IF(H758&gt;90,"90 dias",IF(H758&gt;60,"60 dias",IF(H758&gt;30,"30 dias","Al Día"))))))</f>
        <v>Al Día</v>
      </c>
      <c r="J758" s="59" t="s">
        <v>80</v>
      </c>
      <c r="K758" s="60" t="s">
        <v>81</v>
      </c>
      <c r="L758" s="61" t="s">
        <v>326</v>
      </c>
      <c r="M758" s="29" t="n">
        <f aca="false">+YEAR(F758)</f>
        <v>2026</v>
      </c>
      <c r="N758" s="62" t="n">
        <v>2026</v>
      </c>
      <c r="O758" s="63" t="n">
        <v>4</v>
      </c>
      <c r="P758" s="29" t="str">
        <f aca="false">+CONCATENATE(Tabla[[#This Row],[MES CAMPAÑA]],"/",Tabla[[#This Row],[AÑO CAMPAÑA]])</f>
        <v>4/2026</v>
      </c>
      <c r="Q758" s="60" t="s">
        <v>332</v>
      </c>
      <c r="R758" s="29"/>
      <c r="S758" s="64" t="n">
        <v>0</v>
      </c>
      <c r="T758" s="64" t="n">
        <v>2850000</v>
      </c>
      <c r="U758" s="64" t="n">
        <v>541500</v>
      </c>
      <c r="V758" s="65"/>
      <c r="W758" s="24" t="n">
        <v>3391500</v>
      </c>
      <c r="X758" s="36"/>
      <c r="Y758" s="66"/>
      <c r="Z758" s="66"/>
      <c r="AA758" s="66"/>
      <c r="AB758" s="38" t="n">
        <f aca="false">+W758-AC758</f>
        <v>3391500</v>
      </c>
      <c r="AC758" s="34" t="n">
        <f aca="false">+Tabla[[#This Row],[P4]]+Tabla[[#This Row],[P3]]+Tabla[[#This Row],[P2]]+Tabla[[#This Row],[P1]]</f>
        <v>0</v>
      </c>
      <c r="AD758" s="34" t="n">
        <f aca="false">+W758-AC758</f>
        <v>3391500</v>
      </c>
      <c r="AE758" s="21" t="str">
        <f aca="false">IF(AB758&lt;1,"PAGADA","PENDIENTE")</f>
        <v>PENDIENTE</v>
      </c>
      <c r="AF758" s="67"/>
      <c r="AG758" s="29"/>
      <c r="AH758" s="68"/>
      <c r="AI758" s="40" t="n">
        <f aca="false">+IF(Tabla[[#This Row],[FECHA PAGO / ABONO]]&lt;1,0,(MONTH(Tabla[[#This Row],[FECHA PAGO / ABONO]])))</f>
        <v>0</v>
      </c>
      <c r="AJ758" s="40" t="n">
        <f aca="false">+IF(Tabla[[#This Row],[FECHA PAGO / ABONO]]&lt;1,0,(YEAR(Tabla[[#This Row],[FECHA PAGO / ABONO]])))</f>
        <v>0</v>
      </c>
      <c r="AK758" s="41"/>
    </row>
    <row r="759" customFormat="false" ht="14.25" hidden="false" customHeight="false" outlineLevel="0" collapsed="false">
      <c r="A759" s="17" t="s">
        <v>162</v>
      </c>
      <c r="B759" s="18" t="s">
        <v>163</v>
      </c>
      <c r="C759" s="18" t="s">
        <v>69</v>
      </c>
      <c r="D759" s="18" t="n">
        <v>13265</v>
      </c>
      <c r="E759" s="21" t="str">
        <f aca="false">+CONCATENATE(Tabla[[#This Row],[RUT]],Tabla[[#This Row],[PROVEEDOR]],Tabla[[#This Row],[FACTURA]])</f>
        <v>76808030-5MEDIASTREAM SPA13265</v>
      </c>
      <c r="F759" s="30" t="n">
        <v>46157</v>
      </c>
      <c r="G759" s="31" t="n">
        <f aca="false">+F759+30</f>
        <v>46187</v>
      </c>
      <c r="H759" s="29" t="n">
        <f aca="true">+IF(AE759="PAGADA",0,TODAY()-G759)</f>
        <v>17</v>
      </c>
      <c r="I759" s="29" t="str">
        <f aca="false">+IF(H759&gt;180,"Atrasada",IF(H759&gt;150,"150 dias",IF(H759&gt;120,"120 dias",IF(H759&gt;90,"90 dias",IF(H759&gt;60,"60 dias",IF(H759&gt;30,"30 dias","Al Día"))))))</f>
        <v>Al Día</v>
      </c>
      <c r="J759" s="59" t="s">
        <v>80</v>
      </c>
      <c r="K759" s="60" t="s">
        <v>81</v>
      </c>
      <c r="L759" s="61" t="s">
        <v>326</v>
      </c>
      <c r="M759" s="29" t="n">
        <f aca="false">+YEAR(F759)</f>
        <v>2026</v>
      </c>
      <c r="N759" s="62" t="n">
        <v>2026</v>
      </c>
      <c r="O759" s="63" t="n">
        <v>3</v>
      </c>
      <c r="P759" s="29" t="str">
        <f aca="false">+CONCATENATE(Tabla[[#This Row],[MES CAMPAÑA]],"/",Tabla[[#This Row],[AÑO CAMPAÑA]])</f>
        <v>3/2026</v>
      </c>
      <c r="Q759" s="60" t="s">
        <v>105</v>
      </c>
      <c r="R759" s="29"/>
      <c r="S759" s="64" t="n">
        <v>0</v>
      </c>
      <c r="T759" s="64" t="n">
        <v>1200000</v>
      </c>
      <c r="U759" s="64" t="n">
        <v>228000</v>
      </c>
      <c r="V759" s="65"/>
      <c r="W759" s="24" t="n">
        <v>1428000</v>
      </c>
      <c r="X759" s="36"/>
      <c r="Y759" s="66"/>
      <c r="Z759" s="66"/>
      <c r="AA759" s="66"/>
      <c r="AB759" s="38" t="n">
        <f aca="false">+W759-AC759</f>
        <v>1428000</v>
      </c>
      <c r="AC759" s="34" t="n">
        <f aca="false">+Tabla[[#This Row],[P4]]+Tabla[[#This Row],[P3]]+Tabla[[#This Row],[P2]]+Tabla[[#This Row],[P1]]</f>
        <v>0</v>
      </c>
      <c r="AD759" s="34" t="n">
        <f aca="false">+W759-AC759</f>
        <v>1428000</v>
      </c>
      <c r="AE759" s="21" t="str">
        <f aca="false">IF(AB759&lt;1,"PAGADA","PENDIENTE")</f>
        <v>PENDIENTE</v>
      </c>
      <c r="AF759" s="67"/>
      <c r="AG759" s="29"/>
      <c r="AH759" s="68"/>
      <c r="AI759" s="40" t="n">
        <f aca="false">+IF(Tabla[[#This Row],[FECHA PAGO / ABONO]]&lt;1,0,(MONTH(Tabla[[#This Row],[FECHA PAGO / ABONO]])))</f>
        <v>0</v>
      </c>
      <c r="AJ759" s="40" t="n">
        <f aca="false">+IF(Tabla[[#This Row],[FECHA PAGO / ABONO]]&lt;1,0,(YEAR(Tabla[[#This Row],[FECHA PAGO / ABONO]])))</f>
        <v>0</v>
      </c>
      <c r="AK759" s="41"/>
    </row>
    <row r="760" customFormat="false" ht="14.25" hidden="false" customHeight="false" outlineLevel="0" collapsed="false">
      <c r="A760" s="17" t="s">
        <v>162</v>
      </c>
      <c r="B760" s="18" t="s">
        <v>163</v>
      </c>
      <c r="C760" s="18" t="s">
        <v>69</v>
      </c>
      <c r="D760" s="18" t="n">
        <v>13266</v>
      </c>
      <c r="E760" s="21" t="str">
        <f aca="false">+CONCATENATE(Tabla[[#This Row],[RUT]],Tabla[[#This Row],[PROVEEDOR]],Tabla[[#This Row],[FACTURA]])</f>
        <v>76808030-5MEDIASTREAM SPA13266</v>
      </c>
      <c r="F760" s="30" t="n">
        <v>46157</v>
      </c>
      <c r="G760" s="31" t="n">
        <f aca="false">+F760+30</f>
        <v>46187</v>
      </c>
      <c r="H760" s="29" t="n">
        <f aca="true">+IF(AE760="PAGADA",0,TODAY()-G760)</f>
        <v>17</v>
      </c>
      <c r="I760" s="29" t="str">
        <f aca="false">+IF(H760&gt;180,"Atrasada",IF(H760&gt;150,"150 dias",IF(H760&gt;120,"120 dias",IF(H760&gt;90,"90 dias",IF(H760&gt;60,"60 dias",IF(H760&gt;30,"30 dias","Al Día"))))))</f>
        <v>Al Día</v>
      </c>
      <c r="J760" s="59" t="s">
        <v>80</v>
      </c>
      <c r="K760" s="60" t="s">
        <v>81</v>
      </c>
      <c r="L760" s="61" t="s">
        <v>326</v>
      </c>
      <c r="M760" s="29" t="n">
        <f aca="false">+YEAR(F760)</f>
        <v>2026</v>
      </c>
      <c r="N760" s="62" t="n">
        <v>2026</v>
      </c>
      <c r="O760" s="63" t="n">
        <v>4</v>
      </c>
      <c r="P760" s="29" t="str">
        <f aca="false">+CONCATENATE(Tabla[[#This Row],[MES CAMPAÑA]],"/",Tabla[[#This Row],[AÑO CAMPAÑA]])</f>
        <v>4/2026</v>
      </c>
      <c r="Q760" s="60" t="s">
        <v>105</v>
      </c>
      <c r="R760" s="29"/>
      <c r="S760" s="64" t="n">
        <v>0</v>
      </c>
      <c r="T760" s="64" t="n">
        <v>1800000</v>
      </c>
      <c r="U760" s="64" t="n">
        <v>342000</v>
      </c>
      <c r="V760" s="65"/>
      <c r="W760" s="24" t="n">
        <v>2142000</v>
      </c>
      <c r="X760" s="36"/>
      <c r="Y760" s="66"/>
      <c r="Z760" s="66"/>
      <c r="AA760" s="66"/>
      <c r="AB760" s="38" t="n">
        <f aca="false">+W760-AC760</f>
        <v>2142000</v>
      </c>
      <c r="AC760" s="34" t="n">
        <f aca="false">+Tabla[[#This Row],[P4]]+Tabla[[#This Row],[P3]]+Tabla[[#This Row],[P2]]+Tabla[[#This Row],[P1]]</f>
        <v>0</v>
      </c>
      <c r="AD760" s="34" t="n">
        <f aca="false">+W760-AC760</f>
        <v>2142000</v>
      </c>
      <c r="AE760" s="21" t="str">
        <f aca="false">IF(AB760&lt;1,"PAGADA","PENDIENTE")</f>
        <v>PENDIENTE</v>
      </c>
      <c r="AF760" s="67"/>
      <c r="AG760" s="29"/>
      <c r="AH760" s="68"/>
      <c r="AI760" s="40" t="n">
        <f aca="false">+IF(Tabla[[#This Row],[FECHA PAGO / ABONO]]&lt;1,0,(MONTH(Tabla[[#This Row],[FECHA PAGO / ABONO]])))</f>
        <v>0</v>
      </c>
      <c r="AJ760" s="40" t="n">
        <f aca="false">+IF(Tabla[[#This Row],[FECHA PAGO / ABONO]]&lt;1,0,(YEAR(Tabla[[#This Row],[FECHA PAGO / ABONO]])))</f>
        <v>0</v>
      </c>
      <c r="AK760" s="41"/>
    </row>
    <row r="761" customFormat="false" ht="14.25" hidden="false" customHeight="false" outlineLevel="0" collapsed="false">
      <c r="A761" s="17" t="s">
        <v>195</v>
      </c>
      <c r="B761" s="18" t="s">
        <v>196</v>
      </c>
      <c r="C761" s="18" t="s">
        <v>69</v>
      </c>
      <c r="D761" s="18" t="n">
        <v>626</v>
      </c>
      <c r="E761" s="21" t="str">
        <f aca="false">+CONCATENATE(Tabla[[#This Row],[RUT]],Tabla[[#This Row],[PROVEEDOR]],Tabla[[#This Row],[FACTURA]])</f>
        <v>5345224-8RICARDO JOSE JESUS ROJAS NAVARRETE626</v>
      </c>
      <c r="F761" s="30" t="n">
        <v>46157</v>
      </c>
      <c r="G761" s="31" t="n">
        <f aca="false">+F761+30</f>
        <v>46187</v>
      </c>
      <c r="H761" s="29" t="n">
        <f aca="true">+IF(AE761="PAGADA",0,TODAY()-G761)</f>
        <v>0</v>
      </c>
      <c r="I761" s="29" t="str">
        <f aca="false">+IF(H761&gt;180,"Atrasada",IF(H761&gt;150,"150 dias",IF(H761&gt;120,"120 dias",IF(H761&gt;90,"90 dias",IF(H761&gt;60,"60 dias",IF(H761&gt;30,"30 dias","Al Día"))))))</f>
        <v>Al Día</v>
      </c>
      <c r="J761" s="59" t="s">
        <v>80</v>
      </c>
      <c r="K761" s="60" t="s">
        <v>81</v>
      </c>
      <c r="L761" s="61" t="s">
        <v>326</v>
      </c>
      <c r="M761" s="29" t="n">
        <f aca="false">+YEAR(F761)</f>
        <v>2026</v>
      </c>
      <c r="N761" s="62" t="n">
        <v>2026</v>
      </c>
      <c r="O761" s="63" t="n">
        <v>4</v>
      </c>
      <c r="P761" s="29" t="str">
        <f aca="false">+CONCATENATE(Tabla[[#This Row],[MES CAMPAÑA]],"/",Tabla[[#This Row],[AÑO CAMPAÑA]])</f>
        <v>4/2026</v>
      </c>
      <c r="Q761" s="60" t="s">
        <v>108</v>
      </c>
      <c r="R761" s="29"/>
      <c r="S761" s="64" t="n">
        <v>0</v>
      </c>
      <c r="T761" s="64" t="n">
        <v>303600</v>
      </c>
      <c r="U761" s="64" t="n">
        <v>57684</v>
      </c>
      <c r="V761" s="65"/>
      <c r="W761" s="24" t="n">
        <v>361284</v>
      </c>
      <c r="X761" s="36" t="n">
        <f aca="false">+Tabla[[#This Row],[TOTAL]]</f>
        <v>361284</v>
      </c>
      <c r="Y761" s="66"/>
      <c r="Z761" s="66"/>
      <c r="AA761" s="66"/>
      <c r="AB761" s="38" t="n">
        <f aca="false">+W761-AC761</f>
        <v>0</v>
      </c>
      <c r="AC761" s="34" t="n">
        <f aca="false">+Tabla[[#This Row],[P4]]+Tabla[[#This Row],[P3]]+Tabla[[#This Row],[P2]]+Tabla[[#This Row],[P1]]</f>
        <v>361284</v>
      </c>
      <c r="AD761" s="34" t="n">
        <f aca="false">+W761-AC761</f>
        <v>0</v>
      </c>
      <c r="AE761" s="21" t="str">
        <f aca="false">IF(AB761&lt;1,"PAGADA","PENDIENTE")</f>
        <v>PAGADA</v>
      </c>
      <c r="AF761" s="67"/>
      <c r="AG761" s="29" t="s">
        <v>77</v>
      </c>
      <c r="AH761" s="69" t="n">
        <v>46185</v>
      </c>
      <c r="AI761" s="40" t="n">
        <f aca="false">+IF(Tabla[[#This Row],[FECHA PAGO / ABONO]]&lt;1,0,(MONTH(Tabla[[#This Row],[FECHA PAGO / ABONO]])))</f>
        <v>6</v>
      </c>
      <c r="AJ761" s="40" t="n">
        <f aca="false">+IF(Tabla[[#This Row],[FECHA PAGO / ABONO]]&lt;1,0,(YEAR(Tabla[[#This Row],[FECHA PAGO / ABONO]])))</f>
        <v>2026</v>
      </c>
      <c r="AK761" s="41"/>
    </row>
    <row r="762" customFormat="false" ht="14.25" hidden="false" customHeight="false" outlineLevel="0" collapsed="false">
      <c r="A762" s="17" t="s">
        <v>131</v>
      </c>
      <c r="B762" s="18" t="s">
        <v>132</v>
      </c>
      <c r="C762" s="18" t="s">
        <v>69</v>
      </c>
      <c r="D762" s="18" t="n">
        <v>18007123</v>
      </c>
      <c r="E762" s="21" t="str">
        <f aca="false">+CONCATENATE(Tabla[[#This Row],[RUT]],Tabla[[#This Row],[PROVEEDOR]],Tabla[[#This Row],[FACTURA]])</f>
        <v>78921690-8WOM S.A.18007123</v>
      </c>
      <c r="F762" s="30" t="n">
        <v>46158</v>
      </c>
      <c r="G762" s="31" t="n">
        <f aca="false">+F762+30</f>
        <v>46188</v>
      </c>
      <c r="H762" s="29" t="n">
        <f aca="true">+IF(AE762="PAGADA",0,TODAY()-G762)</f>
        <v>0</v>
      </c>
      <c r="I762" s="29" t="str">
        <f aca="false">+IF(H762&gt;180,"Atrasada",IF(H762&gt;150,"150 dias",IF(H762&gt;120,"120 dias",IF(H762&gt;90,"90 dias",IF(H762&gt;60,"60 dias",IF(H762&gt;30,"30 dias","Al Día"))))))</f>
        <v>Al Día</v>
      </c>
      <c r="J762" s="59" t="s">
        <v>31</v>
      </c>
      <c r="K762" s="60" t="s">
        <v>81</v>
      </c>
      <c r="L762" s="61" t="s">
        <v>326</v>
      </c>
      <c r="M762" s="29" t="n">
        <f aca="false">+YEAR(F762)</f>
        <v>2026</v>
      </c>
      <c r="N762" s="62" t="n">
        <v>2026</v>
      </c>
      <c r="O762" s="63" t="n">
        <v>4</v>
      </c>
      <c r="P762" s="29" t="str">
        <f aca="false">+CONCATENATE(Tabla[[#This Row],[MES CAMPAÑA]],"/",Tabla[[#This Row],[AÑO CAMPAÑA]])</f>
        <v>4/2026</v>
      </c>
      <c r="Q762" s="60" t="s">
        <v>73</v>
      </c>
      <c r="R762" s="29"/>
      <c r="S762" s="64" t="n">
        <v>0</v>
      </c>
      <c r="T762" s="64" t="n">
        <v>13104</v>
      </c>
      <c r="U762" s="64" t="n">
        <v>2490</v>
      </c>
      <c r="V762" s="65"/>
      <c r="W762" s="24" t="n">
        <v>15594</v>
      </c>
      <c r="X762" s="36" t="n">
        <f aca="false">+Tabla[[#This Row],[TOTAL]]</f>
        <v>15594</v>
      </c>
      <c r="Y762" s="66"/>
      <c r="Z762" s="66"/>
      <c r="AA762" s="66"/>
      <c r="AB762" s="38" t="n">
        <f aca="false">+W762-AC762</f>
        <v>0</v>
      </c>
      <c r="AC762" s="34" t="n">
        <f aca="false">+Tabla[[#This Row],[P4]]+Tabla[[#This Row],[P3]]+Tabla[[#This Row],[P2]]+Tabla[[#This Row],[P1]]</f>
        <v>15594</v>
      </c>
      <c r="AD762" s="34" t="n">
        <f aca="false">+W762-AC762</f>
        <v>0</v>
      </c>
      <c r="AE762" s="21" t="str">
        <f aca="false">IF(AB762&lt;1,"PAGADA","PENDIENTE")</f>
        <v>PAGADA</v>
      </c>
      <c r="AF762" s="67"/>
      <c r="AG762" s="29" t="s">
        <v>329</v>
      </c>
      <c r="AH762" s="68"/>
      <c r="AI762" s="40" t="n">
        <f aca="false">+IF(Tabla[[#This Row],[FECHA PAGO / ABONO]]&lt;1,0,(MONTH(Tabla[[#This Row],[FECHA PAGO / ABONO]])))</f>
        <v>0</v>
      </c>
      <c r="AJ762" s="40" t="n">
        <f aca="false">+IF(Tabla[[#This Row],[FECHA PAGO / ABONO]]&lt;1,0,(YEAR(Tabla[[#This Row],[FECHA PAGO / ABONO]])))</f>
        <v>0</v>
      </c>
      <c r="AK762" s="41"/>
    </row>
    <row r="763" customFormat="false" ht="14.25" hidden="false" customHeight="false" outlineLevel="0" collapsed="false">
      <c r="A763" s="17" t="s">
        <v>78</v>
      </c>
      <c r="B763" s="18" t="s">
        <v>79</v>
      </c>
      <c r="C763" s="18" t="s">
        <v>69</v>
      </c>
      <c r="D763" s="18" t="n">
        <v>113299</v>
      </c>
      <c r="E763" s="21" t="str">
        <f aca="false">+CONCATENATE(Tabla[[#This Row],[RUT]],Tabla[[#This Row],[PROVEEDOR]],Tabla[[#This Row],[FACTURA]])</f>
        <v>96516560-6BIO BIO COMUNICACIONES S.A.113299</v>
      </c>
      <c r="F763" s="30" t="n">
        <v>46160</v>
      </c>
      <c r="G763" s="31" t="n">
        <f aca="false">+F763+30</f>
        <v>46190</v>
      </c>
      <c r="H763" s="29" t="n">
        <f aca="true">+IF(AE763="PAGADA",0,TODAY()-G763)</f>
        <v>14</v>
      </c>
      <c r="I763" s="29" t="str">
        <f aca="false">+IF(H763&gt;180,"Atrasada",IF(H763&gt;150,"150 dias",IF(H763&gt;120,"120 dias",IF(H763&gt;90,"90 dias",IF(H763&gt;60,"60 dias",IF(H763&gt;30,"30 dias","Al Día"))))))</f>
        <v>Al Día</v>
      </c>
      <c r="J763" s="59" t="s">
        <v>80</v>
      </c>
      <c r="K763" s="60" t="s">
        <v>81</v>
      </c>
      <c r="L763" s="61" t="s">
        <v>326</v>
      </c>
      <c r="M763" s="29" t="n">
        <f aca="false">+YEAR(F763)</f>
        <v>2026</v>
      </c>
      <c r="N763" s="62" t="n">
        <v>2026</v>
      </c>
      <c r="O763" s="63" t="n">
        <v>4</v>
      </c>
      <c r="P763" s="29" t="str">
        <f aca="false">+CONCATENATE(Tabla[[#This Row],[MES CAMPAÑA]],"/",Tabla[[#This Row],[AÑO CAMPAÑA]])</f>
        <v>4/2026</v>
      </c>
      <c r="Q763" s="60" t="s">
        <v>105</v>
      </c>
      <c r="R763" s="29"/>
      <c r="S763" s="64" t="n">
        <v>0</v>
      </c>
      <c r="T763" s="64" t="n">
        <v>5580000</v>
      </c>
      <c r="U763" s="64" t="n">
        <v>1060200</v>
      </c>
      <c r="V763" s="65"/>
      <c r="W763" s="24" t="n">
        <v>6640200</v>
      </c>
      <c r="X763" s="36"/>
      <c r="Y763" s="66"/>
      <c r="Z763" s="66"/>
      <c r="AA763" s="66"/>
      <c r="AB763" s="38" t="n">
        <f aca="false">+W763-AC763</f>
        <v>6640200</v>
      </c>
      <c r="AC763" s="34" t="n">
        <f aca="false">+Tabla[[#This Row],[P4]]+Tabla[[#This Row],[P3]]+Tabla[[#This Row],[P2]]+Tabla[[#This Row],[P1]]</f>
        <v>0</v>
      </c>
      <c r="AD763" s="34" t="n">
        <f aca="false">+W763-AC763</f>
        <v>6640200</v>
      </c>
      <c r="AE763" s="21" t="str">
        <f aca="false">IF(AB763&lt;1,"PAGADA","PENDIENTE")</f>
        <v>PENDIENTE</v>
      </c>
      <c r="AF763" s="67"/>
      <c r="AG763" s="29"/>
      <c r="AH763" s="68"/>
      <c r="AI763" s="40" t="n">
        <f aca="false">+IF(Tabla[[#This Row],[FECHA PAGO / ABONO]]&lt;1,0,(MONTH(Tabla[[#This Row],[FECHA PAGO / ABONO]])))</f>
        <v>0</v>
      </c>
      <c r="AJ763" s="40" t="n">
        <f aca="false">+IF(Tabla[[#This Row],[FECHA PAGO / ABONO]]&lt;1,0,(YEAR(Tabla[[#This Row],[FECHA PAGO / ABONO]])))</f>
        <v>0</v>
      </c>
      <c r="AK763" s="41"/>
    </row>
    <row r="764" customFormat="false" ht="14.25" hidden="false" customHeight="false" outlineLevel="0" collapsed="false">
      <c r="A764" s="17" t="s">
        <v>78</v>
      </c>
      <c r="B764" s="18" t="s">
        <v>79</v>
      </c>
      <c r="C764" s="18" t="s">
        <v>69</v>
      </c>
      <c r="D764" s="18" t="n">
        <v>113300</v>
      </c>
      <c r="E764" s="21" t="str">
        <f aca="false">+CONCATENATE(Tabla[[#This Row],[RUT]],Tabla[[#This Row],[PROVEEDOR]],Tabla[[#This Row],[FACTURA]])</f>
        <v>96516560-6BIO BIO COMUNICACIONES S.A.113300</v>
      </c>
      <c r="F764" s="30" t="n">
        <v>46160</v>
      </c>
      <c r="G764" s="31" t="n">
        <f aca="false">+F764+30</f>
        <v>46190</v>
      </c>
      <c r="H764" s="29" t="n">
        <f aca="true">+IF(AE764="PAGADA",0,TODAY()-G764)</f>
        <v>14</v>
      </c>
      <c r="I764" s="29" t="str">
        <f aca="false">+IF(H764&gt;180,"Atrasada",IF(H764&gt;150,"150 dias",IF(H764&gt;120,"120 dias",IF(H764&gt;90,"90 dias",IF(H764&gt;60,"60 dias",IF(H764&gt;30,"30 dias","Al Día"))))))</f>
        <v>Al Día</v>
      </c>
      <c r="J764" s="59" t="s">
        <v>80</v>
      </c>
      <c r="K764" s="60" t="s">
        <v>81</v>
      </c>
      <c r="L764" s="61" t="s">
        <v>326</v>
      </c>
      <c r="M764" s="29" t="n">
        <f aca="false">+YEAR(F764)</f>
        <v>2026</v>
      </c>
      <c r="N764" s="62" t="n">
        <v>2026</v>
      </c>
      <c r="O764" s="63" t="n">
        <v>4</v>
      </c>
      <c r="P764" s="29" t="str">
        <f aca="false">+CONCATENATE(Tabla[[#This Row],[MES CAMPAÑA]],"/",Tabla[[#This Row],[AÑO CAMPAÑA]])</f>
        <v>4/2026</v>
      </c>
      <c r="Q764" s="60" t="s">
        <v>108</v>
      </c>
      <c r="R764" s="29"/>
      <c r="S764" s="64" t="n">
        <v>0</v>
      </c>
      <c r="T764" s="64" t="n">
        <v>7452920</v>
      </c>
      <c r="U764" s="64" t="n">
        <v>1416055</v>
      </c>
      <c r="V764" s="65"/>
      <c r="W764" s="24" t="n">
        <v>8868975</v>
      </c>
      <c r="X764" s="36"/>
      <c r="Y764" s="66"/>
      <c r="Z764" s="66"/>
      <c r="AA764" s="66"/>
      <c r="AB764" s="38" t="n">
        <f aca="false">+W764-AC764</f>
        <v>8868975</v>
      </c>
      <c r="AC764" s="34" t="n">
        <f aca="false">+Tabla[[#This Row],[P4]]+Tabla[[#This Row],[P3]]+Tabla[[#This Row],[P2]]+Tabla[[#This Row],[P1]]</f>
        <v>0</v>
      </c>
      <c r="AD764" s="34" t="n">
        <f aca="false">+W764-AC764</f>
        <v>8868975</v>
      </c>
      <c r="AE764" s="21" t="str">
        <f aca="false">IF(AB764&lt;1,"PAGADA","PENDIENTE")</f>
        <v>PENDIENTE</v>
      </c>
      <c r="AF764" s="67"/>
      <c r="AG764" s="29"/>
      <c r="AH764" s="68"/>
      <c r="AI764" s="40" t="n">
        <f aca="false">+IF(Tabla[[#This Row],[FECHA PAGO / ABONO]]&lt;1,0,(MONTH(Tabla[[#This Row],[FECHA PAGO / ABONO]])))</f>
        <v>0</v>
      </c>
      <c r="AJ764" s="40" t="n">
        <f aca="false">+IF(Tabla[[#This Row],[FECHA PAGO / ABONO]]&lt;1,0,(YEAR(Tabla[[#This Row],[FECHA PAGO / ABONO]])))</f>
        <v>0</v>
      </c>
      <c r="AK764" s="41"/>
    </row>
    <row r="765" customFormat="false" ht="14.25" hidden="false" customHeight="false" outlineLevel="0" collapsed="false">
      <c r="A765" s="17" t="s">
        <v>78</v>
      </c>
      <c r="B765" s="18" t="s">
        <v>79</v>
      </c>
      <c r="C765" s="18" t="s">
        <v>69</v>
      </c>
      <c r="D765" s="18" t="n">
        <v>113308</v>
      </c>
      <c r="E765" s="21" t="str">
        <f aca="false">+CONCATENATE(Tabla[[#This Row],[RUT]],Tabla[[#This Row],[PROVEEDOR]],Tabla[[#This Row],[FACTURA]])</f>
        <v>96516560-6BIO BIO COMUNICACIONES S.A.113308</v>
      </c>
      <c r="F765" s="30" t="n">
        <v>46160</v>
      </c>
      <c r="G765" s="31" t="n">
        <f aca="false">+F765+30</f>
        <v>46190</v>
      </c>
      <c r="H765" s="29" t="n">
        <f aca="true">+IF(AE765="PAGADA",0,TODAY()-G765)</f>
        <v>14</v>
      </c>
      <c r="I765" s="29" t="str">
        <f aca="false">+IF(H765&gt;180,"Atrasada",IF(H765&gt;150,"150 dias",IF(H765&gt;120,"120 dias",IF(H765&gt;90,"90 dias",IF(H765&gt;60,"60 dias",IF(H765&gt;30,"30 dias","Al Día"))))))</f>
        <v>Al Día</v>
      </c>
      <c r="J765" s="59" t="s">
        <v>80</v>
      </c>
      <c r="K765" s="60" t="s">
        <v>81</v>
      </c>
      <c r="L765" s="61" t="s">
        <v>326</v>
      </c>
      <c r="M765" s="29" t="n">
        <f aca="false">+YEAR(F765)</f>
        <v>2026</v>
      </c>
      <c r="N765" s="62" t="n">
        <v>2026</v>
      </c>
      <c r="O765" s="63" t="n">
        <v>4</v>
      </c>
      <c r="P765" s="29" t="str">
        <f aca="false">+CONCATENATE(Tabla[[#This Row],[MES CAMPAÑA]],"/",Tabla[[#This Row],[AÑO CAMPAÑA]])</f>
        <v>4/2026</v>
      </c>
      <c r="Q765" s="60" t="s">
        <v>323</v>
      </c>
      <c r="R765" s="29"/>
      <c r="S765" s="64" t="n">
        <v>0</v>
      </c>
      <c r="T765" s="64" t="n">
        <v>1433260</v>
      </c>
      <c r="U765" s="64" t="n">
        <v>272319</v>
      </c>
      <c r="V765" s="65"/>
      <c r="W765" s="24" t="n">
        <v>1705579</v>
      </c>
      <c r="X765" s="36"/>
      <c r="Y765" s="66"/>
      <c r="Z765" s="66"/>
      <c r="AA765" s="66"/>
      <c r="AB765" s="38" t="n">
        <f aca="false">+W765-AC765</f>
        <v>1705579</v>
      </c>
      <c r="AC765" s="34" t="n">
        <f aca="false">+Tabla[[#This Row],[P4]]+Tabla[[#This Row],[P3]]+Tabla[[#This Row],[P2]]+Tabla[[#This Row],[P1]]</f>
        <v>0</v>
      </c>
      <c r="AD765" s="34" t="n">
        <f aca="false">+W765-AC765</f>
        <v>1705579</v>
      </c>
      <c r="AE765" s="21" t="str">
        <f aca="false">IF(AB765&lt;1,"PAGADA","PENDIENTE")</f>
        <v>PENDIENTE</v>
      </c>
      <c r="AF765" s="67"/>
      <c r="AG765" s="29"/>
      <c r="AH765" s="68"/>
      <c r="AI765" s="40" t="n">
        <f aca="false">+IF(Tabla[[#This Row],[FECHA PAGO / ABONO]]&lt;1,0,(MONTH(Tabla[[#This Row],[FECHA PAGO / ABONO]])))</f>
        <v>0</v>
      </c>
      <c r="AJ765" s="40" t="n">
        <f aca="false">+IF(Tabla[[#This Row],[FECHA PAGO / ABONO]]&lt;1,0,(YEAR(Tabla[[#This Row],[FECHA PAGO / ABONO]])))</f>
        <v>0</v>
      </c>
      <c r="AK765" s="41"/>
    </row>
    <row r="766" customFormat="false" ht="14.25" hidden="false" customHeight="false" outlineLevel="0" collapsed="false">
      <c r="A766" s="17" t="s">
        <v>78</v>
      </c>
      <c r="B766" s="18" t="s">
        <v>79</v>
      </c>
      <c r="C766" s="18" t="s">
        <v>69</v>
      </c>
      <c r="D766" s="18" t="n">
        <v>113309</v>
      </c>
      <c r="E766" s="21" t="str">
        <f aca="false">+CONCATENATE(Tabla[[#This Row],[RUT]],Tabla[[#This Row],[PROVEEDOR]],Tabla[[#This Row],[FACTURA]])</f>
        <v>96516560-6BIO BIO COMUNICACIONES S.A.113309</v>
      </c>
      <c r="F766" s="30" t="n">
        <v>46160</v>
      </c>
      <c r="G766" s="31" t="n">
        <f aca="false">+F766+30</f>
        <v>46190</v>
      </c>
      <c r="H766" s="29" t="n">
        <f aca="true">+IF(AE766="PAGADA",0,TODAY()-G766)</f>
        <v>14</v>
      </c>
      <c r="I766" s="29" t="str">
        <f aca="false">+IF(H766&gt;180,"Atrasada",IF(H766&gt;150,"150 dias",IF(H766&gt;120,"120 dias",IF(H766&gt;90,"90 dias",IF(H766&gt;60,"60 dias",IF(H766&gt;30,"30 dias","Al Día"))))))</f>
        <v>Al Día</v>
      </c>
      <c r="J766" s="59" t="s">
        <v>80</v>
      </c>
      <c r="K766" s="60" t="s">
        <v>81</v>
      </c>
      <c r="L766" s="61" t="s">
        <v>326</v>
      </c>
      <c r="M766" s="29" t="n">
        <f aca="false">+YEAR(F766)</f>
        <v>2026</v>
      </c>
      <c r="N766" s="62" t="n">
        <v>2026</v>
      </c>
      <c r="O766" s="63" t="n">
        <v>4</v>
      </c>
      <c r="P766" s="29" t="str">
        <f aca="false">+CONCATENATE(Tabla[[#This Row],[MES CAMPAÑA]],"/",Tabla[[#This Row],[AÑO CAMPAÑA]])</f>
        <v>4/2026</v>
      </c>
      <c r="Q766" s="60" t="s">
        <v>105</v>
      </c>
      <c r="R766" s="29"/>
      <c r="S766" s="64" t="n">
        <v>0</v>
      </c>
      <c r="T766" s="64" t="n">
        <v>525800</v>
      </c>
      <c r="U766" s="64" t="n">
        <v>99902</v>
      </c>
      <c r="V766" s="65"/>
      <c r="W766" s="24" t="n">
        <v>625702</v>
      </c>
      <c r="X766" s="36"/>
      <c r="Y766" s="66"/>
      <c r="Z766" s="66"/>
      <c r="AA766" s="66"/>
      <c r="AB766" s="38" t="n">
        <f aca="false">+W766-AC766</f>
        <v>625702</v>
      </c>
      <c r="AC766" s="34" t="n">
        <f aca="false">+Tabla[[#This Row],[P4]]+Tabla[[#This Row],[P3]]+Tabla[[#This Row],[P2]]+Tabla[[#This Row],[P1]]</f>
        <v>0</v>
      </c>
      <c r="AD766" s="34" t="n">
        <f aca="false">+W766-AC766</f>
        <v>625702</v>
      </c>
      <c r="AE766" s="21" t="str">
        <f aca="false">IF(AB766&lt;1,"PAGADA","PENDIENTE")</f>
        <v>PENDIENTE</v>
      </c>
      <c r="AF766" s="67"/>
      <c r="AG766" s="29"/>
      <c r="AH766" s="68"/>
      <c r="AI766" s="40" t="n">
        <f aca="false">+IF(Tabla[[#This Row],[FECHA PAGO / ABONO]]&lt;1,0,(MONTH(Tabla[[#This Row],[FECHA PAGO / ABONO]])))</f>
        <v>0</v>
      </c>
      <c r="AJ766" s="40" t="n">
        <f aca="false">+IF(Tabla[[#This Row],[FECHA PAGO / ABONO]]&lt;1,0,(YEAR(Tabla[[#This Row],[FECHA PAGO / ABONO]])))</f>
        <v>0</v>
      </c>
      <c r="AK766" s="41"/>
    </row>
    <row r="767" customFormat="false" ht="14.25" hidden="false" customHeight="false" outlineLevel="0" collapsed="false">
      <c r="A767" s="17" t="s">
        <v>169</v>
      </c>
      <c r="B767" s="18" t="s">
        <v>170</v>
      </c>
      <c r="C767" s="18" t="s">
        <v>69</v>
      </c>
      <c r="D767" s="18" t="n">
        <v>33584</v>
      </c>
      <c r="E767" s="21" t="str">
        <f aca="false">+CONCATENATE(Tabla[[#This Row],[RUT]],Tabla[[#This Row],[PROVEEDOR]],Tabla[[#This Row],[FACTURA]])</f>
        <v>78319760-KSOC. RADIO DIFUSORA F.M 102 LTDA.33584</v>
      </c>
      <c r="F767" s="30" t="n">
        <v>46160</v>
      </c>
      <c r="G767" s="31" t="n">
        <f aca="false">+F767+30</f>
        <v>46190</v>
      </c>
      <c r="H767" s="29" t="n">
        <f aca="true">+IF(AE767="PAGADA",0,TODAY()-G767)</f>
        <v>14</v>
      </c>
      <c r="I767" s="29" t="str">
        <f aca="false">+IF(H767&gt;180,"Atrasada",IF(H767&gt;150,"150 dias",IF(H767&gt;120,"120 dias",IF(H767&gt;90,"90 dias",IF(H767&gt;60,"60 dias",IF(H767&gt;30,"30 dias","Al Día"))))))</f>
        <v>Al Día</v>
      </c>
      <c r="J767" s="59" t="s">
        <v>80</v>
      </c>
      <c r="K767" s="60" t="s">
        <v>81</v>
      </c>
      <c r="L767" s="61" t="s">
        <v>326</v>
      </c>
      <c r="M767" s="29" t="n">
        <f aca="false">+YEAR(F767)</f>
        <v>2026</v>
      </c>
      <c r="N767" s="62" t="n">
        <v>2026</v>
      </c>
      <c r="O767" s="63" t="n">
        <v>4</v>
      </c>
      <c r="P767" s="29" t="str">
        <f aca="false">+CONCATENATE(Tabla[[#This Row],[MES CAMPAÑA]],"/",Tabla[[#This Row],[AÑO CAMPAÑA]])</f>
        <v>4/2026</v>
      </c>
      <c r="Q767" s="60" t="s">
        <v>105</v>
      </c>
      <c r="R767" s="29"/>
      <c r="S767" s="64" t="n">
        <v>0</v>
      </c>
      <c r="T767" s="64" t="n">
        <v>410520</v>
      </c>
      <c r="U767" s="64" t="n">
        <v>77999</v>
      </c>
      <c r="V767" s="65"/>
      <c r="W767" s="24" t="n">
        <v>488519</v>
      </c>
      <c r="X767" s="36"/>
      <c r="Y767" s="66"/>
      <c r="Z767" s="66"/>
      <c r="AA767" s="66"/>
      <c r="AB767" s="38" t="n">
        <f aca="false">+W767-AC767</f>
        <v>488519</v>
      </c>
      <c r="AC767" s="34" t="n">
        <f aca="false">+Tabla[[#This Row],[P4]]+Tabla[[#This Row],[P3]]+Tabla[[#This Row],[P2]]+Tabla[[#This Row],[P1]]</f>
        <v>0</v>
      </c>
      <c r="AD767" s="34" t="n">
        <f aca="false">+W767-AC767</f>
        <v>488519</v>
      </c>
      <c r="AE767" s="21" t="str">
        <f aca="false">IF(AB767&lt;1,"PAGADA","PENDIENTE")</f>
        <v>PENDIENTE</v>
      </c>
      <c r="AF767" s="67"/>
      <c r="AG767" s="29"/>
      <c r="AH767" s="68"/>
      <c r="AI767" s="40" t="n">
        <f aca="false">+IF(Tabla[[#This Row],[FECHA PAGO / ABONO]]&lt;1,0,(MONTH(Tabla[[#This Row],[FECHA PAGO / ABONO]])))</f>
        <v>0</v>
      </c>
      <c r="AJ767" s="40" t="n">
        <f aca="false">+IF(Tabla[[#This Row],[FECHA PAGO / ABONO]]&lt;1,0,(YEAR(Tabla[[#This Row],[FECHA PAGO / ABONO]])))</f>
        <v>0</v>
      </c>
      <c r="AK767" s="41"/>
    </row>
    <row r="768" customFormat="false" ht="14.25" hidden="false" customHeight="false" outlineLevel="0" collapsed="false">
      <c r="A768" s="17" t="s">
        <v>78</v>
      </c>
      <c r="B768" s="18" t="s">
        <v>79</v>
      </c>
      <c r="C768" s="18" t="s">
        <v>69</v>
      </c>
      <c r="D768" s="18" t="n">
        <v>113310</v>
      </c>
      <c r="E768" s="21" t="str">
        <f aca="false">+CONCATENATE(Tabla[[#This Row],[RUT]],Tabla[[#This Row],[PROVEEDOR]],Tabla[[#This Row],[FACTURA]])</f>
        <v>96516560-6BIO BIO COMUNICACIONES S.A.113310</v>
      </c>
      <c r="F768" s="30" t="n">
        <v>46160</v>
      </c>
      <c r="G768" s="31" t="n">
        <f aca="false">+F768+30</f>
        <v>46190</v>
      </c>
      <c r="H768" s="29" t="n">
        <f aca="true">+IF(AE768="PAGADA",0,TODAY()-G768)</f>
        <v>14</v>
      </c>
      <c r="I768" s="29" t="str">
        <f aca="false">+IF(H768&gt;180,"Atrasada",IF(H768&gt;150,"150 dias",IF(H768&gt;120,"120 dias",IF(H768&gt;90,"90 dias",IF(H768&gt;60,"60 dias",IF(H768&gt;30,"30 dias","Al Día"))))))</f>
        <v>Al Día</v>
      </c>
      <c r="J768" s="59" t="s">
        <v>80</v>
      </c>
      <c r="K768" s="60" t="s">
        <v>81</v>
      </c>
      <c r="L768" s="61" t="s">
        <v>326</v>
      </c>
      <c r="M768" s="29" t="n">
        <f aca="false">+YEAR(F768)</f>
        <v>2026</v>
      </c>
      <c r="N768" s="62" t="n">
        <v>2026</v>
      </c>
      <c r="O768" s="63" t="n">
        <v>4</v>
      </c>
      <c r="P768" s="29" t="str">
        <f aca="false">+CONCATENATE(Tabla[[#This Row],[MES CAMPAÑA]],"/",Tabla[[#This Row],[AÑO CAMPAÑA]])</f>
        <v>4/2026</v>
      </c>
      <c r="Q768" s="60" t="s">
        <v>264</v>
      </c>
      <c r="R768" s="29"/>
      <c r="S768" s="64" t="n">
        <v>0</v>
      </c>
      <c r="T768" s="64" t="n">
        <v>592690</v>
      </c>
      <c r="U768" s="64" t="n">
        <v>112611</v>
      </c>
      <c r="V768" s="65"/>
      <c r="W768" s="24" t="n">
        <v>705301</v>
      </c>
      <c r="X768" s="36"/>
      <c r="Y768" s="66"/>
      <c r="Z768" s="66"/>
      <c r="AA768" s="66"/>
      <c r="AB768" s="38" t="n">
        <f aca="false">+W768-AC768</f>
        <v>705301</v>
      </c>
      <c r="AC768" s="34" t="n">
        <f aca="false">+Tabla[[#This Row],[P4]]+Tabla[[#This Row],[P3]]+Tabla[[#This Row],[P2]]+Tabla[[#This Row],[P1]]</f>
        <v>0</v>
      </c>
      <c r="AD768" s="34" t="n">
        <f aca="false">+W768-AC768</f>
        <v>705301</v>
      </c>
      <c r="AE768" s="21" t="str">
        <f aca="false">IF(AB768&lt;1,"PAGADA","PENDIENTE")</f>
        <v>PENDIENTE</v>
      </c>
      <c r="AF768" s="67"/>
      <c r="AG768" s="29"/>
      <c r="AH768" s="68"/>
      <c r="AI768" s="40" t="n">
        <f aca="false">+IF(Tabla[[#This Row],[FECHA PAGO / ABONO]]&lt;1,0,(MONTH(Tabla[[#This Row],[FECHA PAGO / ABONO]])))</f>
        <v>0</v>
      </c>
      <c r="AJ768" s="40" t="n">
        <f aca="false">+IF(Tabla[[#This Row],[FECHA PAGO / ABONO]]&lt;1,0,(YEAR(Tabla[[#This Row],[FECHA PAGO / ABONO]])))</f>
        <v>0</v>
      </c>
      <c r="AK768" s="41"/>
    </row>
    <row r="769" customFormat="false" ht="14.25" hidden="false" customHeight="false" outlineLevel="0" collapsed="false">
      <c r="A769" s="17" t="s">
        <v>78</v>
      </c>
      <c r="B769" s="18" t="s">
        <v>79</v>
      </c>
      <c r="C769" s="18" t="s">
        <v>69</v>
      </c>
      <c r="D769" s="18" t="n">
        <v>113311</v>
      </c>
      <c r="E769" s="21" t="str">
        <f aca="false">+CONCATENATE(Tabla[[#This Row],[RUT]],Tabla[[#This Row],[PROVEEDOR]],Tabla[[#This Row],[FACTURA]])</f>
        <v>96516560-6BIO BIO COMUNICACIONES S.A.113311</v>
      </c>
      <c r="F769" s="30" t="n">
        <v>46160</v>
      </c>
      <c r="G769" s="31" t="n">
        <f aca="false">+F769+30</f>
        <v>46190</v>
      </c>
      <c r="H769" s="29" t="n">
        <f aca="true">+IF(AE769="PAGADA",0,TODAY()-G769)</f>
        <v>14</v>
      </c>
      <c r="I769" s="29" t="str">
        <f aca="false">+IF(H769&gt;180,"Atrasada",IF(H769&gt;150,"150 dias",IF(H769&gt;120,"120 dias",IF(H769&gt;90,"90 dias",IF(H769&gt;60,"60 dias",IF(H769&gt;30,"30 dias","Al Día"))))))</f>
        <v>Al Día</v>
      </c>
      <c r="J769" s="59" t="s">
        <v>80</v>
      </c>
      <c r="K769" s="60" t="s">
        <v>81</v>
      </c>
      <c r="L769" s="61" t="s">
        <v>326</v>
      </c>
      <c r="M769" s="29" t="n">
        <f aca="false">+YEAR(F769)</f>
        <v>2026</v>
      </c>
      <c r="N769" s="62" t="n">
        <v>2026</v>
      </c>
      <c r="O769" s="63" t="n">
        <v>4</v>
      </c>
      <c r="P769" s="29" t="str">
        <f aca="false">+CONCATENATE(Tabla[[#This Row],[MES CAMPAÑA]],"/",Tabla[[#This Row],[AÑO CAMPAÑA]])</f>
        <v>4/2026</v>
      </c>
      <c r="Q769" s="60" t="s">
        <v>264</v>
      </c>
      <c r="R769" s="29"/>
      <c r="S769" s="64" t="n">
        <v>0</v>
      </c>
      <c r="T769" s="64" t="n">
        <v>824670</v>
      </c>
      <c r="U769" s="64" t="n">
        <v>156687</v>
      </c>
      <c r="V769" s="65"/>
      <c r="W769" s="24" t="n">
        <v>981357</v>
      </c>
      <c r="X769" s="36"/>
      <c r="Y769" s="66"/>
      <c r="Z769" s="66"/>
      <c r="AA769" s="66"/>
      <c r="AB769" s="38" t="n">
        <f aca="false">+W769-AC769</f>
        <v>981357</v>
      </c>
      <c r="AC769" s="34" t="n">
        <f aca="false">+Tabla[[#This Row],[P4]]+Tabla[[#This Row],[P3]]+Tabla[[#This Row],[P2]]+Tabla[[#This Row],[P1]]</f>
        <v>0</v>
      </c>
      <c r="AD769" s="34" t="n">
        <f aca="false">+W769-AC769</f>
        <v>981357</v>
      </c>
      <c r="AE769" s="21" t="str">
        <f aca="false">IF(AB769&lt;1,"PAGADA","PENDIENTE")</f>
        <v>PENDIENTE</v>
      </c>
      <c r="AF769" s="67"/>
      <c r="AG769" s="29"/>
      <c r="AH769" s="68"/>
      <c r="AI769" s="40" t="n">
        <f aca="false">+IF(Tabla[[#This Row],[FECHA PAGO / ABONO]]&lt;1,0,(MONTH(Tabla[[#This Row],[FECHA PAGO / ABONO]])))</f>
        <v>0</v>
      </c>
      <c r="AJ769" s="40" t="n">
        <f aca="false">+IF(Tabla[[#This Row],[FECHA PAGO / ABONO]]&lt;1,0,(YEAR(Tabla[[#This Row],[FECHA PAGO / ABONO]])))</f>
        <v>0</v>
      </c>
      <c r="AK769" s="41"/>
    </row>
    <row r="770" customFormat="false" ht="14.25" hidden="false" customHeight="false" outlineLevel="0" collapsed="false">
      <c r="A770" s="17" t="s">
        <v>78</v>
      </c>
      <c r="B770" s="18" t="s">
        <v>79</v>
      </c>
      <c r="C770" s="18" t="s">
        <v>69</v>
      </c>
      <c r="D770" s="18" t="n">
        <v>113312</v>
      </c>
      <c r="E770" s="21" t="str">
        <f aca="false">+CONCATENATE(Tabla[[#This Row],[RUT]],Tabla[[#This Row],[PROVEEDOR]],Tabla[[#This Row],[FACTURA]])</f>
        <v>96516560-6BIO BIO COMUNICACIONES S.A.113312</v>
      </c>
      <c r="F770" s="30" t="n">
        <v>46160</v>
      </c>
      <c r="G770" s="31" t="n">
        <f aca="false">+F770+30</f>
        <v>46190</v>
      </c>
      <c r="H770" s="29" t="n">
        <f aca="true">+IF(AE770="PAGADA",0,TODAY()-G770)</f>
        <v>14</v>
      </c>
      <c r="I770" s="29" t="str">
        <f aca="false">+IF(H770&gt;180,"Atrasada",IF(H770&gt;150,"150 dias",IF(H770&gt;120,"120 dias",IF(H770&gt;90,"90 dias",IF(H770&gt;60,"60 dias",IF(H770&gt;30,"30 dias","Al Día"))))))</f>
        <v>Al Día</v>
      </c>
      <c r="J770" s="59" t="s">
        <v>80</v>
      </c>
      <c r="K770" s="60" t="s">
        <v>81</v>
      </c>
      <c r="L770" s="61" t="s">
        <v>326</v>
      </c>
      <c r="M770" s="29" t="n">
        <f aca="false">+YEAR(F770)</f>
        <v>2026</v>
      </c>
      <c r="N770" s="62" t="n">
        <v>2026</v>
      </c>
      <c r="O770" s="63" t="n">
        <v>4</v>
      </c>
      <c r="P770" s="29" t="str">
        <f aca="false">+CONCATENATE(Tabla[[#This Row],[MES CAMPAÑA]],"/",Tabla[[#This Row],[AÑO CAMPAÑA]])</f>
        <v>4/2026</v>
      </c>
      <c r="Q770" s="60" t="s">
        <v>264</v>
      </c>
      <c r="R770" s="29"/>
      <c r="S770" s="64" t="n">
        <v>0</v>
      </c>
      <c r="T770" s="64" t="n">
        <v>603540</v>
      </c>
      <c r="U770" s="64" t="n">
        <v>114673</v>
      </c>
      <c r="V770" s="65"/>
      <c r="W770" s="24" t="n">
        <v>718213</v>
      </c>
      <c r="X770" s="36"/>
      <c r="Y770" s="66"/>
      <c r="Z770" s="66"/>
      <c r="AA770" s="66"/>
      <c r="AB770" s="38" t="n">
        <f aca="false">+W770-AC770</f>
        <v>718213</v>
      </c>
      <c r="AC770" s="34" t="n">
        <f aca="false">+Tabla[[#This Row],[P4]]+Tabla[[#This Row],[P3]]+Tabla[[#This Row],[P2]]+Tabla[[#This Row],[P1]]</f>
        <v>0</v>
      </c>
      <c r="AD770" s="34" t="n">
        <f aca="false">+W770-AC770</f>
        <v>718213</v>
      </c>
      <c r="AE770" s="21" t="str">
        <f aca="false">IF(AB770&lt;1,"PAGADA","PENDIENTE")</f>
        <v>PENDIENTE</v>
      </c>
      <c r="AF770" s="67"/>
      <c r="AG770" s="29"/>
      <c r="AH770" s="68"/>
      <c r="AI770" s="40" t="n">
        <f aca="false">+IF(Tabla[[#This Row],[FECHA PAGO / ABONO]]&lt;1,0,(MONTH(Tabla[[#This Row],[FECHA PAGO / ABONO]])))</f>
        <v>0</v>
      </c>
      <c r="AJ770" s="40" t="n">
        <f aca="false">+IF(Tabla[[#This Row],[FECHA PAGO / ABONO]]&lt;1,0,(YEAR(Tabla[[#This Row],[FECHA PAGO / ABONO]])))</f>
        <v>0</v>
      </c>
      <c r="AK770" s="41"/>
    </row>
    <row r="771" customFormat="false" ht="14.25" hidden="false" customHeight="false" outlineLevel="0" collapsed="false">
      <c r="A771" s="17" t="s">
        <v>207</v>
      </c>
      <c r="B771" s="18" t="s">
        <v>208</v>
      </c>
      <c r="C771" s="18" t="s">
        <v>69</v>
      </c>
      <c r="D771" s="18" t="n">
        <v>624</v>
      </c>
      <c r="E771" s="21" t="str">
        <f aca="false">+CONCATENATE(Tabla[[#This Row],[RUT]],Tabla[[#This Row],[PROVEEDOR]],Tabla[[#This Row],[FACTURA]])</f>
        <v>76503821-9COOL PUBLICIDAD SPA624</v>
      </c>
      <c r="F771" s="30" t="n">
        <v>46160</v>
      </c>
      <c r="G771" s="31" t="n">
        <f aca="false">+F771+30</f>
        <v>46190</v>
      </c>
      <c r="H771" s="29" t="n">
        <f aca="true">+IF(AE771="PAGADA",0,TODAY()-G771)</f>
        <v>14</v>
      </c>
      <c r="I771" s="29" t="str">
        <f aca="false">+IF(H771&gt;180,"Atrasada",IF(H771&gt;150,"150 dias",IF(H771&gt;120,"120 dias",IF(H771&gt;90,"90 dias",IF(H771&gt;60,"60 dias",IF(H771&gt;30,"30 dias","Al Día"))))))</f>
        <v>Al Día</v>
      </c>
      <c r="J771" s="59" t="s">
        <v>80</v>
      </c>
      <c r="K771" s="60" t="s">
        <v>81</v>
      </c>
      <c r="L771" s="61" t="s">
        <v>326</v>
      </c>
      <c r="M771" s="29" t="n">
        <f aca="false">+YEAR(F771)</f>
        <v>2026</v>
      </c>
      <c r="N771" s="62" t="n">
        <v>2026</v>
      </c>
      <c r="O771" s="63" t="n">
        <v>3</v>
      </c>
      <c r="P771" s="29" t="str">
        <f aca="false">+CONCATENATE(Tabla[[#This Row],[MES CAMPAÑA]],"/",Tabla[[#This Row],[AÑO CAMPAÑA]])</f>
        <v>3/2026</v>
      </c>
      <c r="Q771" s="60" t="s">
        <v>92</v>
      </c>
      <c r="R771" s="29"/>
      <c r="S771" s="64" t="n">
        <v>0</v>
      </c>
      <c r="T771" s="64" t="n">
        <v>394820</v>
      </c>
      <c r="U771" s="64" t="n">
        <v>75016</v>
      </c>
      <c r="V771" s="65"/>
      <c r="W771" s="24" t="n">
        <v>469836</v>
      </c>
      <c r="X771" s="36"/>
      <c r="Y771" s="66"/>
      <c r="Z771" s="66"/>
      <c r="AA771" s="66"/>
      <c r="AB771" s="38" t="n">
        <f aca="false">+W771-AC771</f>
        <v>469836</v>
      </c>
      <c r="AC771" s="34" t="n">
        <f aca="false">+Tabla[[#This Row],[P4]]+Tabla[[#This Row],[P3]]+Tabla[[#This Row],[P2]]+Tabla[[#This Row],[P1]]</f>
        <v>0</v>
      </c>
      <c r="AD771" s="34" t="n">
        <f aca="false">+W771-AC771</f>
        <v>469836</v>
      </c>
      <c r="AE771" s="21" t="str">
        <f aca="false">IF(AB771&lt;1,"PAGADA","PENDIENTE")</f>
        <v>PENDIENTE</v>
      </c>
      <c r="AF771" s="67"/>
      <c r="AG771" s="29"/>
      <c r="AH771" s="68"/>
      <c r="AI771" s="40" t="n">
        <f aca="false">+IF(Tabla[[#This Row],[FECHA PAGO / ABONO]]&lt;1,0,(MONTH(Tabla[[#This Row],[FECHA PAGO / ABONO]])))</f>
        <v>0</v>
      </c>
      <c r="AJ771" s="40" t="n">
        <f aca="false">+IF(Tabla[[#This Row],[FECHA PAGO / ABONO]]&lt;1,0,(YEAR(Tabla[[#This Row],[FECHA PAGO / ABONO]])))</f>
        <v>0</v>
      </c>
      <c r="AK771" s="41"/>
    </row>
    <row r="772" customFormat="false" ht="14.25" hidden="false" customHeight="false" outlineLevel="0" collapsed="false">
      <c r="A772" s="17" t="s">
        <v>177</v>
      </c>
      <c r="B772" s="18" t="s">
        <v>178</v>
      </c>
      <c r="C772" s="18" t="s">
        <v>69</v>
      </c>
      <c r="D772" s="18" t="n">
        <v>39027</v>
      </c>
      <c r="E772" s="21" t="str">
        <f aca="false">+CONCATENATE(Tabla[[#This Row],[RUT]],Tabla[[#This Row],[PROVEEDOR]],Tabla[[#This Row],[FACTURA]])</f>
        <v>84383200-8GLOBAL MEDIA SPA39027</v>
      </c>
      <c r="F772" s="30" t="n">
        <v>46160</v>
      </c>
      <c r="G772" s="31" t="n">
        <f aca="false">+F772+30</f>
        <v>46190</v>
      </c>
      <c r="H772" s="29" t="n">
        <f aca="true">+IF(AE772="PAGADA",0,TODAY()-G772)</f>
        <v>14</v>
      </c>
      <c r="I772" s="29" t="str">
        <f aca="false">+IF(H772&gt;180,"Atrasada",IF(H772&gt;150,"150 dias",IF(H772&gt;120,"120 dias",IF(H772&gt;90,"90 dias",IF(H772&gt;60,"60 dias",IF(H772&gt;30,"30 dias","Al Día"))))))</f>
        <v>Al Día</v>
      </c>
      <c r="J772" s="59" t="s">
        <v>80</v>
      </c>
      <c r="K772" s="60" t="s">
        <v>81</v>
      </c>
      <c r="L772" s="61" t="s">
        <v>326</v>
      </c>
      <c r="M772" s="29" t="n">
        <f aca="false">+YEAR(F772)</f>
        <v>2026</v>
      </c>
      <c r="N772" s="62" t="n">
        <v>2026</v>
      </c>
      <c r="O772" s="63" t="n">
        <v>4</v>
      </c>
      <c r="P772" s="29" t="str">
        <f aca="false">+CONCATENATE(Tabla[[#This Row],[MES CAMPAÑA]],"/",Tabla[[#This Row],[AÑO CAMPAÑA]])</f>
        <v>4/2026</v>
      </c>
      <c r="Q772" s="60" t="s">
        <v>323</v>
      </c>
      <c r="R772" s="29"/>
      <c r="S772" s="64" t="n">
        <v>0</v>
      </c>
      <c r="T772" s="64" t="n">
        <v>3000000</v>
      </c>
      <c r="U772" s="64" t="n">
        <v>570000</v>
      </c>
      <c r="V772" s="65"/>
      <c r="W772" s="24" t="n">
        <v>3570000</v>
      </c>
      <c r="X772" s="36"/>
      <c r="Y772" s="66"/>
      <c r="Z772" s="66"/>
      <c r="AA772" s="66"/>
      <c r="AB772" s="38" t="n">
        <f aca="false">+W772-AC772</f>
        <v>3570000</v>
      </c>
      <c r="AC772" s="34" t="n">
        <f aca="false">+Tabla[[#This Row],[P4]]+Tabla[[#This Row],[P3]]+Tabla[[#This Row],[P2]]+Tabla[[#This Row],[P1]]</f>
        <v>0</v>
      </c>
      <c r="AD772" s="34" t="n">
        <f aca="false">+W772-AC772</f>
        <v>3570000</v>
      </c>
      <c r="AE772" s="21" t="str">
        <f aca="false">IF(AB772&lt;1,"PAGADA","PENDIENTE")</f>
        <v>PENDIENTE</v>
      </c>
      <c r="AF772" s="67"/>
      <c r="AG772" s="29"/>
      <c r="AH772" s="68"/>
      <c r="AI772" s="40" t="n">
        <f aca="false">+IF(Tabla[[#This Row],[FECHA PAGO / ABONO]]&lt;1,0,(MONTH(Tabla[[#This Row],[FECHA PAGO / ABONO]])))</f>
        <v>0</v>
      </c>
      <c r="AJ772" s="40" t="n">
        <f aca="false">+IF(Tabla[[#This Row],[FECHA PAGO / ABONO]]&lt;1,0,(YEAR(Tabla[[#This Row],[FECHA PAGO / ABONO]])))</f>
        <v>0</v>
      </c>
      <c r="AK772" s="41"/>
    </row>
    <row r="773" customFormat="false" ht="14.25" hidden="false" customHeight="false" outlineLevel="0" collapsed="false">
      <c r="A773" s="17" t="s">
        <v>177</v>
      </c>
      <c r="B773" s="18" t="s">
        <v>178</v>
      </c>
      <c r="C773" s="18" t="s">
        <v>69</v>
      </c>
      <c r="D773" s="18" t="n">
        <v>39028</v>
      </c>
      <c r="E773" s="21" t="str">
        <f aca="false">+CONCATENATE(Tabla[[#This Row],[RUT]],Tabla[[#This Row],[PROVEEDOR]],Tabla[[#This Row],[FACTURA]])</f>
        <v>84383200-8GLOBAL MEDIA SPA39028</v>
      </c>
      <c r="F773" s="30" t="n">
        <v>46160</v>
      </c>
      <c r="G773" s="31" t="n">
        <f aca="false">+F773+30</f>
        <v>46190</v>
      </c>
      <c r="H773" s="29" t="n">
        <f aca="true">+IF(AE773="PAGADA",0,TODAY()-G773)</f>
        <v>14</v>
      </c>
      <c r="I773" s="29" t="str">
        <f aca="false">+IF(H773&gt;180,"Atrasada",IF(H773&gt;150,"150 dias",IF(H773&gt;120,"120 dias",IF(H773&gt;90,"90 dias",IF(H773&gt;60,"60 dias",IF(H773&gt;30,"30 dias","Al Día"))))))</f>
        <v>Al Día</v>
      </c>
      <c r="J773" s="59" t="s">
        <v>80</v>
      </c>
      <c r="K773" s="60" t="s">
        <v>81</v>
      </c>
      <c r="L773" s="61" t="s">
        <v>326</v>
      </c>
      <c r="M773" s="29" t="n">
        <f aca="false">+YEAR(F773)</f>
        <v>2026</v>
      </c>
      <c r="N773" s="62" t="n">
        <v>2026</v>
      </c>
      <c r="O773" s="63" t="n">
        <v>4</v>
      </c>
      <c r="P773" s="29" t="str">
        <f aca="false">+CONCATENATE(Tabla[[#This Row],[MES CAMPAÑA]],"/",Tabla[[#This Row],[AÑO CAMPAÑA]])</f>
        <v>4/2026</v>
      </c>
      <c r="Q773" s="60" t="s">
        <v>92</v>
      </c>
      <c r="R773" s="29"/>
      <c r="S773" s="64" t="n">
        <v>0</v>
      </c>
      <c r="T773" s="64" t="n">
        <v>626861</v>
      </c>
      <c r="U773" s="64" t="n">
        <v>119104</v>
      </c>
      <c r="V773" s="65"/>
      <c r="W773" s="24" t="n">
        <v>745965</v>
      </c>
      <c r="X773" s="36"/>
      <c r="Y773" s="66"/>
      <c r="Z773" s="66"/>
      <c r="AA773" s="66"/>
      <c r="AB773" s="38" t="n">
        <f aca="false">+W773-AC773</f>
        <v>745965</v>
      </c>
      <c r="AC773" s="34" t="n">
        <f aca="false">+Tabla[[#This Row],[P4]]+Tabla[[#This Row],[P3]]+Tabla[[#This Row],[P2]]+Tabla[[#This Row],[P1]]</f>
        <v>0</v>
      </c>
      <c r="AD773" s="34" t="n">
        <f aca="false">+W773-AC773</f>
        <v>745965</v>
      </c>
      <c r="AE773" s="21" t="str">
        <f aca="false">IF(AB773&lt;1,"PAGADA","PENDIENTE")</f>
        <v>PENDIENTE</v>
      </c>
      <c r="AF773" s="67"/>
      <c r="AG773" s="29"/>
      <c r="AH773" s="68"/>
      <c r="AI773" s="40" t="n">
        <f aca="false">+IF(Tabla[[#This Row],[FECHA PAGO / ABONO]]&lt;1,0,(MONTH(Tabla[[#This Row],[FECHA PAGO / ABONO]])))</f>
        <v>0</v>
      </c>
      <c r="AJ773" s="40" t="n">
        <f aca="false">+IF(Tabla[[#This Row],[FECHA PAGO / ABONO]]&lt;1,0,(YEAR(Tabla[[#This Row],[FECHA PAGO / ABONO]])))</f>
        <v>0</v>
      </c>
      <c r="AK773" s="41"/>
    </row>
    <row r="774" customFormat="false" ht="14.25" hidden="false" customHeight="false" outlineLevel="0" collapsed="false">
      <c r="A774" s="17" t="s">
        <v>85</v>
      </c>
      <c r="B774" s="18" t="s">
        <v>86</v>
      </c>
      <c r="C774" s="18" t="s">
        <v>69</v>
      </c>
      <c r="D774" s="18" t="n">
        <v>209352</v>
      </c>
      <c r="E774" s="21" t="str">
        <f aca="false">+CONCATENATE(Tabla[[#This Row],[RUT]],Tabla[[#This Row],[PROVEEDOR]],Tabla[[#This Row],[FACTURA]])</f>
        <v>96539380-3EDICIONES FINANCIERAS S.A.209352</v>
      </c>
      <c r="F774" s="30" t="n">
        <v>46160</v>
      </c>
      <c r="G774" s="31" t="n">
        <f aca="false">+F774+30</f>
        <v>46190</v>
      </c>
      <c r="H774" s="29" t="n">
        <f aca="true">+IF(AE774="PAGADA",0,TODAY()-G774)</f>
        <v>14</v>
      </c>
      <c r="I774" s="29" t="str">
        <f aca="false">+IF(H774&gt;180,"Atrasada",IF(H774&gt;150,"150 dias",IF(H774&gt;120,"120 dias",IF(H774&gt;90,"90 dias",IF(H774&gt;60,"60 dias",IF(H774&gt;30,"30 dias","Al Día"))))))</f>
        <v>Al Día</v>
      </c>
      <c r="J774" s="59" t="s">
        <v>80</v>
      </c>
      <c r="K774" s="60" t="s">
        <v>81</v>
      </c>
      <c r="L774" s="61" t="s">
        <v>326</v>
      </c>
      <c r="M774" s="29" t="n">
        <f aca="false">+YEAR(F774)</f>
        <v>2026</v>
      </c>
      <c r="N774" s="62" t="n">
        <v>2026</v>
      </c>
      <c r="O774" s="63" t="n">
        <v>4</v>
      </c>
      <c r="P774" s="29" t="str">
        <f aca="false">+CONCATENATE(Tabla[[#This Row],[MES CAMPAÑA]],"/",Tabla[[#This Row],[AÑO CAMPAÑA]])</f>
        <v>4/2026</v>
      </c>
      <c r="Q774" s="60" t="s">
        <v>265</v>
      </c>
      <c r="R774" s="29"/>
      <c r="S774" s="64" t="n">
        <v>0</v>
      </c>
      <c r="T774" s="64" t="n">
        <v>2200000</v>
      </c>
      <c r="U774" s="64" t="n">
        <v>418000</v>
      </c>
      <c r="V774" s="65"/>
      <c r="W774" s="24" t="n">
        <v>2618000</v>
      </c>
      <c r="X774" s="36"/>
      <c r="Y774" s="66"/>
      <c r="Z774" s="66"/>
      <c r="AA774" s="66"/>
      <c r="AB774" s="38" t="n">
        <f aca="false">+W774-AC774</f>
        <v>2618000</v>
      </c>
      <c r="AC774" s="34" t="n">
        <f aca="false">+Tabla[[#This Row],[P4]]+Tabla[[#This Row],[P3]]+Tabla[[#This Row],[P2]]+Tabla[[#This Row],[P1]]</f>
        <v>0</v>
      </c>
      <c r="AD774" s="34" t="n">
        <f aca="false">+W774-AC774</f>
        <v>2618000</v>
      </c>
      <c r="AE774" s="21" t="str">
        <f aca="false">IF(AB774&lt;1,"PAGADA","PENDIENTE")</f>
        <v>PENDIENTE</v>
      </c>
      <c r="AF774" s="67"/>
      <c r="AG774" s="29"/>
      <c r="AH774" s="68"/>
      <c r="AI774" s="40" t="n">
        <f aca="false">+IF(Tabla[[#This Row],[FECHA PAGO / ABONO]]&lt;1,0,(MONTH(Tabla[[#This Row],[FECHA PAGO / ABONO]])))</f>
        <v>0</v>
      </c>
      <c r="AJ774" s="40" t="n">
        <f aca="false">+IF(Tabla[[#This Row],[FECHA PAGO / ABONO]]&lt;1,0,(YEAR(Tabla[[#This Row],[FECHA PAGO / ABONO]])))</f>
        <v>0</v>
      </c>
      <c r="AK774" s="41"/>
    </row>
    <row r="775" customFormat="false" ht="14.25" hidden="false" customHeight="false" outlineLevel="0" collapsed="false">
      <c r="A775" s="17" t="s">
        <v>175</v>
      </c>
      <c r="B775" s="18" t="s">
        <v>176</v>
      </c>
      <c r="C775" s="18" t="s">
        <v>69</v>
      </c>
      <c r="D775" s="18" t="n">
        <v>2079</v>
      </c>
      <c r="E775" s="21" t="str">
        <f aca="false">+CONCATENATE(Tabla[[#This Row],[RUT]],Tabla[[#This Row],[PROVEEDOR]],Tabla[[#This Row],[FACTURA]])</f>
        <v>77837600-8COMUNICACIONES SAN ANDRES LIMITADA2079</v>
      </c>
      <c r="F775" s="30" t="n">
        <v>46160</v>
      </c>
      <c r="G775" s="31" t="n">
        <f aca="false">+F775+30</f>
        <v>46190</v>
      </c>
      <c r="H775" s="29" t="n">
        <f aca="true">+IF(AE775="PAGADA",0,TODAY()-G775)</f>
        <v>14</v>
      </c>
      <c r="I775" s="29" t="str">
        <f aca="false">+IF(H775&gt;180,"Atrasada",IF(H775&gt;150,"150 dias",IF(H775&gt;120,"120 dias",IF(H775&gt;90,"90 dias",IF(H775&gt;60,"60 dias",IF(H775&gt;30,"30 dias","Al Día"))))))</f>
        <v>Al Día</v>
      </c>
      <c r="J775" s="59" t="s">
        <v>80</v>
      </c>
      <c r="K775" s="60" t="s">
        <v>81</v>
      </c>
      <c r="L775" s="61" t="s">
        <v>326</v>
      </c>
      <c r="M775" s="29" t="n">
        <f aca="false">+YEAR(F775)</f>
        <v>2026</v>
      </c>
      <c r="N775" s="62" t="n">
        <v>2026</v>
      </c>
      <c r="O775" s="63" t="n">
        <v>4</v>
      </c>
      <c r="P775" s="29" t="str">
        <f aca="false">+CONCATENATE(Tabla[[#This Row],[MES CAMPAÑA]],"/",Tabla[[#This Row],[AÑO CAMPAÑA]])</f>
        <v>4/2026</v>
      </c>
      <c r="Q775" s="60" t="s">
        <v>108</v>
      </c>
      <c r="R775" s="29"/>
      <c r="S775" s="64" t="n">
        <v>0</v>
      </c>
      <c r="T775" s="64" t="n">
        <v>500000</v>
      </c>
      <c r="U775" s="64" t="n">
        <v>95000</v>
      </c>
      <c r="V775" s="65"/>
      <c r="W775" s="24" t="n">
        <v>595000</v>
      </c>
      <c r="X775" s="36"/>
      <c r="Y775" s="66"/>
      <c r="Z775" s="66"/>
      <c r="AA775" s="66"/>
      <c r="AB775" s="38" t="n">
        <f aca="false">+W775-AC775</f>
        <v>595000</v>
      </c>
      <c r="AC775" s="34" t="n">
        <f aca="false">+Tabla[[#This Row],[P4]]+Tabla[[#This Row],[P3]]+Tabla[[#This Row],[P2]]+Tabla[[#This Row],[P1]]</f>
        <v>0</v>
      </c>
      <c r="AD775" s="34" t="n">
        <f aca="false">+W775-AC775</f>
        <v>595000</v>
      </c>
      <c r="AE775" s="21" t="str">
        <f aca="false">IF(AB775&lt;1,"PAGADA","PENDIENTE")</f>
        <v>PENDIENTE</v>
      </c>
      <c r="AF775" s="67"/>
      <c r="AG775" s="29"/>
      <c r="AH775" s="68"/>
      <c r="AI775" s="40" t="n">
        <f aca="false">+IF(Tabla[[#This Row],[FECHA PAGO / ABONO]]&lt;1,0,(MONTH(Tabla[[#This Row],[FECHA PAGO / ABONO]])))</f>
        <v>0</v>
      </c>
      <c r="AJ775" s="40" t="n">
        <f aca="false">+IF(Tabla[[#This Row],[FECHA PAGO / ABONO]]&lt;1,0,(YEAR(Tabla[[#This Row],[FECHA PAGO / ABONO]])))</f>
        <v>0</v>
      </c>
      <c r="AK775" s="41"/>
    </row>
    <row r="776" customFormat="false" ht="14.25" hidden="false" customHeight="false" outlineLevel="0" collapsed="false">
      <c r="A776" s="17" t="s">
        <v>197</v>
      </c>
      <c r="B776" s="18" t="s">
        <v>198</v>
      </c>
      <c r="C776" s="18" t="s">
        <v>69</v>
      </c>
      <c r="D776" s="18" t="n">
        <v>34642066</v>
      </c>
      <c r="E776" s="21" t="str">
        <f aca="false">+CONCATENATE(Tabla[[#This Row],[RUT]],Tabla[[#This Row],[PROVEEDOR]],Tabla[[#This Row],[FACTURA]])</f>
        <v>96800570-7ENEL DISTRIBUCIÃ“N CHILE S.A34642066</v>
      </c>
      <c r="F776" s="30" t="n">
        <v>46161</v>
      </c>
      <c r="G776" s="31" t="n">
        <f aca="false">+F776+30</f>
        <v>46191</v>
      </c>
      <c r="H776" s="29" t="n">
        <f aca="true">+IF(AE776="PAGADA",0,TODAY()-G776)</f>
        <v>0</v>
      </c>
      <c r="I776" s="29" t="str">
        <f aca="false">+IF(H776&gt;180,"Atrasada",IF(H776&gt;150,"150 dias",IF(H776&gt;120,"120 dias",IF(H776&gt;90,"90 dias",IF(H776&gt;60,"60 dias",IF(H776&gt;30,"30 dias","Al Día"))))))</f>
        <v>Al Día</v>
      </c>
      <c r="J776" s="59" t="s">
        <v>31</v>
      </c>
      <c r="K776" s="60" t="s">
        <v>81</v>
      </c>
      <c r="L776" s="61" t="s">
        <v>326</v>
      </c>
      <c r="M776" s="29" t="n">
        <f aca="false">+YEAR(F776)</f>
        <v>2026</v>
      </c>
      <c r="N776" s="62" t="n">
        <v>2026</v>
      </c>
      <c r="O776" s="63" t="n">
        <v>4</v>
      </c>
      <c r="P776" s="29" t="str">
        <f aca="false">+CONCATENATE(Tabla[[#This Row],[MES CAMPAÑA]],"/",Tabla[[#This Row],[AÑO CAMPAÑA]])</f>
        <v>4/2026</v>
      </c>
      <c r="Q776" s="60" t="s">
        <v>73</v>
      </c>
      <c r="R776" s="29"/>
      <c r="S776" s="64" t="n">
        <v>287</v>
      </c>
      <c r="T776" s="64" t="n">
        <v>69009</v>
      </c>
      <c r="U776" s="64" t="n">
        <v>13112</v>
      </c>
      <c r="V776" s="65"/>
      <c r="W776" s="24" t="n">
        <v>82408</v>
      </c>
      <c r="X776" s="36" t="n">
        <f aca="false">+Tabla[[#This Row],[TOTAL]]</f>
        <v>82408</v>
      </c>
      <c r="Y776" s="66"/>
      <c r="Z776" s="66"/>
      <c r="AA776" s="66"/>
      <c r="AB776" s="38" t="n">
        <f aca="false">+W776-AC776</f>
        <v>0</v>
      </c>
      <c r="AC776" s="34" t="n">
        <f aca="false">+Tabla[[#This Row],[P4]]+Tabla[[#This Row],[P3]]+Tabla[[#This Row],[P2]]+Tabla[[#This Row],[P1]]</f>
        <v>82408</v>
      </c>
      <c r="AD776" s="34" t="n">
        <f aca="false">+W776-AC776</f>
        <v>0</v>
      </c>
      <c r="AE776" s="21" t="str">
        <f aca="false">IF(AB776&lt;1,"PAGADA","PENDIENTE")</f>
        <v>PAGADA</v>
      </c>
      <c r="AF776" s="67"/>
      <c r="AG776" s="29" t="s">
        <v>333</v>
      </c>
      <c r="AH776" s="68"/>
      <c r="AI776" s="40" t="n">
        <f aca="false">+IF(Tabla[[#This Row],[FECHA PAGO / ABONO]]&lt;1,0,(MONTH(Tabla[[#This Row],[FECHA PAGO / ABONO]])))</f>
        <v>0</v>
      </c>
      <c r="AJ776" s="40" t="n">
        <f aca="false">+IF(Tabla[[#This Row],[FECHA PAGO / ABONO]]&lt;1,0,(YEAR(Tabla[[#This Row],[FECHA PAGO / ABONO]])))</f>
        <v>0</v>
      </c>
      <c r="AK776" s="41"/>
    </row>
    <row r="777" customFormat="false" ht="14.25" hidden="false" customHeight="false" outlineLevel="0" collapsed="false">
      <c r="A777" s="17" t="s">
        <v>121</v>
      </c>
      <c r="B777" s="18" t="s">
        <v>122</v>
      </c>
      <c r="C777" s="18" t="s">
        <v>69</v>
      </c>
      <c r="D777" s="18" t="n">
        <v>11562</v>
      </c>
      <c r="E777" s="21" t="str">
        <f aca="false">+CONCATENATE(Tabla[[#This Row],[RUT]],Tabla[[#This Row],[PROVEEDOR]],Tabla[[#This Row],[FACTURA]])</f>
        <v>76166681-9HS CHILE SPA11562</v>
      </c>
      <c r="F777" s="30" t="n">
        <v>46161</v>
      </c>
      <c r="G777" s="31" t="n">
        <f aca="false">+F777+30</f>
        <v>46191</v>
      </c>
      <c r="H777" s="29" t="n">
        <f aca="true">+IF(AE777="PAGADA",0,TODAY()-G777)</f>
        <v>13</v>
      </c>
      <c r="I777" s="29" t="str">
        <f aca="false">+IF(H777&gt;180,"Atrasada",IF(H777&gt;150,"150 dias",IF(H777&gt;120,"120 dias",IF(H777&gt;90,"90 dias",IF(H777&gt;60,"60 dias",IF(H777&gt;30,"30 dias","Al Día"))))))</f>
        <v>Al Día</v>
      </c>
      <c r="J777" s="59" t="s">
        <v>80</v>
      </c>
      <c r="K777" s="60" t="s">
        <v>81</v>
      </c>
      <c r="L777" s="61" t="s">
        <v>326</v>
      </c>
      <c r="M777" s="29" t="n">
        <f aca="false">+YEAR(F777)</f>
        <v>2026</v>
      </c>
      <c r="N777" s="62" t="n">
        <v>2026</v>
      </c>
      <c r="O777" s="63" t="n">
        <v>4</v>
      </c>
      <c r="P777" s="29" t="str">
        <f aca="false">+CONCATENATE(Tabla[[#This Row],[MES CAMPAÑA]],"/",Tabla[[#This Row],[AÑO CAMPAÑA]])</f>
        <v>4/2026</v>
      </c>
      <c r="Q777" s="60" t="s">
        <v>105</v>
      </c>
      <c r="R777" s="29"/>
      <c r="S777" s="64" t="n">
        <v>0</v>
      </c>
      <c r="T777" s="64" t="n">
        <v>457000</v>
      </c>
      <c r="U777" s="64" t="n">
        <v>86830</v>
      </c>
      <c r="V777" s="65"/>
      <c r="W777" s="24" t="n">
        <v>543830</v>
      </c>
      <c r="X777" s="36"/>
      <c r="Y777" s="66"/>
      <c r="Z777" s="66"/>
      <c r="AA777" s="66"/>
      <c r="AB777" s="38" t="n">
        <f aca="false">+W777-AC777</f>
        <v>543830</v>
      </c>
      <c r="AC777" s="34" t="n">
        <f aca="false">+Tabla[[#This Row],[P4]]+Tabla[[#This Row],[P3]]+Tabla[[#This Row],[P2]]+Tabla[[#This Row],[P1]]</f>
        <v>0</v>
      </c>
      <c r="AD777" s="34" t="n">
        <f aca="false">+W777-AC777</f>
        <v>543830</v>
      </c>
      <c r="AE777" s="21" t="str">
        <f aca="false">IF(AB777&lt;1,"PAGADA","PENDIENTE")</f>
        <v>PENDIENTE</v>
      </c>
      <c r="AF777" s="67"/>
      <c r="AG777" s="29"/>
      <c r="AH777" s="68"/>
      <c r="AI777" s="40" t="n">
        <f aca="false">+IF(Tabla[[#This Row],[FECHA PAGO / ABONO]]&lt;1,0,(MONTH(Tabla[[#This Row],[FECHA PAGO / ABONO]])))</f>
        <v>0</v>
      </c>
      <c r="AJ777" s="40" t="n">
        <f aca="false">+IF(Tabla[[#This Row],[FECHA PAGO / ABONO]]&lt;1,0,(YEAR(Tabla[[#This Row],[FECHA PAGO / ABONO]])))</f>
        <v>0</v>
      </c>
      <c r="AK777" s="41"/>
    </row>
    <row r="778" customFormat="false" ht="14.25" hidden="false" customHeight="false" outlineLevel="0" collapsed="false">
      <c r="A778" s="17" t="s">
        <v>121</v>
      </c>
      <c r="B778" s="18" t="s">
        <v>122</v>
      </c>
      <c r="C778" s="18" t="s">
        <v>69</v>
      </c>
      <c r="D778" s="18" t="n">
        <v>11563</v>
      </c>
      <c r="E778" s="21" t="str">
        <f aca="false">+CONCATENATE(Tabla[[#This Row],[RUT]],Tabla[[#This Row],[PROVEEDOR]],Tabla[[#This Row],[FACTURA]])</f>
        <v>76166681-9HS CHILE SPA11563</v>
      </c>
      <c r="F778" s="30" t="n">
        <v>46161</v>
      </c>
      <c r="G778" s="31" t="n">
        <f aca="false">+F778+30</f>
        <v>46191</v>
      </c>
      <c r="H778" s="29" t="n">
        <f aca="true">+IF(AE778="PAGADA",0,TODAY()-G778)</f>
        <v>13</v>
      </c>
      <c r="I778" s="29" t="str">
        <f aca="false">+IF(H778&gt;180,"Atrasada",IF(H778&gt;150,"150 dias",IF(H778&gt;120,"120 dias",IF(H778&gt;90,"90 dias",IF(H778&gt;60,"60 dias",IF(H778&gt;30,"30 dias","Al Día"))))))</f>
        <v>Al Día</v>
      </c>
      <c r="J778" s="59" t="s">
        <v>80</v>
      </c>
      <c r="K778" s="60" t="s">
        <v>81</v>
      </c>
      <c r="L778" s="61" t="s">
        <v>326</v>
      </c>
      <c r="M778" s="29" t="n">
        <f aca="false">+YEAR(F778)</f>
        <v>2026</v>
      </c>
      <c r="N778" s="62" t="n">
        <v>2026</v>
      </c>
      <c r="O778" s="63" t="n">
        <v>4</v>
      </c>
      <c r="P778" s="29" t="str">
        <f aca="false">+CONCATENATE(Tabla[[#This Row],[MES CAMPAÑA]],"/",Tabla[[#This Row],[AÑO CAMPAÑA]])</f>
        <v>4/2026</v>
      </c>
      <c r="Q778" s="60" t="s">
        <v>105</v>
      </c>
      <c r="R778" s="29"/>
      <c r="S778" s="64" t="n">
        <v>0</v>
      </c>
      <c r="T778" s="64" t="n">
        <v>380600</v>
      </c>
      <c r="U778" s="64" t="n">
        <v>72314</v>
      </c>
      <c r="V778" s="65"/>
      <c r="W778" s="24" t="n">
        <v>452914</v>
      </c>
      <c r="X778" s="36"/>
      <c r="Y778" s="66"/>
      <c r="Z778" s="66"/>
      <c r="AA778" s="66"/>
      <c r="AB778" s="38" t="n">
        <f aca="false">+W778-AC778</f>
        <v>452914</v>
      </c>
      <c r="AC778" s="34" t="n">
        <f aca="false">+Tabla[[#This Row],[P4]]+Tabla[[#This Row],[P3]]+Tabla[[#This Row],[P2]]+Tabla[[#This Row],[P1]]</f>
        <v>0</v>
      </c>
      <c r="AD778" s="34" t="n">
        <f aca="false">+W778-AC778</f>
        <v>452914</v>
      </c>
      <c r="AE778" s="21" t="str">
        <f aca="false">IF(AB778&lt;1,"PAGADA","PENDIENTE")</f>
        <v>PENDIENTE</v>
      </c>
      <c r="AF778" s="67"/>
      <c r="AG778" s="29"/>
      <c r="AH778" s="68"/>
      <c r="AI778" s="40" t="n">
        <f aca="false">+IF(Tabla[[#This Row],[FECHA PAGO / ABONO]]&lt;1,0,(MONTH(Tabla[[#This Row],[FECHA PAGO / ABONO]])))</f>
        <v>0</v>
      </c>
      <c r="AJ778" s="40" t="n">
        <f aca="false">+IF(Tabla[[#This Row],[FECHA PAGO / ABONO]]&lt;1,0,(YEAR(Tabla[[#This Row],[FECHA PAGO / ABONO]])))</f>
        <v>0</v>
      </c>
      <c r="AK778" s="41"/>
    </row>
    <row r="779" customFormat="false" ht="14.25" hidden="false" customHeight="false" outlineLevel="0" collapsed="false">
      <c r="A779" s="17" t="s">
        <v>121</v>
      </c>
      <c r="B779" s="18" t="s">
        <v>122</v>
      </c>
      <c r="C779" s="18" t="s">
        <v>69</v>
      </c>
      <c r="D779" s="18" t="n">
        <v>11564</v>
      </c>
      <c r="E779" s="21" t="str">
        <f aca="false">+CONCATENATE(Tabla[[#This Row],[RUT]],Tabla[[#This Row],[PROVEEDOR]],Tabla[[#This Row],[FACTURA]])</f>
        <v>76166681-9HS CHILE SPA11564</v>
      </c>
      <c r="F779" s="30" t="n">
        <v>46161</v>
      </c>
      <c r="G779" s="31" t="n">
        <f aca="false">+F779+30</f>
        <v>46191</v>
      </c>
      <c r="H779" s="29" t="n">
        <f aca="true">+IF(AE779="PAGADA",0,TODAY()-G779)</f>
        <v>13</v>
      </c>
      <c r="I779" s="29" t="str">
        <f aca="false">+IF(H779&gt;180,"Atrasada",IF(H779&gt;150,"150 dias",IF(H779&gt;120,"120 dias",IF(H779&gt;90,"90 dias",IF(H779&gt;60,"60 dias",IF(H779&gt;30,"30 dias","Al Día"))))))</f>
        <v>Al Día</v>
      </c>
      <c r="J779" s="59" t="s">
        <v>80</v>
      </c>
      <c r="K779" s="60" t="s">
        <v>81</v>
      </c>
      <c r="L779" s="61" t="s">
        <v>326</v>
      </c>
      <c r="M779" s="29" t="n">
        <f aca="false">+YEAR(F779)</f>
        <v>2026</v>
      </c>
      <c r="N779" s="62" t="n">
        <v>2026</v>
      </c>
      <c r="O779" s="63" t="n">
        <v>4</v>
      </c>
      <c r="P779" s="29" t="str">
        <f aca="false">+CONCATENATE(Tabla[[#This Row],[MES CAMPAÑA]],"/",Tabla[[#This Row],[AÑO CAMPAÑA]])</f>
        <v>4/2026</v>
      </c>
      <c r="Q779" s="60" t="s">
        <v>105</v>
      </c>
      <c r="R779" s="29"/>
      <c r="S779" s="64" t="n">
        <v>0</v>
      </c>
      <c r="T779" s="64" t="n">
        <v>484000</v>
      </c>
      <c r="U779" s="64" t="n">
        <v>91960</v>
      </c>
      <c r="V779" s="65"/>
      <c r="W779" s="24" t="n">
        <v>575960</v>
      </c>
      <c r="X779" s="36"/>
      <c r="Y779" s="66"/>
      <c r="Z779" s="66"/>
      <c r="AA779" s="66"/>
      <c r="AB779" s="38" t="n">
        <f aca="false">+W779-AC779</f>
        <v>575960</v>
      </c>
      <c r="AC779" s="34" t="n">
        <f aca="false">+Tabla[[#This Row],[P4]]+Tabla[[#This Row],[P3]]+Tabla[[#This Row],[P2]]+Tabla[[#This Row],[P1]]</f>
        <v>0</v>
      </c>
      <c r="AD779" s="34" t="n">
        <f aca="false">+W779-AC779</f>
        <v>575960</v>
      </c>
      <c r="AE779" s="21" t="str">
        <f aca="false">IF(AB779&lt;1,"PAGADA","PENDIENTE")</f>
        <v>PENDIENTE</v>
      </c>
      <c r="AF779" s="67"/>
      <c r="AG779" s="29"/>
      <c r="AH779" s="68"/>
      <c r="AI779" s="40" t="n">
        <f aca="false">+IF(Tabla[[#This Row],[FECHA PAGO / ABONO]]&lt;1,0,(MONTH(Tabla[[#This Row],[FECHA PAGO / ABONO]])))</f>
        <v>0</v>
      </c>
      <c r="AJ779" s="40" t="n">
        <f aca="false">+IF(Tabla[[#This Row],[FECHA PAGO / ABONO]]&lt;1,0,(YEAR(Tabla[[#This Row],[FECHA PAGO / ABONO]])))</f>
        <v>0</v>
      </c>
      <c r="AK779" s="41"/>
    </row>
    <row r="780" customFormat="false" ht="14.25" hidden="false" customHeight="false" outlineLevel="0" collapsed="false">
      <c r="A780" s="17" t="s">
        <v>121</v>
      </c>
      <c r="B780" s="18" t="s">
        <v>122</v>
      </c>
      <c r="C780" s="18" t="s">
        <v>69</v>
      </c>
      <c r="D780" s="18" t="n">
        <v>11565</v>
      </c>
      <c r="E780" s="21" t="str">
        <f aca="false">+CONCATENATE(Tabla[[#This Row],[RUT]],Tabla[[#This Row],[PROVEEDOR]],Tabla[[#This Row],[FACTURA]])</f>
        <v>76166681-9HS CHILE SPA11565</v>
      </c>
      <c r="F780" s="30" t="n">
        <v>46161</v>
      </c>
      <c r="G780" s="31" t="n">
        <f aca="false">+F780+30</f>
        <v>46191</v>
      </c>
      <c r="H780" s="29" t="n">
        <f aca="true">+IF(AE780="PAGADA",0,TODAY()-G780)</f>
        <v>13</v>
      </c>
      <c r="I780" s="29" t="str">
        <f aca="false">+IF(H780&gt;180,"Atrasada",IF(H780&gt;150,"150 dias",IF(H780&gt;120,"120 dias",IF(H780&gt;90,"90 dias",IF(H780&gt;60,"60 dias",IF(H780&gt;30,"30 dias","Al Día"))))))</f>
        <v>Al Día</v>
      </c>
      <c r="J780" s="59" t="s">
        <v>80</v>
      </c>
      <c r="K780" s="60" t="s">
        <v>81</v>
      </c>
      <c r="L780" s="61" t="s">
        <v>326</v>
      </c>
      <c r="M780" s="29" t="n">
        <f aca="false">+YEAR(F780)</f>
        <v>2026</v>
      </c>
      <c r="N780" s="62" t="n">
        <v>2026</v>
      </c>
      <c r="O780" s="63" t="n">
        <v>4</v>
      </c>
      <c r="P780" s="29" t="str">
        <f aca="false">+CONCATENATE(Tabla[[#This Row],[MES CAMPAÑA]],"/",Tabla[[#This Row],[AÑO CAMPAÑA]])</f>
        <v>4/2026</v>
      </c>
      <c r="Q780" s="60" t="s">
        <v>105</v>
      </c>
      <c r="R780" s="29"/>
      <c r="S780" s="64" t="n">
        <v>0</v>
      </c>
      <c r="T780" s="64" t="n">
        <v>2310000</v>
      </c>
      <c r="U780" s="64" t="n">
        <v>438900</v>
      </c>
      <c r="V780" s="65"/>
      <c r="W780" s="24" t="n">
        <v>2748900</v>
      </c>
      <c r="X780" s="36"/>
      <c r="Y780" s="66"/>
      <c r="Z780" s="66"/>
      <c r="AA780" s="66"/>
      <c r="AB780" s="38" t="n">
        <f aca="false">+W780-AC780</f>
        <v>2748900</v>
      </c>
      <c r="AC780" s="34" t="n">
        <f aca="false">+Tabla[[#This Row],[P4]]+Tabla[[#This Row],[P3]]+Tabla[[#This Row],[P2]]+Tabla[[#This Row],[P1]]</f>
        <v>0</v>
      </c>
      <c r="AD780" s="34" t="n">
        <f aca="false">+W780-AC780</f>
        <v>2748900</v>
      </c>
      <c r="AE780" s="21" t="str">
        <f aca="false">IF(AB780&lt;1,"PAGADA","PENDIENTE")</f>
        <v>PENDIENTE</v>
      </c>
      <c r="AF780" s="67"/>
      <c r="AG780" s="29"/>
      <c r="AH780" s="68"/>
      <c r="AI780" s="40" t="n">
        <f aca="false">+IF(Tabla[[#This Row],[FECHA PAGO / ABONO]]&lt;1,0,(MONTH(Tabla[[#This Row],[FECHA PAGO / ABONO]])))</f>
        <v>0</v>
      </c>
      <c r="AJ780" s="40" t="n">
        <f aca="false">+IF(Tabla[[#This Row],[FECHA PAGO / ABONO]]&lt;1,0,(YEAR(Tabla[[#This Row],[FECHA PAGO / ABONO]])))</f>
        <v>0</v>
      </c>
      <c r="AK780" s="41"/>
    </row>
    <row r="781" customFormat="false" ht="14.25" hidden="false" customHeight="false" outlineLevel="0" collapsed="false">
      <c r="A781" s="17" t="s">
        <v>121</v>
      </c>
      <c r="B781" s="18" t="s">
        <v>122</v>
      </c>
      <c r="C781" s="18" t="s">
        <v>69</v>
      </c>
      <c r="D781" s="18" t="n">
        <v>11566</v>
      </c>
      <c r="E781" s="21" t="str">
        <f aca="false">+CONCATENATE(Tabla[[#This Row],[RUT]],Tabla[[#This Row],[PROVEEDOR]],Tabla[[#This Row],[FACTURA]])</f>
        <v>76166681-9HS CHILE SPA11566</v>
      </c>
      <c r="F781" s="30" t="n">
        <v>46161</v>
      </c>
      <c r="G781" s="31" t="n">
        <f aca="false">+F781+30</f>
        <v>46191</v>
      </c>
      <c r="H781" s="29" t="n">
        <f aca="true">+IF(AE781="PAGADA",0,TODAY()-G781)</f>
        <v>13</v>
      </c>
      <c r="I781" s="29" t="str">
        <f aca="false">+IF(H781&gt;180,"Atrasada",IF(H781&gt;150,"150 dias",IF(H781&gt;120,"120 dias",IF(H781&gt;90,"90 dias",IF(H781&gt;60,"60 dias",IF(H781&gt;30,"30 dias","Al Día"))))))</f>
        <v>Al Día</v>
      </c>
      <c r="J781" s="59" t="s">
        <v>80</v>
      </c>
      <c r="K781" s="60" t="s">
        <v>81</v>
      </c>
      <c r="L781" s="61" t="s">
        <v>326</v>
      </c>
      <c r="M781" s="29" t="n">
        <f aca="false">+YEAR(F781)</f>
        <v>2026</v>
      </c>
      <c r="N781" s="62" t="n">
        <v>2026</v>
      </c>
      <c r="O781" s="63" t="n">
        <v>4</v>
      </c>
      <c r="P781" s="29" t="str">
        <f aca="false">+CONCATENATE(Tabla[[#This Row],[MES CAMPAÑA]],"/",Tabla[[#This Row],[AÑO CAMPAÑA]])</f>
        <v>4/2026</v>
      </c>
      <c r="Q781" s="60" t="s">
        <v>105</v>
      </c>
      <c r="R781" s="29"/>
      <c r="S781" s="64" t="n">
        <v>0</v>
      </c>
      <c r="T781" s="64" t="n">
        <v>649000</v>
      </c>
      <c r="U781" s="64" t="n">
        <v>123310</v>
      </c>
      <c r="V781" s="65"/>
      <c r="W781" s="24" t="n">
        <v>772310</v>
      </c>
      <c r="X781" s="36"/>
      <c r="Y781" s="66"/>
      <c r="Z781" s="66"/>
      <c r="AA781" s="66"/>
      <c r="AB781" s="38" t="n">
        <f aca="false">+W781-AC781</f>
        <v>772310</v>
      </c>
      <c r="AC781" s="34" t="n">
        <f aca="false">+Tabla[[#This Row],[P4]]+Tabla[[#This Row],[P3]]+Tabla[[#This Row],[P2]]+Tabla[[#This Row],[P1]]</f>
        <v>0</v>
      </c>
      <c r="AD781" s="34" t="n">
        <f aca="false">+W781-AC781</f>
        <v>772310</v>
      </c>
      <c r="AE781" s="21" t="str">
        <f aca="false">IF(AB781&lt;1,"PAGADA","PENDIENTE")</f>
        <v>PENDIENTE</v>
      </c>
      <c r="AF781" s="67"/>
      <c r="AG781" s="29"/>
      <c r="AH781" s="68"/>
      <c r="AI781" s="40" t="n">
        <f aca="false">+IF(Tabla[[#This Row],[FECHA PAGO / ABONO]]&lt;1,0,(MONTH(Tabla[[#This Row],[FECHA PAGO / ABONO]])))</f>
        <v>0</v>
      </c>
      <c r="AJ781" s="40" t="n">
        <f aca="false">+IF(Tabla[[#This Row],[FECHA PAGO / ABONO]]&lt;1,0,(YEAR(Tabla[[#This Row],[FECHA PAGO / ABONO]])))</f>
        <v>0</v>
      </c>
      <c r="AK781" s="41"/>
    </row>
    <row r="782" customFormat="false" ht="14.25" hidden="false" customHeight="false" outlineLevel="0" collapsed="false">
      <c r="A782" s="17" t="s">
        <v>121</v>
      </c>
      <c r="B782" s="18" t="s">
        <v>122</v>
      </c>
      <c r="C782" s="18" t="s">
        <v>69</v>
      </c>
      <c r="D782" s="18" t="n">
        <v>11567</v>
      </c>
      <c r="E782" s="21" t="str">
        <f aca="false">+CONCATENATE(Tabla[[#This Row],[RUT]],Tabla[[#This Row],[PROVEEDOR]],Tabla[[#This Row],[FACTURA]])</f>
        <v>76166681-9HS CHILE SPA11567</v>
      </c>
      <c r="F782" s="30" t="n">
        <v>46161</v>
      </c>
      <c r="G782" s="31" t="n">
        <f aca="false">+F782+30</f>
        <v>46191</v>
      </c>
      <c r="H782" s="29" t="n">
        <f aca="true">+IF(AE782="PAGADA",0,TODAY()-G782)</f>
        <v>13</v>
      </c>
      <c r="I782" s="29" t="str">
        <f aca="false">+IF(H782&gt;180,"Atrasada",IF(H782&gt;150,"150 dias",IF(H782&gt;120,"120 dias",IF(H782&gt;90,"90 dias",IF(H782&gt;60,"60 dias",IF(H782&gt;30,"30 dias","Al Día"))))))</f>
        <v>Al Día</v>
      </c>
      <c r="J782" s="59" t="s">
        <v>80</v>
      </c>
      <c r="K782" s="60" t="s">
        <v>81</v>
      </c>
      <c r="L782" s="61" t="s">
        <v>326</v>
      </c>
      <c r="M782" s="29" t="n">
        <f aca="false">+YEAR(F782)</f>
        <v>2026</v>
      </c>
      <c r="N782" s="62" t="n">
        <v>2026</v>
      </c>
      <c r="O782" s="63" t="n">
        <v>4</v>
      </c>
      <c r="P782" s="29" t="str">
        <f aca="false">+CONCATENATE(Tabla[[#This Row],[MES CAMPAÑA]],"/",Tabla[[#This Row],[AÑO CAMPAÑA]])</f>
        <v>4/2026</v>
      </c>
      <c r="Q782" s="60" t="s">
        <v>105</v>
      </c>
      <c r="R782" s="29"/>
      <c r="S782" s="64" t="n">
        <v>0</v>
      </c>
      <c r="T782" s="64" t="n">
        <v>352000</v>
      </c>
      <c r="U782" s="64" t="n">
        <v>66880</v>
      </c>
      <c r="V782" s="65"/>
      <c r="W782" s="24" t="n">
        <v>418880</v>
      </c>
      <c r="X782" s="36"/>
      <c r="Y782" s="66"/>
      <c r="Z782" s="66"/>
      <c r="AA782" s="66"/>
      <c r="AB782" s="38" t="n">
        <f aca="false">+W782-AC782</f>
        <v>418880</v>
      </c>
      <c r="AC782" s="34" t="n">
        <f aca="false">+Tabla[[#This Row],[P4]]+Tabla[[#This Row],[P3]]+Tabla[[#This Row],[P2]]+Tabla[[#This Row],[P1]]</f>
        <v>0</v>
      </c>
      <c r="AD782" s="34" t="n">
        <f aca="false">+W782-AC782</f>
        <v>418880</v>
      </c>
      <c r="AE782" s="21" t="str">
        <f aca="false">IF(AB782&lt;1,"PAGADA","PENDIENTE")</f>
        <v>PENDIENTE</v>
      </c>
      <c r="AF782" s="67"/>
      <c r="AG782" s="29"/>
      <c r="AH782" s="68"/>
      <c r="AI782" s="40" t="n">
        <f aca="false">+IF(Tabla[[#This Row],[FECHA PAGO / ABONO]]&lt;1,0,(MONTH(Tabla[[#This Row],[FECHA PAGO / ABONO]])))</f>
        <v>0</v>
      </c>
      <c r="AJ782" s="40" t="n">
        <f aca="false">+IF(Tabla[[#This Row],[FECHA PAGO / ABONO]]&lt;1,0,(YEAR(Tabla[[#This Row],[FECHA PAGO / ABONO]])))</f>
        <v>0</v>
      </c>
      <c r="AK782" s="41"/>
    </row>
    <row r="783" customFormat="false" ht="14.25" hidden="false" customHeight="false" outlineLevel="0" collapsed="false">
      <c r="A783" s="17" t="s">
        <v>121</v>
      </c>
      <c r="B783" s="18" t="s">
        <v>122</v>
      </c>
      <c r="C783" s="18" t="s">
        <v>69</v>
      </c>
      <c r="D783" s="18" t="n">
        <v>11568</v>
      </c>
      <c r="E783" s="21" t="str">
        <f aca="false">+CONCATENATE(Tabla[[#This Row],[RUT]],Tabla[[#This Row],[PROVEEDOR]],Tabla[[#This Row],[FACTURA]])</f>
        <v>76166681-9HS CHILE SPA11568</v>
      </c>
      <c r="F783" s="30" t="n">
        <v>46161</v>
      </c>
      <c r="G783" s="31" t="n">
        <f aca="false">+F783+30</f>
        <v>46191</v>
      </c>
      <c r="H783" s="29" t="n">
        <f aca="true">+IF(AE783="PAGADA",0,TODAY()-G783)</f>
        <v>13</v>
      </c>
      <c r="I783" s="29" t="str">
        <f aca="false">+IF(H783&gt;180,"Atrasada",IF(H783&gt;150,"150 dias",IF(H783&gt;120,"120 dias",IF(H783&gt;90,"90 dias",IF(H783&gt;60,"60 dias",IF(H783&gt;30,"30 dias","Al Día"))))))</f>
        <v>Al Día</v>
      </c>
      <c r="J783" s="59" t="s">
        <v>80</v>
      </c>
      <c r="K783" s="60" t="s">
        <v>81</v>
      </c>
      <c r="L783" s="61" t="s">
        <v>326</v>
      </c>
      <c r="M783" s="29" t="n">
        <f aca="false">+YEAR(F783)</f>
        <v>2026</v>
      </c>
      <c r="N783" s="62" t="n">
        <v>2026</v>
      </c>
      <c r="O783" s="63" t="n">
        <v>4</v>
      </c>
      <c r="P783" s="29" t="str">
        <f aca="false">+CONCATENATE(Tabla[[#This Row],[MES CAMPAÑA]],"/",Tabla[[#This Row],[AÑO CAMPAÑA]])</f>
        <v>4/2026</v>
      </c>
      <c r="Q783" s="60" t="s">
        <v>105</v>
      </c>
      <c r="R783" s="29"/>
      <c r="S783" s="64" t="n">
        <v>0</v>
      </c>
      <c r="T783" s="64" t="n">
        <v>1200000</v>
      </c>
      <c r="U783" s="64" t="n">
        <v>228000</v>
      </c>
      <c r="V783" s="65"/>
      <c r="W783" s="24" t="n">
        <v>1428000</v>
      </c>
      <c r="X783" s="36"/>
      <c r="Y783" s="66"/>
      <c r="Z783" s="66"/>
      <c r="AA783" s="66"/>
      <c r="AB783" s="38" t="n">
        <f aca="false">+W783-AC783</f>
        <v>1428000</v>
      </c>
      <c r="AC783" s="34" t="n">
        <f aca="false">+Tabla[[#This Row],[P4]]+Tabla[[#This Row],[P3]]+Tabla[[#This Row],[P2]]+Tabla[[#This Row],[P1]]</f>
        <v>0</v>
      </c>
      <c r="AD783" s="34" t="n">
        <f aca="false">+W783-AC783</f>
        <v>1428000</v>
      </c>
      <c r="AE783" s="21" t="str">
        <f aca="false">IF(AB783&lt;1,"PAGADA","PENDIENTE")</f>
        <v>PENDIENTE</v>
      </c>
      <c r="AF783" s="67"/>
      <c r="AG783" s="29"/>
      <c r="AH783" s="68"/>
      <c r="AI783" s="40" t="n">
        <f aca="false">+IF(Tabla[[#This Row],[FECHA PAGO / ABONO]]&lt;1,0,(MONTH(Tabla[[#This Row],[FECHA PAGO / ABONO]])))</f>
        <v>0</v>
      </c>
      <c r="AJ783" s="40" t="n">
        <f aca="false">+IF(Tabla[[#This Row],[FECHA PAGO / ABONO]]&lt;1,0,(YEAR(Tabla[[#This Row],[FECHA PAGO / ABONO]])))</f>
        <v>0</v>
      </c>
      <c r="AK783" s="41"/>
    </row>
    <row r="784" customFormat="false" ht="14.25" hidden="false" customHeight="false" outlineLevel="0" collapsed="false">
      <c r="A784" s="17" t="s">
        <v>121</v>
      </c>
      <c r="B784" s="18" t="s">
        <v>122</v>
      </c>
      <c r="C784" s="18" t="s">
        <v>69</v>
      </c>
      <c r="D784" s="18" t="n">
        <v>11569</v>
      </c>
      <c r="E784" s="21" t="str">
        <f aca="false">+CONCATENATE(Tabla[[#This Row],[RUT]],Tabla[[#This Row],[PROVEEDOR]],Tabla[[#This Row],[FACTURA]])</f>
        <v>76166681-9HS CHILE SPA11569</v>
      </c>
      <c r="F784" s="30" t="n">
        <v>46161</v>
      </c>
      <c r="G784" s="31" t="n">
        <f aca="false">+F784+30</f>
        <v>46191</v>
      </c>
      <c r="H784" s="29" t="n">
        <f aca="true">+IF(AE784="PAGADA",0,TODAY()-G784)</f>
        <v>13</v>
      </c>
      <c r="I784" s="29" t="str">
        <f aca="false">+IF(H784&gt;180,"Atrasada",IF(H784&gt;150,"150 dias",IF(H784&gt;120,"120 dias",IF(H784&gt;90,"90 dias",IF(H784&gt;60,"60 dias",IF(H784&gt;30,"30 dias","Al Día"))))))</f>
        <v>Al Día</v>
      </c>
      <c r="J784" s="59" t="s">
        <v>80</v>
      </c>
      <c r="K784" s="60" t="s">
        <v>81</v>
      </c>
      <c r="L784" s="61" t="s">
        <v>326</v>
      </c>
      <c r="M784" s="29" t="n">
        <f aca="false">+YEAR(F784)</f>
        <v>2026</v>
      </c>
      <c r="N784" s="62" t="n">
        <v>2026</v>
      </c>
      <c r="O784" s="63" t="n">
        <v>4</v>
      </c>
      <c r="P784" s="29" t="str">
        <f aca="false">+CONCATENATE(Tabla[[#This Row],[MES CAMPAÑA]],"/",Tabla[[#This Row],[AÑO CAMPAÑA]])</f>
        <v>4/2026</v>
      </c>
      <c r="Q784" s="60" t="s">
        <v>323</v>
      </c>
      <c r="R784" s="29"/>
      <c r="S784" s="64" t="n">
        <v>0</v>
      </c>
      <c r="T784" s="64" t="n">
        <v>88880</v>
      </c>
      <c r="U784" s="64" t="n">
        <v>16887</v>
      </c>
      <c r="V784" s="65"/>
      <c r="W784" s="24" t="n">
        <v>105767</v>
      </c>
      <c r="X784" s="36"/>
      <c r="Y784" s="66"/>
      <c r="Z784" s="66"/>
      <c r="AA784" s="66"/>
      <c r="AB784" s="38" t="n">
        <f aca="false">+W784-AC784</f>
        <v>105767</v>
      </c>
      <c r="AC784" s="34" t="n">
        <f aca="false">+Tabla[[#This Row],[P4]]+Tabla[[#This Row],[P3]]+Tabla[[#This Row],[P2]]+Tabla[[#This Row],[P1]]</f>
        <v>0</v>
      </c>
      <c r="AD784" s="34" t="n">
        <f aca="false">+W784-AC784</f>
        <v>105767</v>
      </c>
      <c r="AE784" s="21" t="str">
        <f aca="false">IF(AB784&lt;1,"PAGADA","PENDIENTE")</f>
        <v>PENDIENTE</v>
      </c>
      <c r="AF784" s="67"/>
      <c r="AG784" s="29"/>
      <c r="AH784" s="68"/>
      <c r="AI784" s="40" t="n">
        <f aca="false">+IF(Tabla[[#This Row],[FECHA PAGO / ABONO]]&lt;1,0,(MONTH(Tabla[[#This Row],[FECHA PAGO / ABONO]])))</f>
        <v>0</v>
      </c>
      <c r="AJ784" s="40" t="n">
        <f aca="false">+IF(Tabla[[#This Row],[FECHA PAGO / ABONO]]&lt;1,0,(YEAR(Tabla[[#This Row],[FECHA PAGO / ABONO]])))</f>
        <v>0</v>
      </c>
      <c r="AK784" s="41"/>
    </row>
    <row r="785" customFormat="false" ht="14.25" hidden="false" customHeight="false" outlineLevel="0" collapsed="false">
      <c r="A785" s="17" t="s">
        <v>121</v>
      </c>
      <c r="B785" s="18" t="s">
        <v>122</v>
      </c>
      <c r="C785" s="18" t="s">
        <v>69</v>
      </c>
      <c r="D785" s="18" t="n">
        <v>11570</v>
      </c>
      <c r="E785" s="21" t="str">
        <f aca="false">+CONCATENATE(Tabla[[#This Row],[RUT]],Tabla[[#This Row],[PROVEEDOR]],Tabla[[#This Row],[FACTURA]])</f>
        <v>76166681-9HS CHILE SPA11570</v>
      </c>
      <c r="F785" s="30" t="n">
        <v>46161</v>
      </c>
      <c r="G785" s="31" t="n">
        <f aca="false">+F785+30</f>
        <v>46191</v>
      </c>
      <c r="H785" s="29" t="n">
        <f aca="true">+IF(AE785="PAGADA",0,TODAY()-G785)</f>
        <v>13</v>
      </c>
      <c r="I785" s="29" t="str">
        <f aca="false">+IF(H785&gt;180,"Atrasada",IF(H785&gt;150,"150 dias",IF(H785&gt;120,"120 dias",IF(H785&gt;90,"90 dias",IF(H785&gt;60,"60 dias",IF(H785&gt;30,"30 dias","Al Día"))))))</f>
        <v>Al Día</v>
      </c>
      <c r="J785" s="59" t="s">
        <v>80</v>
      </c>
      <c r="K785" s="60" t="s">
        <v>81</v>
      </c>
      <c r="L785" s="61" t="s">
        <v>326</v>
      </c>
      <c r="M785" s="29" t="n">
        <f aca="false">+YEAR(F785)</f>
        <v>2026</v>
      </c>
      <c r="N785" s="62" t="n">
        <v>2026</v>
      </c>
      <c r="O785" s="63" t="n">
        <v>4</v>
      </c>
      <c r="P785" s="29" t="str">
        <f aca="false">+CONCATENATE(Tabla[[#This Row],[MES CAMPAÑA]],"/",Tabla[[#This Row],[AÑO CAMPAÑA]])</f>
        <v>4/2026</v>
      </c>
      <c r="Q785" s="60" t="s">
        <v>323</v>
      </c>
      <c r="R785" s="29"/>
      <c r="S785" s="64" t="n">
        <v>0</v>
      </c>
      <c r="T785" s="64" t="n">
        <v>44440</v>
      </c>
      <c r="U785" s="64" t="n">
        <v>8444</v>
      </c>
      <c r="V785" s="65"/>
      <c r="W785" s="24" t="n">
        <v>52884</v>
      </c>
      <c r="X785" s="36"/>
      <c r="Y785" s="66"/>
      <c r="Z785" s="66"/>
      <c r="AA785" s="66"/>
      <c r="AB785" s="38" t="n">
        <f aca="false">+W785-AC785</f>
        <v>52884</v>
      </c>
      <c r="AC785" s="34" t="n">
        <f aca="false">+Tabla[[#This Row],[P4]]+Tabla[[#This Row],[P3]]+Tabla[[#This Row],[P2]]+Tabla[[#This Row],[P1]]</f>
        <v>0</v>
      </c>
      <c r="AD785" s="34" t="n">
        <f aca="false">+W785-AC785</f>
        <v>52884</v>
      </c>
      <c r="AE785" s="21" t="str">
        <f aca="false">IF(AB785&lt;1,"PAGADA","PENDIENTE")</f>
        <v>PENDIENTE</v>
      </c>
      <c r="AF785" s="67"/>
      <c r="AG785" s="29"/>
      <c r="AH785" s="68"/>
      <c r="AI785" s="40" t="n">
        <f aca="false">+IF(Tabla[[#This Row],[FECHA PAGO / ABONO]]&lt;1,0,(MONTH(Tabla[[#This Row],[FECHA PAGO / ABONO]])))</f>
        <v>0</v>
      </c>
      <c r="AJ785" s="40" t="n">
        <f aca="false">+IF(Tabla[[#This Row],[FECHA PAGO / ABONO]]&lt;1,0,(YEAR(Tabla[[#This Row],[FECHA PAGO / ABONO]])))</f>
        <v>0</v>
      </c>
      <c r="AK785" s="41"/>
    </row>
    <row r="786" customFormat="false" ht="14.25" hidden="false" customHeight="false" outlineLevel="0" collapsed="false">
      <c r="A786" s="17" t="s">
        <v>121</v>
      </c>
      <c r="B786" s="18" t="s">
        <v>122</v>
      </c>
      <c r="C786" s="18" t="s">
        <v>69</v>
      </c>
      <c r="D786" s="18" t="n">
        <v>11571</v>
      </c>
      <c r="E786" s="21" t="str">
        <f aca="false">+CONCATENATE(Tabla[[#This Row],[RUT]],Tabla[[#This Row],[PROVEEDOR]],Tabla[[#This Row],[FACTURA]])</f>
        <v>76166681-9HS CHILE SPA11571</v>
      </c>
      <c r="F786" s="30" t="n">
        <v>46161</v>
      </c>
      <c r="G786" s="31" t="n">
        <f aca="false">+F786+30</f>
        <v>46191</v>
      </c>
      <c r="H786" s="29" t="n">
        <f aca="true">+IF(AE786="PAGADA",0,TODAY()-G786)</f>
        <v>13</v>
      </c>
      <c r="I786" s="29" t="str">
        <f aca="false">+IF(H786&gt;180,"Atrasada",IF(H786&gt;150,"150 dias",IF(H786&gt;120,"120 dias",IF(H786&gt;90,"90 dias",IF(H786&gt;60,"60 dias",IF(H786&gt;30,"30 dias","Al Día"))))))</f>
        <v>Al Día</v>
      </c>
      <c r="J786" s="59" t="s">
        <v>80</v>
      </c>
      <c r="K786" s="60" t="s">
        <v>81</v>
      </c>
      <c r="L786" s="61" t="s">
        <v>326</v>
      </c>
      <c r="M786" s="29" t="n">
        <f aca="false">+YEAR(F786)</f>
        <v>2026</v>
      </c>
      <c r="N786" s="62" t="n">
        <v>2026</v>
      </c>
      <c r="O786" s="63" t="n">
        <v>4</v>
      </c>
      <c r="P786" s="29" t="str">
        <f aca="false">+CONCATENATE(Tabla[[#This Row],[MES CAMPAÑA]],"/",Tabla[[#This Row],[AÑO CAMPAÑA]])</f>
        <v>4/2026</v>
      </c>
      <c r="Q786" s="60" t="s">
        <v>323</v>
      </c>
      <c r="R786" s="29"/>
      <c r="S786" s="64" t="n">
        <v>0</v>
      </c>
      <c r="T786" s="64" t="n">
        <v>76440</v>
      </c>
      <c r="U786" s="64" t="n">
        <v>14524</v>
      </c>
      <c r="V786" s="65"/>
      <c r="W786" s="24" t="n">
        <v>90964</v>
      </c>
      <c r="X786" s="36"/>
      <c r="Y786" s="66"/>
      <c r="Z786" s="66"/>
      <c r="AA786" s="66"/>
      <c r="AB786" s="38" t="n">
        <f aca="false">+W786-AC786</f>
        <v>90964</v>
      </c>
      <c r="AC786" s="34" t="n">
        <f aca="false">+Tabla[[#This Row],[P4]]+Tabla[[#This Row],[P3]]+Tabla[[#This Row],[P2]]+Tabla[[#This Row],[P1]]</f>
        <v>0</v>
      </c>
      <c r="AD786" s="34" t="n">
        <f aca="false">+W786-AC786</f>
        <v>90964</v>
      </c>
      <c r="AE786" s="21" t="str">
        <f aca="false">IF(AB786&lt;1,"PAGADA","PENDIENTE")</f>
        <v>PENDIENTE</v>
      </c>
      <c r="AF786" s="67"/>
      <c r="AG786" s="29"/>
      <c r="AH786" s="68"/>
      <c r="AI786" s="40" t="n">
        <f aca="false">+IF(Tabla[[#This Row],[FECHA PAGO / ABONO]]&lt;1,0,(MONTH(Tabla[[#This Row],[FECHA PAGO / ABONO]])))</f>
        <v>0</v>
      </c>
      <c r="AJ786" s="40" t="n">
        <f aca="false">+IF(Tabla[[#This Row],[FECHA PAGO / ABONO]]&lt;1,0,(YEAR(Tabla[[#This Row],[FECHA PAGO / ABONO]])))</f>
        <v>0</v>
      </c>
      <c r="AK786" s="41"/>
    </row>
    <row r="787" customFormat="false" ht="14.25" hidden="false" customHeight="false" outlineLevel="0" collapsed="false">
      <c r="A787" s="17" t="s">
        <v>121</v>
      </c>
      <c r="B787" s="18" t="s">
        <v>122</v>
      </c>
      <c r="C787" s="18" t="s">
        <v>69</v>
      </c>
      <c r="D787" s="18" t="n">
        <v>11572</v>
      </c>
      <c r="E787" s="21" t="str">
        <f aca="false">+CONCATENATE(Tabla[[#This Row],[RUT]],Tabla[[#This Row],[PROVEEDOR]],Tabla[[#This Row],[FACTURA]])</f>
        <v>76166681-9HS CHILE SPA11572</v>
      </c>
      <c r="F787" s="30" t="n">
        <v>46161</v>
      </c>
      <c r="G787" s="31" t="n">
        <f aca="false">+F787+30</f>
        <v>46191</v>
      </c>
      <c r="H787" s="29" t="n">
        <f aca="true">+IF(AE787="PAGADA",0,TODAY()-G787)</f>
        <v>13</v>
      </c>
      <c r="I787" s="29" t="str">
        <f aca="false">+IF(H787&gt;180,"Atrasada",IF(H787&gt;150,"150 dias",IF(H787&gt;120,"120 dias",IF(H787&gt;90,"90 dias",IF(H787&gt;60,"60 dias",IF(H787&gt;30,"30 dias","Al Día"))))))</f>
        <v>Al Día</v>
      </c>
      <c r="J787" s="59" t="s">
        <v>80</v>
      </c>
      <c r="K787" s="60" t="s">
        <v>81</v>
      </c>
      <c r="L787" s="61" t="s">
        <v>326</v>
      </c>
      <c r="M787" s="29" t="n">
        <f aca="false">+YEAR(F787)</f>
        <v>2026</v>
      </c>
      <c r="N787" s="62" t="n">
        <v>2026</v>
      </c>
      <c r="O787" s="63" t="n">
        <v>4</v>
      </c>
      <c r="P787" s="29" t="str">
        <f aca="false">+CONCATENATE(Tabla[[#This Row],[MES CAMPAÑA]],"/",Tabla[[#This Row],[AÑO CAMPAÑA]])</f>
        <v>4/2026</v>
      </c>
      <c r="Q787" s="60" t="s">
        <v>323</v>
      </c>
      <c r="R787" s="29"/>
      <c r="S787" s="64" t="n">
        <v>0</v>
      </c>
      <c r="T787" s="64" t="n">
        <v>111100</v>
      </c>
      <c r="U787" s="64" t="n">
        <v>21109</v>
      </c>
      <c r="V787" s="65"/>
      <c r="W787" s="24" t="n">
        <v>132209</v>
      </c>
      <c r="X787" s="36"/>
      <c r="Y787" s="66"/>
      <c r="Z787" s="66"/>
      <c r="AA787" s="66"/>
      <c r="AB787" s="38" t="n">
        <f aca="false">+W787-AC787</f>
        <v>132209</v>
      </c>
      <c r="AC787" s="34" t="n">
        <f aca="false">+Tabla[[#This Row],[P4]]+Tabla[[#This Row],[P3]]+Tabla[[#This Row],[P2]]+Tabla[[#This Row],[P1]]</f>
        <v>0</v>
      </c>
      <c r="AD787" s="34" t="n">
        <f aca="false">+W787-AC787</f>
        <v>132209</v>
      </c>
      <c r="AE787" s="21" t="str">
        <f aca="false">IF(AB787&lt;1,"PAGADA","PENDIENTE")</f>
        <v>PENDIENTE</v>
      </c>
      <c r="AF787" s="67"/>
      <c r="AG787" s="29"/>
      <c r="AH787" s="68"/>
      <c r="AI787" s="40" t="n">
        <f aca="false">+IF(Tabla[[#This Row],[FECHA PAGO / ABONO]]&lt;1,0,(MONTH(Tabla[[#This Row],[FECHA PAGO / ABONO]])))</f>
        <v>0</v>
      </c>
      <c r="AJ787" s="40" t="n">
        <f aca="false">+IF(Tabla[[#This Row],[FECHA PAGO / ABONO]]&lt;1,0,(YEAR(Tabla[[#This Row],[FECHA PAGO / ABONO]])))</f>
        <v>0</v>
      </c>
      <c r="AK787" s="41"/>
    </row>
    <row r="788" customFormat="false" ht="14.25" hidden="false" customHeight="false" outlineLevel="0" collapsed="false">
      <c r="A788" s="17" t="s">
        <v>121</v>
      </c>
      <c r="B788" s="18" t="s">
        <v>122</v>
      </c>
      <c r="C788" s="18" t="s">
        <v>69</v>
      </c>
      <c r="D788" s="18" t="n">
        <v>11573</v>
      </c>
      <c r="E788" s="21" t="str">
        <f aca="false">+CONCATENATE(Tabla[[#This Row],[RUT]],Tabla[[#This Row],[PROVEEDOR]],Tabla[[#This Row],[FACTURA]])</f>
        <v>76166681-9HS CHILE SPA11573</v>
      </c>
      <c r="F788" s="30" t="n">
        <v>46161</v>
      </c>
      <c r="G788" s="31" t="n">
        <f aca="false">+F788+30</f>
        <v>46191</v>
      </c>
      <c r="H788" s="29" t="n">
        <f aca="true">+IF(AE788="PAGADA",0,TODAY()-G788)</f>
        <v>13</v>
      </c>
      <c r="I788" s="29" t="str">
        <f aca="false">+IF(H788&gt;180,"Atrasada",IF(H788&gt;150,"150 dias",IF(H788&gt;120,"120 dias",IF(H788&gt;90,"90 dias",IF(H788&gt;60,"60 dias",IF(H788&gt;30,"30 dias","Al Día"))))))</f>
        <v>Al Día</v>
      </c>
      <c r="J788" s="59" t="s">
        <v>80</v>
      </c>
      <c r="K788" s="60" t="s">
        <v>81</v>
      </c>
      <c r="L788" s="61" t="s">
        <v>326</v>
      </c>
      <c r="M788" s="29" t="n">
        <f aca="false">+YEAR(F788)</f>
        <v>2026</v>
      </c>
      <c r="N788" s="62" t="n">
        <v>2026</v>
      </c>
      <c r="O788" s="63" t="n">
        <v>4</v>
      </c>
      <c r="P788" s="29" t="str">
        <f aca="false">+CONCATENATE(Tabla[[#This Row],[MES CAMPAÑA]],"/",Tabla[[#This Row],[AÑO CAMPAÑA]])</f>
        <v>4/2026</v>
      </c>
      <c r="Q788" s="60" t="s">
        <v>323</v>
      </c>
      <c r="R788" s="29"/>
      <c r="S788" s="64" t="n">
        <v>0</v>
      </c>
      <c r="T788" s="64" t="n">
        <v>191100</v>
      </c>
      <c r="U788" s="64" t="n">
        <v>36309</v>
      </c>
      <c r="V788" s="65"/>
      <c r="W788" s="24" t="n">
        <v>227409</v>
      </c>
      <c r="X788" s="36"/>
      <c r="Y788" s="66"/>
      <c r="Z788" s="66"/>
      <c r="AA788" s="66"/>
      <c r="AB788" s="38" t="n">
        <f aca="false">+W788-AC788</f>
        <v>227409</v>
      </c>
      <c r="AC788" s="34" t="n">
        <f aca="false">+Tabla[[#This Row],[P4]]+Tabla[[#This Row],[P3]]+Tabla[[#This Row],[P2]]+Tabla[[#This Row],[P1]]</f>
        <v>0</v>
      </c>
      <c r="AD788" s="34" t="n">
        <f aca="false">+W788-AC788</f>
        <v>227409</v>
      </c>
      <c r="AE788" s="21" t="str">
        <f aca="false">IF(AB788&lt;1,"PAGADA","PENDIENTE")</f>
        <v>PENDIENTE</v>
      </c>
      <c r="AF788" s="67"/>
      <c r="AG788" s="29"/>
      <c r="AH788" s="68"/>
      <c r="AI788" s="40" t="n">
        <f aca="false">+IF(Tabla[[#This Row],[FECHA PAGO / ABONO]]&lt;1,0,(MONTH(Tabla[[#This Row],[FECHA PAGO / ABONO]])))</f>
        <v>0</v>
      </c>
      <c r="AJ788" s="40" t="n">
        <f aca="false">+IF(Tabla[[#This Row],[FECHA PAGO / ABONO]]&lt;1,0,(YEAR(Tabla[[#This Row],[FECHA PAGO / ABONO]])))</f>
        <v>0</v>
      </c>
      <c r="AK788" s="41"/>
    </row>
    <row r="789" customFormat="false" ht="14.25" hidden="false" customHeight="false" outlineLevel="0" collapsed="false">
      <c r="A789" s="17" t="s">
        <v>121</v>
      </c>
      <c r="B789" s="18" t="s">
        <v>122</v>
      </c>
      <c r="C789" s="18" t="s">
        <v>69</v>
      </c>
      <c r="D789" s="18" t="n">
        <v>11574</v>
      </c>
      <c r="E789" s="21" t="str">
        <f aca="false">+CONCATENATE(Tabla[[#This Row],[RUT]],Tabla[[#This Row],[PROVEEDOR]],Tabla[[#This Row],[FACTURA]])</f>
        <v>76166681-9HS CHILE SPA11574</v>
      </c>
      <c r="F789" s="30" t="n">
        <v>46161</v>
      </c>
      <c r="G789" s="31" t="n">
        <f aca="false">+F789+30</f>
        <v>46191</v>
      </c>
      <c r="H789" s="29" t="n">
        <f aca="true">+IF(AE789="PAGADA",0,TODAY()-G789)</f>
        <v>13</v>
      </c>
      <c r="I789" s="29" t="str">
        <f aca="false">+IF(H789&gt;180,"Atrasada",IF(H789&gt;150,"150 dias",IF(H789&gt;120,"120 dias",IF(H789&gt;90,"90 dias",IF(H789&gt;60,"60 dias",IF(H789&gt;30,"30 dias","Al Día"))))))</f>
        <v>Al Día</v>
      </c>
      <c r="J789" s="59" t="s">
        <v>80</v>
      </c>
      <c r="K789" s="60" t="s">
        <v>81</v>
      </c>
      <c r="L789" s="61" t="s">
        <v>326</v>
      </c>
      <c r="M789" s="29" t="n">
        <f aca="false">+YEAR(F789)</f>
        <v>2026</v>
      </c>
      <c r="N789" s="62" t="n">
        <v>2026</v>
      </c>
      <c r="O789" s="63" t="n">
        <v>4</v>
      </c>
      <c r="P789" s="29" t="str">
        <f aca="false">+CONCATENATE(Tabla[[#This Row],[MES CAMPAÑA]],"/",Tabla[[#This Row],[AÑO CAMPAÑA]])</f>
        <v>4/2026</v>
      </c>
      <c r="Q789" s="60" t="s">
        <v>323</v>
      </c>
      <c r="R789" s="29"/>
      <c r="S789" s="64" t="n">
        <v>0</v>
      </c>
      <c r="T789" s="64" t="n">
        <v>222200</v>
      </c>
      <c r="U789" s="64" t="n">
        <v>42218</v>
      </c>
      <c r="V789" s="65"/>
      <c r="W789" s="24" t="n">
        <v>264418</v>
      </c>
      <c r="X789" s="36"/>
      <c r="Y789" s="66"/>
      <c r="Z789" s="66"/>
      <c r="AA789" s="66"/>
      <c r="AB789" s="38" t="n">
        <f aca="false">+W789-AC789</f>
        <v>264418</v>
      </c>
      <c r="AC789" s="34" t="n">
        <f aca="false">+Tabla[[#This Row],[P4]]+Tabla[[#This Row],[P3]]+Tabla[[#This Row],[P2]]+Tabla[[#This Row],[P1]]</f>
        <v>0</v>
      </c>
      <c r="AD789" s="34" t="n">
        <f aca="false">+W789-AC789</f>
        <v>264418</v>
      </c>
      <c r="AE789" s="21" t="str">
        <f aca="false">IF(AB789&lt;1,"PAGADA","PENDIENTE")</f>
        <v>PENDIENTE</v>
      </c>
      <c r="AF789" s="67"/>
      <c r="AG789" s="29"/>
      <c r="AH789" s="68"/>
      <c r="AI789" s="40" t="n">
        <f aca="false">+IF(Tabla[[#This Row],[FECHA PAGO / ABONO]]&lt;1,0,(MONTH(Tabla[[#This Row],[FECHA PAGO / ABONO]])))</f>
        <v>0</v>
      </c>
      <c r="AJ789" s="40" t="n">
        <f aca="false">+IF(Tabla[[#This Row],[FECHA PAGO / ABONO]]&lt;1,0,(YEAR(Tabla[[#This Row],[FECHA PAGO / ABONO]])))</f>
        <v>0</v>
      </c>
      <c r="AK789" s="41"/>
    </row>
    <row r="790" customFormat="false" ht="14.25" hidden="false" customHeight="false" outlineLevel="0" collapsed="false">
      <c r="A790" s="17" t="s">
        <v>121</v>
      </c>
      <c r="B790" s="18" t="s">
        <v>122</v>
      </c>
      <c r="C790" s="18" t="s">
        <v>69</v>
      </c>
      <c r="D790" s="18" t="n">
        <v>11575</v>
      </c>
      <c r="E790" s="21" t="str">
        <f aca="false">+CONCATENATE(Tabla[[#This Row],[RUT]],Tabla[[#This Row],[PROVEEDOR]],Tabla[[#This Row],[FACTURA]])</f>
        <v>76166681-9HS CHILE SPA11575</v>
      </c>
      <c r="F790" s="30" t="n">
        <v>46161</v>
      </c>
      <c r="G790" s="31" t="n">
        <f aca="false">+F790+30</f>
        <v>46191</v>
      </c>
      <c r="H790" s="29" t="n">
        <f aca="true">+IF(AE790="PAGADA",0,TODAY()-G790)</f>
        <v>13</v>
      </c>
      <c r="I790" s="29" t="str">
        <f aca="false">+IF(H790&gt;180,"Atrasada",IF(H790&gt;150,"150 dias",IF(H790&gt;120,"120 dias",IF(H790&gt;90,"90 dias",IF(H790&gt;60,"60 dias",IF(H790&gt;30,"30 dias","Al Día"))))))</f>
        <v>Al Día</v>
      </c>
      <c r="J790" s="59" t="s">
        <v>80</v>
      </c>
      <c r="K790" s="60" t="s">
        <v>81</v>
      </c>
      <c r="L790" s="61" t="s">
        <v>326</v>
      </c>
      <c r="M790" s="29" t="n">
        <f aca="false">+YEAR(F790)</f>
        <v>2026</v>
      </c>
      <c r="N790" s="62" t="n">
        <v>2026</v>
      </c>
      <c r="O790" s="63" t="n">
        <v>4</v>
      </c>
      <c r="P790" s="29" t="str">
        <f aca="false">+CONCATENATE(Tabla[[#This Row],[MES CAMPAÑA]],"/",Tabla[[#This Row],[AÑO CAMPAÑA]])</f>
        <v>4/2026</v>
      </c>
      <c r="Q790" s="60" t="s">
        <v>323</v>
      </c>
      <c r="R790" s="29"/>
      <c r="S790" s="64" t="n">
        <v>0</v>
      </c>
      <c r="T790" s="64" t="n">
        <v>90000</v>
      </c>
      <c r="U790" s="64" t="n">
        <v>17100</v>
      </c>
      <c r="V790" s="65"/>
      <c r="W790" s="24" t="n">
        <v>107100</v>
      </c>
      <c r="X790" s="36"/>
      <c r="Y790" s="66"/>
      <c r="Z790" s="66"/>
      <c r="AA790" s="66"/>
      <c r="AB790" s="38" t="n">
        <f aca="false">+W790-AC790</f>
        <v>107100</v>
      </c>
      <c r="AC790" s="34" t="n">
        <f aca="false">+Tabla[[#This Row],[P4]]+Tabla[[#This Row],[P3]]+Tabla[[#This Row],[P2]]+Tabla[[#This Row],[P1]]</f>
        <v>0</v>
      </c>
      <c r="AD790" s="34" t="n">
        <f aca="false">+W790-AC790</f>
        <v>107100</v>
      </c>
      <c r="AE790" s="21" t="str">
        <f aca="false">IF(AB790&lt;1,"PAGADA","PENDIENTE")</f>
        <v>PENDIENTE</v>
      </c>
      <c r="AF790" s="67"/>
      <c r="AG790" s="29"/>
      <c r="AH790" s="68"/>
      <c r="AI790" s="40" t="n">
        <f aca="false">+IF(Tabla[[#This Row],[FECHA PAGO / ABONO]]&lt;1,0,(MONTH(Tabla[[#This Row],[FECHA PAGO / ABONO]])))</f>
        <v>0</v>
      </c>
      <c r="AJ790" s="40" t="n">
        <f aca="false">+IF(Tabla[[#This Row],[FECHA PAGO / ABONO]]&lt;1,0,(YEAR(Tabla[[#This Row],[FECHA PAGO / ABONO]])))</f>
        <v>0</v>
      </c>
      <c r="AK790" s="41"/>
    </row>
    <row r="791" customFormat="false" ht="14.25" hidden="false" customHeight="false" outlineLevel="0" collapsed="false">
      <c r="A791" s="17" t="s">
        <v>334</v>
      </c>
      <c r="B791" s="18" t="s">
        <v>335</v>
      </c>
      <c r="C791" s="18" t="s">
        <v>69</v>
      </c>
      <c r="D791" s="18" t="n">
        <v>2338</v>
      </c>
      <c r="E791" s="21" t="str">
        <f aca="false">+CONCATENATE(Tabla[[#This Row],[RUT]],Tabla[[#This Row],[PROVEEDOR]],Tabla[[#This Row],[FACTURA]])</f>
        <v>78016020-9TALLERES GRAFICOS VICTOR HUGO ROJAS LOPEZ HERMANOS Y COMPANIA LIMITADA2338</v>
      </c>
      <c r="F791" s="30" t="n">
        <v>46161</v>
      </c>
      <c r="G791" s="31" t="n">
        <f aca="false">+F791+30</f>
        <v>46191</v>
      </c>
      <c r="H791" s="29" t="n">
        <f aca="true">+IF(AE791="PAGADA",0,TODAY()-G791)</f>
        <v>13</v>
      </c>
      <c r="I791" s="29" t="str">
        <f aca="false">+IF(H791&gt;180,"Atrasada",IF(H791&gt;150,"150 dias",IF(H791&gt;120,"120 dias",IF(H791&gt;90,"90 dias",IF(H791&gt;60,"60 dias",IF(H791&gt;30,"30 dias","Al Día"))))))</f>
        <v>Al Día</v>
      </c>
      <c r="J791" s="59" t="s">
        <v>80</v>
      </c>
      <c r="K791" s="60" t="s">
        <v>81</v>
      </c>
      <c r="L791" s="61" t="s">
        <v>326</v>
      </c>
      <c r="M791" s="29" t="n">
        <f aca="false">+YEAR(F791)</f>
        <v>2026</v>
      </c>
      <c r="N791" s="62" t="n">
        <v>2026</v>
      </c>
      <c r="O791" s="63" t="n">
        <v>4</v>
      </c>
      <c r="P791" s="29" t="str">
        <f aca="false">+CONCATENATE(Tabla[[#This Row],[MES CAMPAÑA]],"/",Tabla[[#This Row],[AÑO CAMPAÑA]])</f>
        <v>4/2026</v>
      </c>
      <c r="Q791" s="60" t="s">
        <v>323</v>
      </c>
      <c r="R791" s="29"/>
      <c r="S791" s="64" t="n">
        <v>0</v>
      </c>
      <c r="T791" s="64" t="n">
        <v>1120000</v>
      </c>
      <c r="U791" s="64" t="n">
        <v>212800</v>
      </c>
      <c r="V791" s="65"/>
      <c r="W791" s="24" t="n">
        <v>1332800</v>
      </c>
      <c r="X791" s="36"/>
      <c r="Y791" s="66"/>
      <c r="Z791" s="66"/>
      <c r="AA791" s="66"/>
      <c r="AB791" s="38" t="n">
        <f aca="false">+W791-AC791</f>
        <v>1332800</v>
      </c>
      <c r="AC791" s="34" t="n">
        <f aca="false">+Tabla[[#This Row],[P4]]+Tabla[[#This Row],[P3]]+Tabla[[#This Row],[P2]]+Tabla[[#This Row],[P1]]</f>
        <v>0</v>
      </c>
      <c r="AD791" s="34" t="n">
        <f aca="false">+W791-AC791</f>
        <v>1332800</v>
      </c>
      <c r="AE791" s="21" t="str">
        <f aca="false">IF(AB791&lt;1,"PAGADA","PENDIENTE")</f>
        <v>PENDIENTE</v>
      </c>
      <c r="AF791" s="67"/>
      <c r="AG791" s="29"/>
      <c r="AH791" s="68"/>
      <c r="AI791" s="40" t="n">
        <f aca="false">+IF(Tabla[[#This Row],[FECHA PAGO / ABONO]]&lt;1,0,(MONTH(Tabla[[#This Row],[FECHA PAGO / ABONO]])))</f>
        <v>0</v>
      </c>
      <c r="AJ791" s="40" t="n">
        <f aca="false">+IF(Tabla[[#This Row],[FECHA PAGO / ABONO]]&lt;1,0,(YEAR(Tabla[[#This Row],[FECHA PAGO / ABONO]])))</f>
        <v>0</v>
      </c>
      <c r="AK791" s="41"/>
    </row>
    <row r="792" customFormat="false" ht="14.25" hidden="false" customHeight="false" outlineLevel="0" collapsed="false">
      <c r="A792" s="17" t="s">
        <v>164</v>
      </c>
      <c r="B792" s="18" t="s">
        <v>165</v>
      </c>
      <c r="C792" s="18" t="s">
        <v>69</v>
      </c>
      <c r="D792" s="18" t="n">
        <v>49</v>
      </c>
      <c r="E792" s="21" t="str">
        <f aca="false">+CONCATENATE(Tabla[[#This Row],[RUT]],Tabla[[#This Row],[PROVEEDOR]],Tabla[[#This Row],[FACTURA]])</f>
        <v>77983786-6COMUNICACIONES HDR SPA49</v>
      </c>
      <c r="F792" s="30" t="n">
        <v>46162</v>
      </c>
      <c r="G792" s="31" t="n">
        <f aca="false">+F792+30</f>
        <v>46192</v>
      </c>
      <c r="H792" s="29" t="n">
        <f aca="true">+IF(AE792="PAGADA",0,TODAY()-G792)</f>
        <v>0</v>
      </c>
      <c r="I792" s="29" t="str">
        <f aca="false">+IF(H792&gt;180,"Atrasada",IF(H792&gt;150,"150 dias",IF(H792&gt;120,"120 dias",IF(H792&gt;90,"90 dias",IF(H792&gt;60,"60 dias",IF(H792&gt;30,"30 dias","Al Día"))))))</f>
        <v>Al Día</v>
      </c>
      <c r="J792" s="59" t="s">
        <v>80</v>
      </c>
      <c r="K792" s="60" t="s">
        <v>81</v>
      </c>
      <c r="L792" s="61" t="s">
        <v>326</v>
      </c>
      <c r="M792" s="29" t="n">
        <f aca="false">+YEAR(F792)</f>
        <v>2026</v>
      </c>
      <c r="N792" s="62" t="n">
        <v>2026</v>
      </c>
      <c r="O792" s="63" t="n">
        <v>4</v>
      </c>
      <c r="P792" s="29" t="str">
        <f aca="false">+CONCATENATE(Tabla[[#This Row],[MES CAMPAÑA]],"/",Tabla[[#This Row],[AÑO CAMPAÑA]])</f>
        <v>4/2026</v>
      </c>
      <c r="Q792" s="60" t="s">
        <v>108</v>
      </c>
      <c r="R792" s="29"/>
      <c r="S792" s="64" t="n">
        <v>0</v>
      </c>
      <c r="T792" s="64" t="n">
        <v>325000</v>
      </c>
      <c r="U792" s="64" t="n">
        <v>61750</v>
      </c>
      <c r="V792" s="65"/>
      <c r="W792" s="24" t="n">
        <v>386750</v>
      </c>
      <c r="X792" s="36" t="n">
        <f aca="false">+Tabla[[#This Row],[TOTAL]]</f>
        <v>386750</v>
      </c>
      <c r="Y792" s="66"/>
      <c r="Z792" s="66"/>
      <c r="AA792" s="66"/>
      <c r="AB792" s="38" t="n">
        <f aca="false">+W792-AC792</f>
        <v>0</v>
      </c>
      <c r="AC792" s="34" t="n">
        <f aca="false">+Tabla[[#This Row],[P4]]+Tabla[[#This Row],[P3]]+Tabla[[#This Row],[P2]]+Tabla[[#This Row],[P1]]</f>
        <v>386750</v>
      </c>
      <c r="AD792" s="34" t="n">
        <f aca="false">+W792-AC792</f>
        <v>0</v>
      </c>
      <c r="AE792" s="21" t="str">
        <f aca="false">IF(AB792&lt;1,"PAGADA","PENDIENTE")</f>
        <v>PAGADA</v>
      </c>
      <c r="AF792" s="67" t="s">
        <v>328</v>
      </c>
      <c r="AG792" s="29" t="s">
        <v>77</v>
      </c>
      <c r="AH792" s="69" t="n">
        <v>46184</v>
      </c>
      <c r="AI792" s="40" t="n">
        <f aca="false">+IF(Tabla[[#This Row],[FECHA PAGO / ABONO]]&lt;1,0,(MONTH(Tabla[[#This Row],[FECHA PAGO / ABONO]])))</f>
        <v>6</v>
      </c>
      <c r="AJ792" s="40" t="n">
        <f aca="false">+IF(Tabla[[#This Row],[FECHA PAGO / ABONO]]&lt;1,0,(YEAR(Tabla[[#This Row],[FECHA PAGO / ABONO]])))</f>
        <v>2026</v>
      </c>
      <c r="AK792" s="41"/>
    </row>
    <row r="793" customFormat="false" ht="14.25" hidden="false" customHeight="false" outlineLevel="0" collapsed="false">
      <c r="A793" s="17" t="s">
        <v>197</v>
      </c>
      <c r="B793" s="18" t="s">
        <v>198</v>
      </c>
      <c r="C793" s="18" t="s">
        <v>69</v>
      </c>
      <c r="D793" s="18" t="n">
        <v>34649683</v>
      </c>
      <c r="E793" s="21" t="str">
        <f aca="false">+CONCATENATE(Tabla[[#This Row],[RUT]],Tabla[[#This Row],[PROVEEDOR]],Tabla[[#This Row],[FACTURA]])</f>
        <v>96800570-7ENEL DISTRIBUCIÃ“N CHILE S.A34649683</v>
      </c>
      <c r="F793" s="30" t="n">
        <v>46162</v>
      </c>
      <c r="G793" s="31" t="n">
        <f aca="false">+F793+30</f>
        <v>46192</v>
      </c>
      <c r="H793" s="29" t="n">
        <f aca="true">+IF(AE793="PAGADA",0,TODAY()-G793)</f>
        <v>0</v>
      </c>
      <c r="I793" s="29" t="str">
        <f aca="false">+IF(H793&gt;180,"Atrasada",IF(H793&gt;150,"150 dias",IF(H793&gt;120,"120 dias",IF(H793&gt;90,"90 dias",IF(H793&gt;60,"60 dias",IF(H793&gt;30,"30 dias","Al Día"))))))</f>
        <v>Al Día</v>
      </c>
      <c r="J793" s="59" t="s">
        <v>31</v>
      </c>
      <c r="K793" s="60" t="s">
        <v>81</v>
      </c>
      <c r="L793" s="61" t="s">
        <v>326</v>
      </c>
      <c r="M793" s="29" t="n">
        <f aca="false">+YEAR(F793)</f>
        <v>2026</v>
      </c>
      <c r="N793" s="62" t="n">
        <v>2026</v>
      </c>
      <c r="O793" s="63" t="n">
        <v>4</v>
      </c>
      <c r="P793" s="29" t="str">
        <f aca="false">+CONCATENATE(Tabla[[#This Row],[MES CAMPAÑA]],"/",Tabla[[#This Row],[AÑO CAMPAÑA]])</f>
        <v>4/2026</v>
      </c>
      <c r="Q793" s="60" t="s">
        <v>73</v>
      </c>
      <c r="R793" s="29"/>
      <c r="S793" s="64" t="n">
        <v>0</v>
      </c>
      <c r="T793" s="64" t="n">
        <v>599</v>
      </c>
      <c r="U793" s="64" t="n">
        <v>114</v>
      </c>
      <c r="V793" s="65"/>
      <c r="W793" s="24" t="n">
        <v>713</v>
      </c>
      <c r="X793" s="36" t="n">
        <f aca="false">+Tabla[[#This Row],[TOTAL]]</f>
        <v>713</v>
      </c>
      <c r="Y793" s="66"/>
      <c r="Z793" s="66"/>
      <c r="AA793" s="66"/>
      <c r="AB793" s="38" t="n">
        <f aca="false">+W793-AC793</f>
        <v>0</v>
      </c>
      <c r="AC793" s="34" t="n">
        <f aca="false">+Tabla[[#This Row],[P4]]+Tabla[[#This Row],[P3]]+Tabla[[#This Row],[P2]]+Tabla[[#This Row],[P1]]</f>
        <v>713</v>
      </c>
      <c r="AD793" s="34" t="n">
        <f aca="false">+W793-AC793</f>
        <v>0</v>
      </c>
      <c r="AE793" s="21" t="str">
        <f aca="false">IF(AB793&lt;1,"PAGADA","PENDIENTE")</f>
        <v>PAGADA</v>
      </c>
      <c r="AF793" s="67"/>
      <c r="AG793" s="29" t="s">
        <v>333</v>
      </c>
      <c r="AH793" s="68"/>
      <c r="AI793" s="40" t="n">
        <f aca="false">+IF(Tabla[[#This Row],[FECHA PAGO / ABONO]]&lt;1,0,(MONTH(Tabla[[#This Row],[FECHA PAGO / ABONO]])))</f>
        <v>0</v>
      </c>
      <c r="AJ793" s="40" t="n">
        <f aca="false">+IF(Tabla[[#This Row],[FECHA PAGO / ABONO]]&lt;1,0,(YEAR(Tabla[[#This Row],[FECHA PAGO / ABONO]])))</f>
        <v>0</v>
      </c>
      <c r="AK793" s="41"/>
    </row>
    <row r="794" customFormat="false" ht="14.25" hidden="false" customHeight="false" outlineLevel="0" collapsed="false">
      <c r="A794" s="17" t="s">
        <v>147</v>
      </c>
      <c r="B794" s="18" t="s">
        <v>148</v>
      </c>
      <c r="C794" s="18" t="s">
        <v>69</v>
      </c>
      <c r="D794" s="18" t="n">
        <v>11652</v>
      </c>
      <c r="E794" s="21" t="str">
        <f aca="false">+CONCATENATE(Tabla[[#This Row],[RUT]],Tabla[[#This Row],[PROVEEDOR]],Tabla[[#This Row],[FACTURA]])</f>
        <v>80314100-2EMPRESA PUBLICITARIA ANEPCO SPA11652</v>
      </c>
      <c r="F794" s="30" t="n">
        <v>46162</v>
      </c>
      <c r="G794" s="31" t="n">
        <f aca="false">+F794+30</f>
        <v>46192</v>
      </c>
      <c r="H794" s="29" t="n">
        <f aca="true">+IF(AE794="PAGADA",0,TODAY()-G794)</f>
        <v>0</v>
      </c>
      <c r="I794" s="29" t="str">
        <f aca="false">+IF(H794&gt;180,"Atrasada",IF(H794&gt;150,"150 dias",IF(H794&gt;120,"120 dias",IF(H794&gt;90,"90 dias",IF(H794&gt;60,"60 dias",IF(H794&gt;30,"30 dias","Al Día"))))))</f>
        <v>Al Día</v>
      </c>
      <c r="J794" s="59" t="s">
        <v>80</v>
      </c>
      <c r="K794" s="60" t="s">
        <v>81</v>
      </c>
      <c r="L794" s="61" t="s">
        <v>326</v>
      </c>
      <c r="M794" s="29" t="n">
        <f aca="false">+YEAR(F794)</f>
        <v>2026</v>
      </c>
      <c r="N794" s="62" t="n">
        <v>2026</v>
      </c>
      <c r="O794" s="63" t="n">
        <v>4</v>
      </c>
      <c r="P794" s="29" t="str">
        <f aca="false">+CONCATENATE(Tabla[[#This Row],[MES CAMPAÑA]],"/",Tabla[[#This Row],[AÑO CAMPAÑA]])</f>
        <v>4/2026</v>
      </c>
      <c r="Q794" s="60" t="s">
        <v>92</v>
      </c>
      <c r="R794" s="29"/>
      <c r="S794" s="64" t="n">
        <v>0</v>
      </c>
      <c r="T794" s="64" t="n">
        <v>602620</v>
      </c>
      <c r="U794" s="64" t="n">
        <v>114498</v>
      </c>
      <c r="V794" s="65"/>
      <c r="W794" s="24" t="n">
        <v>717118</v>
      </c>
      <c r="X794" s="36" t="n">
        <f aca="false">+Tabla[[#This Row],[TOTAL]]</f>
        <v>717118</v>
      </c>
      <c r="Y794" s="66"/>
      <c r="Z794" s="66"/>
      <c r="AA794" s="66"/>
      <c r="AB794" s="38" t="n">
        <f aca="false">+W794-AC794</f>
        <v>0</v>
      </c>
      <c r="AC794" s="34" t="n">
        <f aca="false">+Tabla[[#This Row],[P4]]+Tabla[[#This Row],[P3]]+Tabla[[#This Row],[P2]]+Tabla[[#This Row],[P1]]</f>
        <v>717118</v>
      </c>
      <c r="AD794" s="34" t="n">
        <f aca="false">+W794-AC794</f>
        <v>0</v>
      </c>
      <c r="AE794" s="21" t="str">
        <f aca="false">IF(AB794&lt;1,"PAGADA","PENDIENTE")</f>
        <v>PAGADA</v>
      </c>
      <c r="AF794" s="67"/>
      <c r="AG794" s="29" t="s">
        <v>77</v>
      </c>
      <c r="AH794" s="69" t="n">
        <v>46195</v>
      </c>
      <c r="AI794" s="40" t="n">
        <f aca="false">+IF(Tabla[[#This Row],[FECHA PAGO / ABONO]]&lt;1,0,(MONTH(Tabla[[#This Row],[FECHA PAGO / ABONO]])))</f>
        <v>6</v>
      </c>
      <c r="AJ794" s="40" t="n">
        <f aca="false">+IF(Tabla[[#This Row],[FECHA PAGO / ABONO]]&lt;1,0,(YEAR(Tabla[[#This Row],[FECHA PAGO / ABONO]])))</f>
        <v>2026</v>
      </c>
      <c r="AK794" s="41"/>
    </row>
    <row r="795" customFormat="false" ht="14.25" hidden="false" customHeight="false" outlineLevel="0" collapsed="false">
      <c r="A795" s="17" t="s">
        <v>280</v>
      </c>
      <c r="B795" s="18" t="s">
        <v>281</v>
      </c>
      <c r="C795" s="18" t="s">
        <v>69</v>
      </c>
      <c r="D795" s="18" t="n">
        <v>397</v>
      </c>
      <c r="E795" s="21" t="str">
        <f aca="false">+CONCATENATE(Tabla[[#This Row],[RUT]],Tabla[[#This Row],[PROVEEDOR]],Tabla[[#This Row],[FACTURA]])</f>
        <v>76272641-6RECAP SPA397</v>
      </c>
      <c r="F795" s="30" t="n">
        <v>46167</v>
      </c>
      <c r="G795" s="31" t="n">
        <f aca="false">+F795+30</f>
        <v>46197</v>
      </c>
      <c r="H795" s="29" t="n">
        <f aca="true">+IF(AE795="PAGADA",0,TODAY()-G795)</f>
        <v>0</v>
      </c>
      <c r="I795" s="29" t="str">
        <f aca="false">+IF(H795&gt;180,"Atrasada",IF(H795&gt;150,"150 dias",IF(H795&gt;120,"120 dias",IF(H795&gt;90,"90 dias",IF(H795&gt;60,"60 dias",IF(H795&gt;30,"30 dias","Al Día"))))))</f>
        <v>Al Día</v>
      </c>
      <c r="J795" s="59" t="s">
        <v>336</v>
      </c>
      <c r="K795" s="60" t="s">
        <v>81</v>
      </c>
      <c r="L795" s="61" t="s">
        <v>326</v>
      </c>
      <c r="M795" s="29" t="n">
        <f aca="false">+YEAR(F795)</f>
        <v>2026</v>
      </c>
      <c r="N795" s="62" t="n">
        <v>2026</v>
      </c>
      <c r="O795" s="63" t="n">
        <v>4</v>
      </c>
      <c r="P795" s="29" t="str">
        <f aca="false">+CONCATENATE(Tabla[[#This Row],[MES CAMPAÑA]],"/",Tabla[[#This Row],[AÑO CAMPAÑA]])</f>
        <v>4/2026</v>
      </c>
      <c r="Q795" s="60" t="s">
        <v>73</v>
      </c>
      <c r="R795" s="29"/>
      <c r="S795" s="64" t="n">
        <v>0</v>
      </c>
      <c r="T795" s="64" t="n">
        <v>621527</v>
      </c>
      <c r="U795" s="64" t="n">
        <v>118090</v>
      </c>
      <c r="V795" s="65"/>
      <c r="W795" s="24" t="n">
        <v>739617</v>
      </c>
      <c r="X795" s="36" t="n">
        <f aca="false">+Tabla[[#This Row],[TOTAL]]</f>
        <v>739617</v>
      </c>
      <c r="Y795" s="66"/>
      <c r="Z795" s="66"/>
      <c r="AA795" s="66"/>
      <c r="AB795" s="38" t="n">
        <f aca="false">+W795-AC795</f>
        <v>0</v>
      </c>
      <c r="AC795" s="34" t="n">
        <f aca="false">+Tabla[[#This Row],[P4]]+Tabla[[#This Row],[P3]]+Tabla[[#This Row],[P2]]+Tabla[[#This Row],[P1]]</f>
        <v>739617</v>
      </c>
      <c r="AD795" s="34" t="n">
        <f aca="false">+W795-AC795</f>
        <v>0</v>
      </c>
      <c r="AE795" s="21" t="str">
        <f aca="false">IF(AB795&lt;1,"PAGADA","PENDIENTE")</f>
        <v>PAGADA</v>
      </c>
      <c r="AF795" s="67"/>
      <c r="AG795" s="29" t="s">
        <v>77</v>
      </c>
      <c r="AH795" s="39" t="n">
        <v>46184</v>
      </c>
      <c r="AI795" s="40" t="n">
        <f aca="false">+IF(Tabla[[#This Row],[FECHA PAGO / ABONO]]&lt;1,0,(MONTH(Tabla[[#This Row],[FECHA PAGO / ABONO]])))</f>
        <v>6</v>
      </c>
      <c r="AJ795" s="40" t="n">
        <f aca="false">+IF(Tabla[[#This Row],[FECHA PAGO / ABONO]]&lt;1,0,(YEAR(Tabla[[#This Row],[FECHA PAGO / ABONO]])))</f>
        <v>2026</v>
      </c>
      <c r="AK795" s="41"/>
    </row>
    <row r="796" customFormat="false" ht="14.25" hidden="false" customHeight="false" outlineLevel="0" collapsed="false">
      <c r="A796" s="17" t="s">
        <v>145</v>
      </c>
      <c r="B796" s="18" t="s">
        <v>146</v>
      </c>
      <c r="C796" s="18" t="s">
        <v>69</v>
      </c>
      <c r="D796" s="18" t="n">
        <v>247</v>
      </c>
      <c r="E796" s="21" t="str">
        <f aca="false">+CONCATENATE(Tabla[[#This Row],[RUT]],Tabla[[#This Row],[PROVEEDOR]],Tabla[[#This Row],[FACTURA]])</f>
        <v>77131718-9COMUNICACIONES LA HUAYCA SPA247</v>
      </c>
      <c r="F796" s="30" t="n">
        <v>46167</v>
      </c>
      <c r="G796" s="31" t="n">
        <f aca="false">+F796+30</f>
        <v>46197</v>
      </c>
      <c r="H796" s="29" t="n">
        <f aca="true">+IF(AE796="PAGADA",0,TODAY()-G796)</f>
        <v>7</v>
      </c>
      <c r="I796" s="29" t="str">
        <f aca="false">+IF(H796&gt;180,"Atrasada",IF(H796&gt;150,"150 dias",IF(H796&gt;120,"120 dias",IF(H796&gt;90,"90 dias",IF(H796&gt;60,"60 dias",IF(H796&gt;30,"30 dias","Al Día"))))))</f>
        <v>Al Día</v>
      </c>
      <c r="J796" s="59" t="s">
        <v>80</v>
      </c>
      <c r="K796" s="60" t="s">
        <v>81</v>
      </c>
      <c r="L796" s="61" t="s">
        <v>326</v>
      </c>
      <c r="M796" s="29" t="n">
        <f aca="false">+YEAR(F796)</f>
        <v>2026</v>
      </c>
      <c r="N796" s="62" t="n">
        <v>2026</v>
      </c>
      <c r="O796" s="63" t="n">
        <v>4</v>
      </c>
      <c r="P796" s="29" t="str">
        <f aca="false">+CONCATENATE(Tabla[[#This Row],[MES CAMPAÑA]],"/",Tabla[[#This Row],[AÑO CAMPAÑA]])</f>
        <v>4/2026</v>
      </c>
      <c r="Q796" s="60" t="s">
        <v>108</v>
      </c>
      <c r="R796" s="29"/>
      <c r="S796" s="64" t="n">
        <v>0</v>
      </c>
      <c r="T796" s="64" t="n">
        <v>250000</v>
      </c>
      <c r="U796" s="64" t="n">
        <v>47500</v>
      </c>
      <c r="V796" s="65"/>
      <c r="W796" s="24" t="n">
        <v>297500</v>
      </c>
      <c r="X796" s="36"/>
      <c r="Y796" s="66"/>
      <c r="Z796" s="66"/>
      <c r="AA796" s="66"/>
      <c r="AB796" s="38" t="n">
        <f aca="false">+W796-AC796</f>
        <v>297500</v>
      </c>
      <c r="AC796" s="34" t="n">
        <f aca="false">+Tabla[[#This Row],[P4]]+Tabla[[#This Row],[P3]]+Tabla[[#This Row],[P2]]+Tabla[[#This Row],[P1]]</f>
        <v>0</v>
      </c>
      <c r="AD796" s="34" t="n">
        <f aca="false">+W796-AC796</f>
        <v>297500</v>
      </c>
      <c r="AE796" s="21" t="str">
        <f aca="false">IF(AB796&lt;1,"PAGADA","PENDIENTE")</f>
        <v>PENDIENTE</v>
      </c>
      <c r="AF796" s="67"/>
      <c r="AG796" s="29"/>
      <c r="AH796" s="68"/>
      <c r="AI796" s="40" t="n">
        <f aca="false">+IF(Tabla[[#This Row],[FECHA PAGO / ABONO]]&lt;1,0,(MONTH(Tabla[[#This Row],[FECHA PAGO / ABONO]])))</f>
        <v>0</v>
      </c>
      <c r="AJ796" s="40" t="n">
        <f aca="false">+IF(Tabla[[#This Row],[FECHA PAGO / ABONO]]&lt;1,0,(YEAR(Tabla[[#This Row],[FECHA PAGO / ABONO]])))</f>
        <v>0</v>
      </c>
      <c r="AK796" s="41"/>
    </row>
    <row r="797" customFormat="false" ht="14.25" hidden="false" customHeight="false" outlineLevel="0" collapsed="false">
      <c r="A797" s="17" t="s">
        <v>207</v>
      </c>
      <c r="B797" s="18" t="s">
        <v>208</v>
      </c>
      <c r="C797" s="18" t="s">
        <v>69</v>
      </c>
      <c r="D797" s="18" t="n">
        <v>629</v>
      </c>
      <c r="E797" s="21" t="str">
        <f aca="false">+CONCATENATE(Tabla[[#This Row],[RUT]],Tabla[[#This Row],[PROVEEDOR]],Tabla[[#This Row],[FACTURA]])</f>
        <v>76503821-9COOL PUBLICIDAD SPA629</v>
      </c>
      <c r="F797" s="30" t="n">
        <v>46168</v>
      </c>
      <c r="G797" s="31" t="n">
        <f aca="false">+F797+30</f>
        <v>46198</v>
      </c>
      <c r="H797" s="29" t="n">
        <f aca="true">+IF(AE797="PAGADA",0,TODAY()-G797)</f>
        <v>6</v>
      </c>
      <c r="I797" s="29" t="str">
        <f aca="false">+IF(H797&gt;180,"Atrasada",IF(H797&gt;150,"150 dias",IF(H797&gt;120,"120 dias",IF(H797&gt;90,"90 dias",IF(H797&gt;60,"60 dias",IF(H797&gt;30,"30 dias","Al Día"))))))</f>
        <v>Al Día</v>
      </c>
      <c r="J797" s="59" t="s">
        <v>80</v>
      </c>
      <c r="K797" s="60" t="s">
        <v>81</v>
      </c>
      <c r="L797" s="61" t="s">
        <v>326</v>
      </c>
      <c r="M797" s="29" t="n">
        <f aca="false">+YEAR(F797)</f>
        <v>2026</v>
      </c>
      <c r="N797" s="62" t="n">
        <v>2026</v>
      </c>
      <c r="O797" s="63" t="n">
        <v>4</v>
      </c>
      <c r="P797" s="29" t="str">
        <f aca="false">+CONCATENATE(Tabla[[#This Row],[MES CAMPAÑA]],"/",Tabla[[#This Row],[AÑO CAMPAÑA]])</f>
        <v>4/2026</v>
      </c>
      <c r="Q797" s="60" t="s">
        <v>92</v>
      </c>
      <c r="R797" s="29"/>
      <c r="S797" s="64" t="n">
        <v>0</v>
      </c>
      <c r="T797" s="64" t="n">
        <v>394820</v>
      </c>
      <c r="U797" s="64" t="n">
        <v>75016</v>
      </c>
      <c r="V797" s="65"/>
      <c r="W797" s="24" t="n">
        <v>469836</v>
      </c>
      <c r="X797" s="36"/>
      <c r="Y797" s="66"/>
      <c r="Z797" s="66"/>
      <c r="AA797" s="66"/>
      <c r="AB797" s="38" t="n">
        <f aca="false">+W797-AC797</f>
        <v>469836</v>
      </c>
      <c r="AC797" s="34" t="n">
        <f aca="false">+Tabla[[#This Row],[P4]]+Tabla[[#This Row],[P3]]+Tabla[[#This Row],[P2]]+Tabla[[#This Row],[P1]]</f>
        <v>0</v>
      </c>
      <c r="AD797" s="34" t="n">
        <f aca="false">+W797-AC797</f>
        <v>469836</v>
      </c>
      <c r="AE797" s="21" t="str">
        <f aca="false">IF(AB797&lt;1,"PAGADA","PENDIENTE")</f>
        <v>PENDIENTE</v>
      </c>
      <c r="AF797" s="67"/>
      <c r="AG797" s="29"/>
      <c r="AH797" s="68"/>
      <c r="AI797" s="40" t="n">
        <f aca="false">+IF(Tabla[[#This Row],[FECHA PAGO / ABONO]]&lt;1,0,(MONTH(Tabla[[#This Row],[FECHA PAGO / ABONO]])))</f>
        <v>0</v>
      </c>
      <c r="AJ797" s="40" t="n">
        <f aca="false">+IF(Tabla[[#This Row],[FECHA PAGO / ABONO]]&lt;1,0,(YEAR(Tabla[[#This Row],[FECHA PAGO / ABONO]])))</f>
        <v>0</v>
      </c>
      <c r="AK797" s="41"/>
    </row>
    <row r="798" customFormat="false" ht="14.25" hidden="false" customHeight="false" outlineLevel="0" collapsed="false">
      <c r="A798" s="17" t="s">
        <v>217</v>
      </c>
      <c r="B798" s="18" t="s">
        <v>218</v>
      </c>
      <c r="C798" s="18" t="s">
        <v>69</v>
      </c>
      <c r="D798" s="18" t="n">
        <v>19493</v>
      </c>
      <c r="E798" s="21" t="str">
        <f aca="false">+CONCATENATE(Tabla[[#This Row],[RUT]],Tabla[[#This Row],[PROVEEDOR]],Tabla[[#This Row],[FACTURA]])</f>
        <v>76058347-2COMERCIALIZADORA GC SA19493</v>
      </c>
      <c r="F798" s="30" t="n">
        <v>46169</v>
      </c>
      <c r="G798" s="31" t="n">
        <f aca="false">+F798+30</f>
        <v>46199</v>
      </c>
      <c r="H798" s="29" t="n">
        <f aca="true">+IF(AE798="PAGADA",0,TODAY()-G798)</f>
        <v>5</v>
      </c>
      <c r="I798" s="29" t="str">
        <f aca="false">+IF(H798&gt;180,"Atrasada",IF(H798&gt;150,"150 dias",IF(H798&gt;120,"120 dias",IF(H798&gt;90,"90 dias",IF(H798&gt;60,"60 dias",IF(H798&gt;30,"30 dias","Al Día"))))))</f>
        <v>Al Día</v>
      </c>
      <c r="J798" s="59" t="s">
        <v>80</v>
      </c>
      <c r="K798" s="60" t="s">
        <v>81</v>
      </c>
      <c r="L798" s="61" t="s">
        <v>326</v>
      </c>
      <c r="M798" s="29" t="n">
        <f aca="false">+YEAR(F798)</f>
        <v>2026</v>
      </c>
      <c r="N798" s="62" t="n">
        <v>2026</v>
      </c>
      <c r="O798" s="63" t="n">
        <v>4</v>
      </c>
      <c r="P798" s="29" t="str">
        <f aca="false">+CONCATENATE(Tabla[[#This Row],[MES CAMPAÑA]],"/",Tabla[[#This Row],[AÑO CAMPAÑA]])</f>
        <v>4/2026</v>
      </c>
      <c r="Q798" s="60" t="s">
        <v>265</v>
      </c>
      <c r="R798" s="29"/>
      <c r="S798" s="64" t="n">
        <v>0</v>
      </c>
      <c r="T798" s="64" t="n">
        <v>1200000</v>
      </c>
      <c r="U798" s="64" t="n">
        <v>228000</v>
      </c>
      <c r="V798" s="65"/>
      <c r="W798" s="24" t="n">
        <v>1428000</v>
      </c>
      <c r="X798" s="36"/>
      <c r="Y798" s="66"/>
      <c r="Z798" s="66"/>
      <c r="AA798" s="66"/>
      <c r="AB798" s="38" t="n">
        <f aca="false">+W798-AC798</f>
        <v>1428000</v>
      </c>
      <c r="AC798" s="34" t="n">
        <f aca="false">+Tabla[[#This Row],[P4]]+Tabla[[#This Row],[P3]]+Tabla[[#This Row],[P2]]+Tabla[[#This Row],[P1]]</f>
        <v>0</v>
      </c>
      <c r="AD798" s="34" t="n">
        <f aca="false">+W798-AC798</f>
        <v>1428000</v>
      </c>
      <c r="AE798" s="21" t="str">
        <f aca="false">IF(AB798&lt;1,"PAGADA","PENDIENTE")</f>
        <v>PENDIENTE</v>
      </c>
      <c r="AF798" s="67"/>
      <c r="AG798" s="29"/>
      <c r="AH798" s="68"/>
      <c r="AI798" s="40" t="n">
        <f aca="false">+IF(Tabla[[#This Row],[FECHA PAGO / ABONO]]&lt;1,0,(MONTH(Tabla[[#This Row],[FECHA PAGO / ABONO]])))</f>
        <v>0</v>
      </c>
      <c r="AJ798" s="40" t="n">
        <f aca="false">+IF(Tabla[[#This Row],[FECHA PAGO / ABONO]]&lt;1,0,(YEAR(Tabla[[#This Row],[FECHA PAGO / ABONO]])))</f>
        <v>0</v>
      </c>
      <c r="AK798" s="41"/>
    </row>
    <row r="799" customFormat="false" ht="14.25" hidden="false" customHeight="false" outlineLevel="0" collapsed="false">
      <c r="A799" s="17" t="s">
        <v>217</v>
      </c>
      <c r="B799" s="18" t="s">
        <v>218</v>
      </c>
      <c r="C799" s="18" t="s">
        <v>69</v>
      </c>
      <c r="D799" s="18" t="n">
        <v>19492</v>
      </c>
      <c r="E799" s="21" t="str">
        <f aca="false">+CONCATENATE(Tabla[[#This Row],[RUT]],Tabla[[#This Row],[PROVEEDOR]],Tabla[[#This Row],[FACTURA]])</f>
        <v>76058347-2COMERCIALIZADORA GC SA19492</v>
      </c>
      <c r="F799" s="30" t="n">
        <v>46169</v>
      </c>
      <c r="G799" s="31" t="n">
        <f aca="false">+F799+30</f>
        <v>46199</v>
      </c>
      <c r="H799" s="29" t="n">
        <f aca="true">+IF(AE799="PAGADA",0,TODAY()-G799)</f>
        <v>5</v>
      </c>
      <c r="I799" s="29" t="str">
        <f aca="false">+IF(H799&gt;180,"Atrasada",IF(H799&gt;150,"150 dias",IF(H799&gt;120,"120 dias",IF(H799&gt;90,"90 dias",IF(H799&gt;60,"60 dias",IF(H799&gt;30,"30 dias","Al Día"))))))</f>
        <v>Al Día</v>
      </c>
      <c r="J799" s="59" t="s">
        <v>80</v>
      </c>
      <c r="K799" s="60" t="s">
        <v>81</v>
      </c>
      <c r="L799" s="61" t="s">
        <v>326</v>
      </c>
      <c r="M799" s="29" t="n">
        <f aca="false">+YEAR(F799)</f>
        <v>2026</v>
      </c>
      <c r="N799" s="62" t="n">
        <v>2026</v>
      </c>
      <c r="O799" s="63" t="n">
        <v>4</v>
      </c>
      <c r="P799" s="29" t="str">
        <f aca="false">+CONCATENATE(Tabla[[#This Row],[MES CAMPAÑA]],"/",Tabla[[#This Row],[AÑO CAMPAÑA]])</f>
        <v>4/2026</v>
      </c>
      <c r="Q799" s="60" t="s">
        <v>323</v>
      </c>
      <c r="R799" s="29"/>
      <c r="S799" s="64" t="n">
        <v>0</v>
      </c>
      <c r="T799" s="64" t="n">
        <v>3000000</v>
      </c>
      <c r="U799" s="64" t="n">
        <v>570000</v>
      </c>
      <c r="V799" s="65"/>
      <c r="W799" s="24" t="n">
        <v>3570000</v>
      </c>
      <c r="X799" s="36"/>
      <c r="Y799" s="66"/>
      <c r="Z799" s="66"/>
      <c r="AA799" s="66"/>
      <c r="AB799" s="38" t="n">
        <f aca="false">+W799-AC799</f>
        <v>3570000</v>
      </c>
      <c r="AC799" s="34" t="n">
        <f aca="false">+Tabla[[#This Row],[P4]]+Tabla[[#This Row],[P3]]+Tabla[[#This Row],[P2]]+Tabla[[#This Row],[P1]]</f>
        <v>0</v>
      </c>
      <c r="AD799" s="34" t="n">
        <f aca="false">+W799-AC799</f>
        <v>3570000</v>
      </c>
      <c r="AE799" s="21" t="str">
        <f aca="false">IF(AB799&lt;1,"PAGADA","PENDIENTE")</f>
        <v>PENDIENTE</v>
      </c>
      <c r="AF799" s="67"/>
      <c r="AG799" s="29"/>
      <c r="AH799" s="68"/>
      <c r="AI799" s="40" t="n">
        <f aca="false">+IF(Tabla[[#This Row],[FECHA PAGO / ABONO]]&lt;1,0,(MONTH(Tabla[[#This Row],[FECHA PAGO / ABONO]])))</f>
        <v>0</v>
      </c>
      <c r="AJ799" s="40" t="n">
        <f aca="false">+IF(Tabla[[#This Row],[FECHA PAGO / ABONO]]&lt;1,0,(YEAR(Tabla[[#This Row],[FECHA PAGO / ABONO]])))</f>
        <v>0</v>
      </c>
      <c r="AK799" s="41"/>
    </row>
    <row r="800" customFormat="false" ht="14.25" hidden="false" customHeight="false" outlineLevel="0" collapsed="false">
      <c r="A800" s="17" t="s">
        <v>217</v>
      </c>
      <c r="B800" s="18" t="s">
        <v>218</v>
      </c>
      <c r="C800" s="18" t="s">
        <v>69</v>
      </c>
      <c r="D800" s="18" t="n">
        <v>19494</v>
      </c>
      <c r="E800" s="21" t="str">
        <f aca="false">+CONCATENATE(Tabla[[#This Row],[RUT]],Tabla[[#This Row],[PROVEEDOR]],Tabla[[#This Row],[FACTURA]])</f>
        <v>76058347-2COMERCIALIZADORA GC SA19494</v>
      </c>
      <c r="F800" s="30" t="n">
        <v>46169</v>
      </c>
      <c r="G800" s="31" t="n">
        <f aca="false">+F800+30</f>
        <v>46199</v>
      </c>
      <c r="H800" s="29" t="n">
        <f aca="true">+IF(AE800="PAGADA",0,TODAY()-G800)</f>
        <v>5</v>
      </c>
      <c r="I800" s="29" t="str">
        <f aca="false">+IF(H800&gt;180,"Atrasada",IF(H800&gt;150,"150 dias",IF(H800&gt;120,"120 dias",IF(H800&gt;90,"90 dias",IF(H800&gt;60,"60 dias",IF(H800&gt;30,"30 dias","Al Día"))))))</f>
        <v>Al Día</v>
      </c>
      <c r="J800" s="59" t="s">
        <v>80</v>
      </c>
      <c r="K800" s="60" t="s">
        <v>81</v>
      </c>
      <c r="L800" s="61" t="s">
        <v>326</v>
      </c>
      <c r="M800" s="29" t="n">
        <f aca="false">+YEAR(F800)</f>
        <v>2026</v>
      </c>
      <c r="N800" s="62" t="n">
        <v>2026</v>
      </c>
      <c r="O800" s="63" t="n">
        <v>4</v>
      </c>
      <c r="P800" s="29" t="str">
        <f aca="false">+CONCATENATE(Tabla[[#This Row],[MES CAMPAÑA]],"/",Tabla[[#This Row],[AÑO CAMPAÑA]])</f>
        <v>4/2026</v>
      </c>
      <c r="Q800" s="60" t="s">
        <v>130</v>
      </c>
      <c r="R800" s="29"/>
      <c r="S800" s="64" t="n">
        <v>0</v>
      </c>
      <c r="T800" s="64" t="n">
        <v>3000000</v>
      </c>
      <c r="U800" s="64" t="n">
        <v>570000</v>
      </c>
      <c r="V800" s="65"/>
      <c r="W800" s="24" t="n">
        <v>3570000</v>
      </c>
      <c r="X800" s="36"/>
      <c r="Y800" s="66"/>
      <c r="Z800" s="66"/>
      <c r="AA800" s="66"/>
      <c r="AB800" s="38" t="n">
        <f aca="false">+W800-AC800</f>
        <v>3570000</v>
      </c>
      <c r="AC800" s="34" t="n">
        <f aca="false">+Tabla[[#This Row],[P4]]+Tabla[[#This Row],[P3]]+Tabla[[#This Row],[P2]]+Tabla[[#This Row],[P1]]</f>
        <v>0</v>
      </c>
      <c r="AD800" s="34" t="n">
        <f aca="false">+W800-AC800</f>
        <v>3570000</v>
      </c>
      <c r="AE800" s="21" t="str">
        <f aca="false">IF(AB800&lt;1,"PAGADA","PENDIENTE")</f>
        <v>PENDIENTE</v>
      </c>
      <c r="AF800" s="67"/>
      <c r="AG800" s="29"/>
      <c r="AH800" s="68"/>
      <c r="AI800" s="40" t="n">
        <f aca="false">+IF(Tabla[[#This Row],[FECHA PAGO / ABONO]]&lt;1,0,(MONTH(Tabla[[#This Row],[FECHA PAGO / ABONO]])))</f>
        <v>0</v>
      </c>
      <c r="AJ800" s="40" t="n">
        <f aca="false">+IF(Tabla[[#This Row],[FECHA PAGO / ABONO]]&lt;1,0,(YEAR(Tabla[[#This Row],[FECHA PAGO / ABONO]])))</f>
        <v>0</v>
      </c>
      <c r="AK800" s="41"/>
    </row>
    <row r="801" customFormat="false" ht="14.25" hidden="false" customHeight="false" outlineLevel="0" collapsed="false">
      <c r="A801" s="17" t="s">
        <v>217</v>
      </c>
      <c r="B801" s="18" t="s">
        <v>218</v>
      </c>
      <c r="C801" s="18" t="s">
        <v>69</v>
      </c>
      <c r="D801" s="18" t="n">
        <v>19491</v>
      </c>
      <c r="E801" s="21" t="str">
        <f aca="false">+CONCATENATE(Tabla[[#This Row],[RUT]],Tabla[[#This Row],[PROVEEDOR]],Tabla[[#This Row],[FACTURA]])</f>
        <v>76058347-2COMERCIALIZADORA GC SA19491</v>
      </c>
      <c r="F801" s="30" t="n">
        <v>46169</v>
      </c>
      <c r="G801" s="31" t="n">
        <f aca="false">+F801+30</f>
        <v>46199</v>
      </c>
      <c r="H801" s="29" t="n">
        <f aca="true">+IF(AE801="PAGADA",0,TODAY()-G801)</f>
        <v>5</v>
      </c>
      <c r="I801" s="29" t="str">
        <f aca="false">+IF(H801&gt;180,"Atrasada",IF(H801&gt;150,"150 dias",IF(H801&gt;120,"120 dias",IF(H801&gt;90,"90 dias",IF(H801&gt;60,"60 dias",IF(H801&gt;30,"30 dias","Al Día"))))))</f>
        <v>Al Día</v>
      </c>
      <c r="J801" s="59" t="s">
        <v>80</v>
      </c>
      <c r="K801" s="60" t="s">
        <v>81</v>
      </c>
      <c r="L801" s="61" t="s">
        <v>326</v>
      </c>
      <c r="M801" s="29" t="n">
        <f aca="false">+YEAR(F801)</f>
        <v>2026</v>
      </c>
      <c r="N801" s="62" t="n">
        <v>2026</v>
      </c>
      <c r="O801" s="63" t="n">
        <v>4</v>
      </c>
      <c r="P801" s="29" t="str">
        <f aca="false">+CONCATENATE(Tabla[[#This Row],[MES CAMPAÑA]],"/",Tabla[[#This Row],[AÑO CAMPAÑA]])</f>
        <v>4/2026</v>
      </c>
      <c r="Q801" s="60" t="s">
        <v>315</v>
      </c>
      <c r="R801" s="29"/>
      <c r="S801" s="64" t="n">
        <v>0</v>
      </c>
      <c r="T801" s="64" t="n">
        <v>2000000</v>
      </c>
      <c r="U801" s="64" t="n">
        <v>380000</v>
      </c>
      <c r="V801" s="65"/>
      <c r="W801" s="24" t="n">
        <v>2380000</v>
      </c>
      <c r="X801" s="36"/>
      <c r="Y801" s="66"/>
      <c r="Z801" s="66"/>
      <c r="AA801" s="66"/>
      <c r="AB801" s="38" t="n">
        <f aca="false">+W801-AC801</f>
        <v>2380000</v>
      </c>
      <c r="AC801" s="34" t="n">
        <f aca="false">+Tabla[[#This Row],[P4]]+Tabla[[#This Row],[P3]]+Tabla[[#This Row],[P2]]+Tabla[[#This Row],[P1]]</f>
        <v>0</v>
      </c>
      <c r="AD801" s="34" t="n">
        <f aca="false">+W801-AC801</f>
        <v>2380000</v>
      </c>
      <c r="AE801" s="21" t="str">
        <f aca="false">IF(AB801&lt;1,"PAGADA","PENDIENTE")</f>
        <v>PENDIENTE</v>
      </c>
      <c r="AF801" s="67"/>
      <c r="AG801" s="29"/>
      <c r="AH801" s="68"/>
      <c r="AI801" s="40" t="n">
        <f aca="false">+IF(Tabla[[#This Row],[FECHA PAGO / ABONO]]&lt;1,0,(MONTH(Tabla[[#This Row],[FECHA PAGO / ABONO]])))</f>
        <v>0</v>
      </c>
      <c r="AJ801" s="40" t="n">
        <f aca="false">+IF(Tabla[[#This Row],[FECHA PAGO / ABONO]]&lt;1,0,(YEAR(Tabla[[#This Row],[FECHA PAGO / ABONO]])))</f>
        <v>0</v>
      </c>
      <c r="AK801" s="41"/>
    </row>
    <row r="802" customFormat="false" ht="14.25" hidden="false" customHeight="false" outlineLevel="0" collapsed="false">
      <c r="A802" s="17" t="s">
        <v>217</v>
      </c>
      <c r="B802" s="18" t="s">
        <v>218</v>
      </c>
      <c r="C802" s="18" t="s">
        <v>69</v>
      </c>
      <c r="D802" s="18" t="n">
        <v>19496</v>
      </c>
      <c r="E802" s="21" t="str">
        <f aca="false">+CONCATENATE(Tabla[[#This Row],[RUT]],Tabla[[#This Row],[PROVEEDOR]],Tabla[[#This Row],[FACTURA]])</f>
        <v>76058347-2COMERCIALIZADORA GC SA19496</v>
      </c>
      <c r="F802" s="30" t="n">
        <v>46169</v>
      </c>
      <c r="G802" s="31" t="n">
        <f aca="false">+F802+30</f>
        <v>46199</v>
      </c>
      <c r="H802" s="29" t="n">
        <f aca="true">+IF(AE802="PAGADA",0,TODAY()-G802)</f>
        <v>5</v>
      </c>
      <c r="I802" s="29" t="str">
        <f aca="false">+IF(H802&gt;180,"Atrasada",IF(H802&gt;150,"150 dias",IF(H802&gt;120,"120 dias",IF(H802&gt;90,"90 dias",IF(H802&gt;60,"60 dias",IF(H802&gt;30,"30 dias","Al Día"))))))</f>
        <v>Al Día</v>
      </c>
      <c r="J802" s="59" t="s">
        <v>80</v>
      </c>
      <c r="K802" s="60" t="s">
        <v>81</v>
      </c>
      <c r="L802" s="61" t="s">
        <v>326</v>
      </c>
      <c r="M802" s="29" t="n">
        <f aca="false">+YEAR(F802)</f>
        <v>2026</v>
      </c>
      <c r="N802" s="62" t="n">
        <v>2026</v>
      </c>
      <c r="O802" s="63" t="n">
        <v>4</v>
      </c>
      <c r="P802" s="29" t="str">
        <f aca="false">+CONCATENATE(Tabla[[#This Row],[MES CAMPAÑA]],"/",Tabla[[#This Row],[AÑO CAMPAÑA]])</f>
        <v>4/2026</v>
      </c>
      <c r="Q802" s="60" t="s">
        <v>108</v>
      </c>
      <c r="R802" s="29"/>
      <c r="S802" s="64" t="n">
        <v>0</v>
      </c>
      <c r="T802" s="64" t="n">
        <v>5009091</v>
      </c>
      <c r="U802" s="64" t="n">
        <v>951727</v>
      </c>
      <c r="V802" s="65"/>
      <c r="W802" s="24" t="n">
        <v>5960818</v>
      </c>
      <c r="X802" s="36"/>
      <c r="Y802" s="66"/>
      <c r="Z802" s="66"/>
      <c r="AA802" s="66"/>
      <c r="AB802" s="38" t="n">
        <f aca="false">+W802-AC802</f>
        <v>5960818</v>
      </c>
      <c r="AC802" s="34" t="n">
        <f aca="false">+Tabla[[#This Row],[P4]]+Tabla[[#This Row],[P3]]+Tabla[[#This Row],[P2]]+Tabla[[#This Row],[P1]]</f>
        <v>0</v>
      </c>
      <c r="AD802" s="34" t="n">
        <f aca="false">+W802-AC802</f>
        <v>5960818</v>
      </c>
      <c r="AE802" s="21" t="str">
        <f aca="false">IF(AB802&lt;1,"PAGADA","PENDIENTE")</f>
        <v>PENDIENTE</v>
      </c>
      <c r="AF802" s="67"/>
      <c r="AG802" s="29"/>
      <c r="AH802" s="68"/>
      <c r="AI802" s="40" t="n">
        <f aca="false">+IF(Tabla[[#This Row],[FECHA PAGO / ABONO]]&lt;1,0,(MONTH(Tabla[[#This Row],[FECHA PAGO / ABONO]])))</f>
        <v>0</v>
      </c>
      <c r="AJ802" s="40" t="n">
        <f aca="false">+IF(Tabla[[#This Row],[FECHA PAGO / ABONO]]&lt;1,0,(YEAR(Tabla[[#This Row],[FECHA PAGO / ABONO]])))</f>
        <v>0</v>
      </c>
      <c r="AK802" s="41"/>
    </row>
    <row r="803" customFormat="false" ht="14.25" hidden="false" customHeight="false" outlineLevel="0" collapsed="false">
      <c r="A803" s="17" t="s">
        <v>217</v>
      </c>
      <c r="B803" s="18" t="s">
        <v>218</v>
      </c>
      <c r="C803" s="18" t="s">
        <v>69</v>
      </c>
      <c r="D803" s="18" t="n">
        <v>19495</v>
      </c>
      <c r="E803" s="21" t="str">
        <f aca="false">+CONCATENATE(Tabla[[#This Row],[RUT]],Tabla[[#This Row],[PROVEEDOR]],Tabla[[#This Row],[FACTURA]])</f>
        <v>76058347-2COMERCIALIZADORA GC SA19495</v>
      </c>
      <c r="F803" s="30" t="n">
        <v>46169</v>
      </c>
      <c r="G803" s="31" t="n">
        <f aca="false">+F803+30</f>
        <v>46199</v>
      </c>
      <c r="H803" s="29" t="n">
        <f aca="true">+IF(AE803="PAGADA",0,TODAY()-G803)</f>
        <v>5</v>
      </c>
      <c r="I803" s="29" t="str">
        <f aca="false">+IF(H803&gt;180,"Atrasada",IF(H803&gt;150,"150 dias",IF(H803&gt;120,"120 dias",IF(H803&gt;90,"90 dias",IF(H803&gt;60,"60 dias",IF(H803&gt;30,"30 dias","Al Día"))))))</f>
        <v>Al Día</v>
      </c>
      <c r="J803" s="59" t="s">
        <v>80</v>
      </c>
      <c r="K803" s="60" t="s">
        <v>81</v>
      </c>
      <c r="L803" s="61" t="s">
        <v>326</v>
      </c>
      <c r="M803" s="29" t="n">
        <f aca="false">+YEAR(F803)</f>
        <v>2026</v>
      </c>
      <c r="N803" s="62" t="n">
        <v>2026</v>
      </c>
      <c r="O803" s="63" t="n">
        <v>4</v>
      </c>
      <c r="P803" s="29" t="str">
        <f aca="false">+CONCATENATE(Tabla[[#This Row],[MES CAMPAÑA]],"/",Tabla[[#This Row],[AÑO CAMPAÑA]])</f>
        <v>4/2026</v>
      </c>
      <c r="Q803" s="60" t="s">
        <v>212</v>
      </c>
      <c r="R803" s="29"/>
      <c r="S803" s="64" t="n">
        <v>0</v>
      </c>
      <c r="T803" s="64" t="n">
        <v>5000000</v>
      </c>
      <c r="U803" s="64" t="n">
        <v>950000</v>
      </c>
      <c r="V803" s="65"/>
      <c r="W803" s="24" t="n">
        <v>5950000</v>
      </c>
      <c r="X803" s="36"/>
      <c r="Y803" s="66"/>
      <c r="Z803" s="66"/>
      <c r="AA803" s="66"/>
      <c r="AB803" s="38" t="n">
        <f aca="false">+W803-AC803</f>
        <v>5950000</v>
      </c>
      <c r="AC803" s="34" t="n">
        <f aca="false">+Tabla[[#This Row],[P4]]+Tabla[[#This Row],[P3]]+Tabla[[#This Row],[P2]]+Tabla[[#This Row],[P1]]</f>
        <v>0</v>
      </c>
      <c r="AD803" s="34" t="n">
        <f aca="false">+W803-AC803</f>
        <v>5950000</v>
      </c>
      <c r="AE803" s="21" t="str">
        <f aca="false">IF(AB803&lt;1,"PAGADA","PENDIENTE")</f>
        <v>PENDIENTE</v>
      </c>
      <c r="AF803" s="67"/>
      <c r="AG803" s="29"/>
      <c r="AH803" s="68"/>
      <c r="AI803" s="40" t="n">
        <f aca="false">+IF(Tabla[[#This Row],[FECHA PAGO / ABONO]]&lt;1,0,(MONTH(Tabla[[#This Row],[FECHA PAGO / ABONO]])))</f>
        <v>0</v>
      </c>
      <c r="AJ803" s="40" t="n">
        <f aca="false">+IF(Tabla[[#This Row],[FECHA PAGO / ABONO]]&lt;1,0,(YEAR(Tabla[[#This Row],[FECHA PAGO / ABONO]])))</f>
        <v>0</v>
      </c>
      <c r="AK803" s="41"/>
    </row>
    <row r="804" customFormat="false" ht="14.25" hidden="false" customHeight="false" outlineLevel="0" collapsed="false">
      <c r="A804" s="17" t="s">
        <v>159</v>
      </c>
      <c r="B804" s="18" t="s">
        <v>160</v>
      </c>
      <c r="C804" s="18" t="s">
        <v>69</v>
      </c>
      <c r="D804" s="18" t="n">
        <v>110512</v>
      </c>
      <c r="E804" s="21" t="str">
        <f aca="false">+CONCATENATE(Tabla[[#This Row],[RUT]],Tabla[[#This Row],[PROVEEDOR]],Tabla[[#This Row],[FACTURA]])</f>
        <v>81689800-5TVN110512</v>
      </c>
      <c r="F804" s="30" t="n">
        <v>46169</v>
      </c>
      <c r="G804" s="31" t="n">
        <f aca="false">+F804+30</f>
        <v>46199</v>
      </c>
      <c r="H804" s="29" t="n">
        <f aca="true">+IF(AE804="PAGADA",0,TODAY()-G804)</f>
        <v>5</v>
      </c>
      <c r="I804" s="29" t="str">
        <f aca="false">+IF(H804&gt;180,"Atrasada",IF(H804&gt;150,"150 dias",IF(H804&gt;120,"120 dias",IF(H804&gt;90,"90 dias",IF(H804&gt;60,"60 dias",IF(H804&gt;30,"30 dias","Al Día"))))))</f>
        <v>Al Día</v>
      </c>
      <c r="J804" s="59" t="s">
        <v>80</v>
      </c>
      <c r="K804" s="60" t="s">
        <v>81</v>
      </c>
      <c r="L804" s="61" t="s">
        <v>326</v>
      </c>
      <c r="M804" s="29" t="n">
        <f aca="false">+YEAR(F804)</f>
        <v>2026</v>
      </c>
      <c r="N804" s="62" t="n">
        <v>2026</v>
      </c>
      <c r="O804" s="63" t="n">
        <v>4</v>
      </c>
      <c r="P804" s="29" t="str">
        <f aca="false">+CONCATENATE(Tabla[[#This Row],[MES CAMPAÑA]],"/",Tabla[[#This Row],[AÑO CAMPAÑA]])</f>
        <v>4/2026</v>
      </c>
      <c r="Q804" s="60" t="s">
        <v>316</v>
      </c>
      <c r="R804" s="29"/>
      <c r="S804" s="64" t="n">
        <v>0</v>
      </c>
      <c r="T804" s="64" t="n">
        <v>3337000</v>
      </c>
      <c r="U804" s="64" t="n">
        <v>634030</v>
      </c>
      <c r="V804" s="65"/>
      <c r="W804" s="24" t="n">
        <v>3971030</v>
      </c>
      <c r="X804" s="36"/>
      <c r="Y804" s="66"/>
      <c r="Z804" s="66"/>
      <c r="AA804" s="66"/>
      <c r="AB804" s="38" t="n">
        <f aca="false">+W804-AC804</f>
        <v>3971030</v>
      </c>
      <c r="AC804" s="34" t="n">
        <f aca="false">+Tabla[[#This Row],[P4]]+Tabla[[#This Row],[P3]]+Tabla[[#This Row],[P2]]+Tabla[[#This Row],[P1]]</f>
        <v>0</v>
      </c>
      <c r="AD804" s="34" t="n">
        <f aca="false">+W804-AC804</f>
        <v>3971030</v>
      </c>
      <c r="AE804" s="21" t="str">
        <f aca="false">IF(AB804&lt;1,"PAGADA","PENDIENTE")</f>
        <v>PENDIENTE</v>
      </c>
      <c r="AF804" s="67"/>
      <c r="AG804" s="29"/>
      <c r="AH804" s="68"/>
      <c r="AI804" s="40" t="n">
        <f aca="false">+IF(Tabla[[#This Row],[FECHA PAGO / ABONO]]&lt;1,0,(MONTH(Tabla[[#This Row],[FECHA PAGO / ABONO]])))</f>
        <v>0</v>
      </c>
      <c r="AJ804" s="40" t="n">
        <f aca="false">+IF(Tabla[[#This Row],[FECHA PAGO / ABONO]]&lt;1,0,(YEAR(Tabla[[#This Row],[FECHA PAGO / ABONO]])))</f>
        <v>0</v>
      </c>
      <c r="AK804" s="41"/>
    </row>
    <row r="805" customFormat="false" ht="14.25" hidden="false" customHeight="false" outlineLevel="0" collapsed="false">
      <c r="A805" s="17" t="s">
        <v>219</v>
      </c>
      <c r="B805" s="18" t="s">
        <v>220</v>
      </c>
      <c r="C805" s="18" t="s">
        <v>69</v>
      </c>
      <c r="D805" s="18" t="n">
        <v>119692</v>
      </c>
      <c r="E805" s="21" t="str">
        <f aca="false">+CONCATENATE(Tabla[[#This Row],[RUT]],Tabla[[#This Row],[PROVEEDOR]],Tabla[[#This Row],[FACTURA]])</f>
        <v>76115132-0CANAL 13 SpA.119692</v>
      </c>
      <c r="F805" s="30" t="n">
        <v>46169</v>
      </c>
      <c r="G805" s="31" t="n">
        <f aca="false">+F805+30</f>
        <v>46199</v>
      </c>
      <c r="H805" s="29" t="n">
        <f aca="true">+IF(AE805="PAGADA",0,TODAY()-G805)</f>
        <v>5</v>
      </c>
      <c r="I805" s="29" t="str">
        <f aca="false">+IF(H805&gt;180,"Atrasada",IF(H805&gt;150,"150 dias",IF(H805&gt;120,"120 dias",IF(H805&gt;90,"90 dias",IF(H805&gt;60,"60 dias",IF(H805&gt;30,"30 dias","Al Día"))))))</f>
        <v>Al Día</v>
      </c>
      <c r="J805" s="59" t="s">
        <v>80</v>
      </c>
      <c r="K805" s="60" t="s">
        <v>81</v>
      </c>
      <c r="L805" s="61" t="s">
        <v>326</v>
      </c>
      <c r="M805" s="29" t="n">
        <f aca="false">+YEAR(F805)</f>
        <v>2026</v>
      </c>
      <c r="N805" s="62" t="n">
        <v>2026</v>
      </c>
      <c r="O805" s="63" t="n">
        <v>4</v>
      </c>
      <c r="P805" s="29" t="str">
        <f aca="false">+CONCATENATE(Tabla[[#This Row],[MES CAMPAÑA]],"/",Tabla[[#This Row],[AÑO CAMPAÑA]])</f>
        <v>4/2026</v>
      </c>
      <c r="Q805" s="60" t="s">
        <v>316</v>
      </c>
      <c r="R805" s="29"/>
      <c r="S805" s="64" t="n">
        <v>0</v>
      </c>
      <c r="T805" s="64" t="n">
        <v>5710000</v>
      </c>
      <c r="U805" s="64" t="n">
        <v>1084900</v>
      </c>
      <c r="V805" s="65"/>
      <c r="W805" s="24" t="n">
        <v>6794900</v>
      </c>
      <c r="X805" s="36"/>
      <c r="Y805" s="66"/>
      <c r="Z805" s="66"/>
      <c r="AA805" s="66"/>
      <c r="AB805" s="38" t="n">
        <f aca="false">+W805-AC805</f>
        <v>6794900</v>
      </c>
      <c r="AC805" s="34" t="n">
        <f aca="false">+Tabla[[#This Row],[P4]]+Tabla[[#This Row],[P3]]+Tabla[[#This Row],[P2]]+Tabla[[#This Row],[P1]]</f>
        <v>0</v>
      </c>
      <c r="AD805" s="34" t="n">
        <f aca="false">+W805-AC805</f>
        <v>6794900</v>
      </c>
      <c r="AE805" s="21" t="str">
        <f aca="false">IF(AB805&lt;1,"PAGADA","PENDIENTE")</f>
        <v>PENDIENTE</v>
      </c>
      <c r="AF805" s="67"/>
      <c r="AG805" s="29"/>
      <c r="AH805" s="68"/>
      <c r="AI805" s="40" t="n">
        <f aca="false">+IF(Tabla[[#This Row],[FECHA PAGO / ABONO]]&lt;1,0,(MONTH(Tabla[[#This Row],[FECHA PAGO / ABONO]])))</f>
        <v>0</v>
      </c>
      <c r="AJ805" s="40" t="n">
        <f aca="false">+IF(Tabla[[#This Row],[FECHA PAGO / ABONO]]&lt;1,0,(YEAR(Tabla[[#This Row],[FECHA PAGO / ABONO]])))</f>
        <v>0</v>
      </c>
      <c r="AK805" s="41"/>
    </row>
    <row r="806" customFormat="false" ht="14.25" hidden="false" customHeight="false" outlineLevel="0" collapsed="false">
      <c r="A806" s="17" t="s">
        <v>219</v>
      </c>
      <c r="B806" s="18" t="s">
        <v>220</v>
      </c>
      <c r="C806" s="18" t="s">
        <v>69</v>
      </c>
      <c r="D806" s="18" t="n">
        <v>119693</v>
      </c>
      <c r="E806" s="21" t="str">
        <f aca="false">+CONCATENATE(Tabla[[#This Row],[RUT]],Tabla[[#This Row],[PROVEEDOR]],Tabla[[#This Row],[FACTURA]])</f>
        <v>76115132-0CANAL 13 SpA.119693</v>
      </c>
      <c r="F806" s="30" t="n">
        <v>46169</v>
      </c>
      <c r="G806" s="31" t="n">
        <f aca="false">+F806+30</f>
        <v>46199</v>
      </c>
      <c r="H806" s="29" t="n">
        <f aca="true">+IF(AE806="PAGADA",0,TODAY()-G806)</f>
        <v>5</v>
      </c>
      <c r="I806" s="29" t="str">
        <f aca="false">+IF(H806&gt;180,"Atrasada",IF(H806&gt;150,"150 dias",IF(H806&gt;120,"120 dias",IF(H806&gt;90,"90 dias",IF(H806&gt;60,"60 dias",IF(H806&gt;30,"30 dias","Al Día"))))))</f>
        <v>Al Día</v>
      </c>
      <c r="J806" s="59" t="s">
        <v>80</v>
      </c>
      <c r="K806" s="60" t="s">
        <v>81</v>
      </c>
      <c r="L806" s="61" t="s">
        <v>326</v>
      </c>
      <c r="M806" s="29" t="n">
        <f aca="false">+YEAR(F806)</f>
        <v>2026</v>
      </c>
      <c r="N806" s="62" t="n">
        <v>2026</v>
      </c>
      <c r="O806" s="63" t="n">
        <v>4</v>
      </c>
      <c r="P806" s="29" t="str">
        <f aca="false">+CONCATENATE(Tabla[[#This Row],[MES CAMPAÑA]],"/",Tabla[[#This Row],[AÑO CAMPAÑA]])</f>
        <v>4/2026</v>
      </c>
      <c r="Q806" s="60" t="s">
        <v>105</v>
      </c>
      <c r="R806" s="29"/>
      <c r="S806" s="64" t="n">
        <v>0</v>
      </c>
      <c r="T806" s="64" t="n">
        <v>15500000</v>
      </c>
      <c r="U806" s="64" t="n">
        <v>2945000</v>
      </c>
      <c r="V806" s="65"/>
      <c r="W806" s="24" t="n">
        <v>18445000</v>
      </c>
      <c r="X806" s="36"/>
      <c r="Y806" s="66"/>
      <c r="Z806" s="66"/>
      <c r="AA806" s="66"/>
      <c r="AB806" s="38" t="n">
        <f aca="false">+W806-AC806</f>
        <v>18445000</v>
      </c>
      <c r="AC806" s="34" t="n">
        <f aca="false">+Tabla[[#This Row],[P4]]+Tabla[[#This Row],[P3]]+Tabla[[#This Row],[P2]]+Tabla[[#This Row],[P1]]</f>
        <v>0</v>
      </c>
      <c r="AD806" s="34" t="n">
        <f aca="false">+W806-AC806</f>
        <v>18445000</v>
      </c>
      <c r="AE806" s="21" t="str">
        <f aca="false">IF(AB806&lt;1,"PAGADA","PENDIENTE")</f>
        <v>PENDIENTE</v>
      </c>
      <c r="AF806" s="67"/>
      <c r="AG806" s="29"/>
      <c r="AH806" s="68"/>
      <c r="AI806" s="40" t="n">
        <f aca="false">+IF(Tabla[[#This Row],[FECHA PAGO / ABONO]]&lt;1,0,(MONTH(Tabla[[#This Row],[FECHA PAGO / ABONO]])))</f>
        <v>0</v>
      </c>
      <c r="AJ806" s="40" t="n">
        <f aca="false">+IF(Tabla[[#This Row],[FECHA PAGO / ABONO]]&lt;1,0,(YEAR(Tabla[[#This Row],[FECHA PAGO / ABONO]])))</f>
        <v>0</v>
      </c>
      <c r="AK806" s="41"/>
    </row>
    <row r="807" customFormat="false" ht="14.25" hidden="false" customHeight="false" outlineLevel="0" collapsed="false">
      <c r="A807" s="17" t="s">
        <v>249</v>
      </c>
      <c r="B807" s="18" t="s">
        <v>250</v>
      </c>
      <c r="C807" s="18" t="s">
        <v>69</v>
      </c>
      <c r="D807" s="18" t="n">
        <v>362771</v>
      </c>
      <c r="E807" s="21" t="str">
        <f aca="false">+CONCATENATE(Tabla[[#This Row],[RUT]],Tabla[[#This Row],[PROVEEDOR]],Tabla[[#This Row],[FACTURA]])</f>
        <v>84295700-1Empresa Periodistica El Norte S.A.362771</v>
      </c>
      <c r="F807" s="30" t="n">
        <v>46169</v>
      </c>
      <c r="G807" s="31" t="n">
        <f aca="false">+F807+30</f>
        <v>46199</v>
      </c>
      <c r="H807" s="29" t="n">
        <f aca="true">+IF(AE807="PAGADA",0,TODAY()-G807)</f>
        <v>5</v>
      </c>
      <c r="I807" s="29" t="str">
        <f aca="false">+IF(H807&gt;180,"Atrasada",IF(H807&gt;150,"150 dias",IF(H807&gt;120,"120 dias",IF(H807&gt;90,"90 dias",IF(H807&gt;60,"60 dias",IF(H807&gt;30,"30 dias","Al Día"))))))</f>
        <v>Al Día</v>
      </c>
      <c r="J807" s="59" t="s">
        <v>80</v>
      </c>
      <c r="K807" s="60" t="s">
        <v>81</v>
      </c>
      <c r="L807" s="61" t="s">
        <v>326</v>
      </c>
      <c r="M807" s="29" t="n">
        <f aca="false">+YEAR(F807)</f>
        <v>2026</v>
      </c>
      <c r="N807" s="62" t="n">
        <v>2026</v>
      </c>
      <c r="O807" s="63" t="n">
        <v>4</v>
      </c>
      <c r="P807" s="29" t="str">
        <f aca="false">+CONCATENATE(Tabla[[#This Row],[MES CAMPAÑA]],"/",Tabla[[#This Row],[AÑO CAMPAÑA]])</f>
        <v>4/2026</v>
      </c>
      <c r="Q807" s="60" t="s">
        <v>108</v>
      </c>
      <c r="R807" s="29"/>
      <c r="S807" s="64" t="n">
        <v>0</v>
      </c>
      <c r="T807" s="64" t="n">
        <v>2698000</v>
      </c>
      <c r="U807" s="64" t="n">
        <v>512620</v>
      </c>
      <c r="V807" s="65"/>
      <c r="W807" s="24" t="n">
        <v>3210620</v>
      </c>
      <c r="X807" s="36"/>
      <c r="Y807" s="66"/>
      <c r="Z807" s="66"/>
      <c r="AA807" s="66"/>
      <c r="AB807" s="38" t="n">
        <f aca="false">+W807-AC807</f>
        <v>3210620</v>
      </c>
      <c r="AC807" s="34" t="n">
        <f aca="false">+Tabla[[#This Row],[P4]]+Tabla[[#This Row],[P3]]+Tabla[[#This Row],[P2]]+Tabla[[#This Row],[P1]]</f>
        <v>0</v>
      </c>
      <c r="AD807" s="34" t="n">
        <f aca="false">+W807-AC807</f>
        <v>3210620</v>
      </c>
      <c r="AE807" s="21" t="str">
        <f aca="false">IF(AB807&lt;1,"PAGADA","PENDIENTE")</f>
        <v>PENDIENTE</v>
      </c>
      <c r="AF807" s="67"/>
      <c r="AG807" s="29"/>
      <c r="AH807" s="68"/>
      <c r="AI807" s="40" t="n">
        <f aca="false">+IF(Tabla[[#This Row],[FECHA PAGO / ABONO]]&lt;1,0,(MONTH(Tabla[[#This Row],[FECHA PAGO / ABONO]])))</f>
        <v>0</v>
      </c>
      <c r="AJ807" s="40" t="n">
        <f aca="false">+IF(Tabla[[#This Row],[FECHA PAGO / ABONO]]&lt;1,0,(YEAR(Tabla[[#This Row],[FECHA PAGO / ABONO]])))</f>
        <v>0</v>
      </c>
      <c r="AK807" s="41"/>
    </row>
    <row r="808" customFormat="false" ht="14.25" hidden="false" customHeight="false" outlineLevel="0" collapsed="false">
      <c r="A808" s="17" t="s">
        <v>240</v>
      </c>
      <c r="B808" s="18" t="s">
        <v>241</v>
      </c>
      <c r="C808" s="18" t="s">
        <v>69</v>
      </c>
      <c r="D808" s="18" t="n">
        <v>56017245</v>
      </c>
      <c r="E808" s="21" t="str">
        <f aca="false">+CONCATENATE(Tabla[[#This Row],[RUT]],Tabla[[#This Row],[PROVEEDOR]],Tabla[[#This Row],[FACTURA]])</f>
        <v>97036000-KSantander - Chile56017245</v>
      </c>
      <c r="F808" s="30" t="n">
        <v>46169</v>
      </c>
      <c r="G808" s="31" t="n">
        <f aca="false">+F808+30</f>
        <v>46199</v>
      </c>
      <c r="H808" s="29" t="n">
        <f aca="true">+IF(AE808="PAGADA",0,TODAY()-G808)</f>
        <v>0</v>
      </c>
      <c r="I808" s="29" t="str">
        <f aca="false">+IF(H808&gt;180,"Atrasada",IF(H808&gt;150,"150 dias",IF(H808&gt;120,"120 dias",IF(H808&gt;90,"90 dias",IF(H808&gt;60,"60 dias",IF(H808&gt;30,"30 dias","Al Día"))))))</f>
        <v>Al Día</v>
      </c>
      <c r="J808" s="59" t="s">
        <v>31</v>
      </c>
      <c r="K808" s="60" t="s">
        <v>81</v>
      </c>
      <c r="L808" s="61" t="s">
        <v>326</v>
      </c>
      <c r="M808" s="29" t="n">
        <f aca="false">+YEAR(F808)</f>
        <v>2026</v>
      </c>
      <c r="N808" s="62" t="n">
        <v>2026</v>
      </c>
      <c r="O808" s="63" t="n">
        <v>5</v>
      </c>
      <c r="P808" s="29" t="str">
        <f aca="false">+CONCATENATE(Tabla[[#This Row],[MES CAMPAÑA]],"/",Tabla[[#This Row],[AÑO CAMPAÑA]])</f>
        <v>5/2026</v>
      </c>
      <c r="Q808" s="60" t="s">
        <v>73</v>
      </c>
      <c r="R808" s="29"/>
      <c r="S808" s="64" t="n">
        <v>0</v>
      </c>
      <c r="T808" s="64" t="n">
        <v>20404</v>
      </c>
      <c r="U808" s="64" t="n">
        <v>3876</v>
      </c>
      <c r="V808" s="65"/>
      <c r="W808" s="24" t="n">
        <v>24280</v>
      </c>
      <c r="X808" s="36" t="n">
        <f aca="false">+Tabla[[#This Row],[TOTAL]]</f>
        <v>24280</v>
      </c>
      <c r="Y808" s="66"/>
      <c r="Z808" s="66"/>
      <c r="AA808" s="66"/>
      <c r="AB808" s="38" t="n">
        <f aca="false">+W808-AC808</f>
        <v>0</v>
      </c>
      <c r="AC808" s="34" t="n">
        <f aca="false">+Tabla[[#This Row],[P4]]+Tabla[[#This Row],[P3]]+Tabla[[#This Row],[P2]]+Tabla[[#This Row],[P1]]</f>
        <v>24280</v>
      </c>
      <c r="AD808" s="34" t="n">
        <f aca="false">+W808-AC808</f>
        <v>0</v>
      </c>
      <c r="AE808" s="21" t="str">
        <f aca="false">IF(AB808&lt;1,"PAGADA","PENDIENTE")</f>
        <v>PAGADA</v>
      </c>
      <c r="AF808" s="67"/>
      <c r="AG808" s="29" t="s">
        <v>327</v>
      </c>
      <c r="AH808" s="68"/>
      <c r="AI808" s="40" t="n">
        <f aca="false">+IF(Tabla[[#This Row],[FECHA PAGO / ABONO]]&lt;1,0,(MONTH(Tabla[[#This Row],[FECHA PAGO / ABONO]])))</f>
        <v>0</v>
      </c>
      <c r="AJ808" s="40" t="n">
        <f aca="false">+IF(Tabla[[#This Row],[FECHA PAGO / ABONO]]&lt;1,0,(YEAR(Tabla[[#This Row],[FECHA PAGO / ABONO]])))</f>
        <v>0</v>
      </c>
      <c r="AK808" s="41"/>
    </row>
    <row r="809" customFormat="false" ht="14.25" hidden="false" customHeight="false" outlineLevel="0" collapsed="false">
      <c r="A809" s="17" t="s">
        <v>240</v>
      </c>
      <c r="B809" s="18" t="s">
        <v>241</v>
      </c>
      <c r="C809" s="18" t="s">
        <v>229</v>
      </c>
      <c r="D809" s="18" t="n">
        <v>15190643</v>
      </c>
      <c r="E809" s="21" t="str">
        <f aca="false">+CONCATENATE(Tabla[[#This Row],[RUT]],Tabla[[#This Row],[PROVEEDOR]],Tabla[[#This Row],[FACTURA]])</f>
        <v>97036000-KSantander - Chile15190643</v>
      </c>
      <c r="F809" s="30" t="n">
        <v>46169</v>
      </c>
      <c r="G809" s="31" t="n">
        <f aca="false">+F809+30</f>
        <v>46199</v>
      </c>
      <c r="H809" s="29" t="n">
        <f aca="true">+IF(AE809="PAGADA",0,TODAY()-G809)</f>
        <v>0</v>
      </c>
      <c r="I809" s="29" t="str">
        <f aca="false">+IF(H809&gt;180,"Atrasada",IF(H809&gt;150,"150 dias",IF(H809&gt;120,"120 dias",IF(H809&gt;90,"90 dias",IF(H809&gt;60,"60 dias",IF(H809&gt;30,"30 dias","Al Día"))))))</f>
        <v>Al Día</v>
      </c>
      <c r="J809" s="59" t="s">
        <v>31</v>
      </c>
      <c r="K809" s="60" t="s">
        <v>81</v>
      </c>
      <c r="L809" s="61" t="s">
        <v>326</v>
      </c>
      <c r="M809" s="29" t="n">
        <f aca="false">+YEAR(F809)</f>
        <v>2026</v>
      </c>
      <c r="N809" s="62" t="n">
        <v>2026</v>
      </c>
      <c r="O809" s="63" t="n">
        <v>5</v>
      </c>
      <c r="P809" s="29" t="str">
        <f aca="false">+CONCATENATE(Tabla[[#This Row],[MES CAMPAÑA]],"/",Tabla[[#This Row],[AÑO CAMPAÑA]])</f>
        <v>5/2026</v>
      </c>
      <c r="Q809" s="60" t="s">
        <v>73</v>
      </c>
      <c r="R809" s="29"/>
      <c r="S809" s="64" t="n">
        <v>11427</v>
      </c>
      <c r="T809" s="64" t="n">
        <v>0</v>
      </c>
      <c r="U809" s="64" t="n">
        <v>0</v>
      </c>
      <c r="V809" s="65"/>
      <c r="W809" s="24" t="n">
        <v>11427</v>
      </c>
      <c r="X809" s="36" t="n">
        <f aca="false">+Tabla[[#This Row],[TOTAL]]</f>
        <v>11427</v>
      </c>
      <c r="Y809" s="66"/>
      <c r="Z809" s="66"/>
      <c r="AA809" s="66"/>
      <c r="AB809" s="38" t="n">
        <f aca="false">+W809-AC809</f>
        <v>0</v>
      </c>
      <c r="AC809" s="34" t="n">
        <f aca="false">+Tabla[[#This Row],[P4]]+Tabla[[#This Row],[P3]]+Tabla[[#This Row],[P2]]+Tabla[[#This Row],[P1]]</f>
        <v>11427</v>
      </c>
      <c r="AD809" s="34" t="n">
        <f aca="false">+W809-AC809</f>
        <v>0</v>
      </c>
      <c r="AE809" s="21" t="str">
        <f aca="false">IF(AB809&lt;1,"PAGADA","PENDIENTE")</f>
        <v>PAGADA</v>
      </c>
      <c r="AF809" s="67"/>
      <c r="AG809" s="29" t="s">
        <v>327</v>
      </c>
      <c r="AH809" s="68"/>
      <c r="AI809" s="40" t="n">
        <f aca="false">+IF(Tabla[[#This Row],[FECHA PAGO / ABONO]]&lt;1,0,(MONTH(Tabla[[#This Row],[FECHA PAGO / ABONO]])))</f>
        <v>0</v>
      </c>
      <c r="AJ809" s="40" t="n">
        <f aca="false">+IF(Tabla[[#This Row],[FECHA PAGO / ABONO]]&lt;1,0,(YEAR(Tabla[[#This Row],[FECHA PAGO / ABONO]])))</f>
        <v>0</v>
      </c>
      <c r="AK809" s="41"/>
    </row>
    <row r="810" customFormat="false" ht="14.25" hidden="false" customHeight="false" outlineLevel="0" collapsed="false">
      <c r="A810" s="17" t="s">
        <v>227</v>
      </c>
      <c r="B810" s="18" t="s">
        <v>228</v>
      </c>
      <c r="C810" s="18" t="s">
        <v>229</v>
      </c>
      <c r="D810" s="18" t="n">
        <v>11881</v>
      </c>
      <c r="E810" s="21" t="str">
        <f aca="false">+CONCATENATE(Tabla[[#This Row],[RUT]],Tabla[[#This Row],[PROVEEDOR]],Tabla[[#This Row],[FACTURA]])</f>
        <v>77549724-6YHC CONSULTORES LIMITADA11881</v>
      </c>
      <c r="F810" s="30" t="n">
        <v>46170</v>
      </c>
      <c r="G810" s="45" t="n">
        <f aca="false">+F810+30</f>
        <v>46200</v>
      </c>
      <c r="H810" s="43" t="n">
        <f aca="true">+IF(AE810="PAGADA",0,TODAY()-G810)</f>
        <v>4</v>
      </c>
      <c r="I810" s="43" t="str">
        <f aca="false">+IF(H810&gt;180,"Atrasada",IF(H810&gt;150,"150 dias",IF(H810&gt;120,"120 dias",IF(H810&gt;90,"90 dias",IF(H810&gt;60,"60 dias",IF(H810&gt;30,"30 dias","Al Día"))))))</f>
        <v>Al Día</v>
      </c>
      <c r="J810" s="59" t="s">
        <v>336</v>
      </c>
      <c r="K810" s="60" t="s">
        <v>81</v>
      </c>
      <c r="L810" s="61" t="s">
        <v>326</v>
      </c>
      <c r="M810" s="43" t="n">
        <f aca="false">+YEAR(F810)</f>
        <v>2026</v>
      </c>
      <c r="N810" s="62" t="n">
        <v>2026</v>
      </c>
      <c r="O810" s="63" t="n">
        <v>4</v>
      </c>
      <c r="P810" s="43" t="str">
        <f aca="false">+CONCATENATE(Tabla[[#This Row],[MES CAMPAÑA]],"/",Tabla[[#This Row],[AÑO CAMPAÑA]])</f>
        <v>4/2026</v>
      </c>
      <c r="Q810" s="60" t="s">
        <v>73</v>
      </c>
      <c r="R810" s="43"/>
      <c r="S810" s="64" t="n">
        <v>1350371</v>
      </c>
      <c r="T810" s="64" t="n">
        <v>0</v>
      </c>
      <c r="U810" s="64" t="n">
        <v>0</v>
      </c>
      <c r="V810" s="70"/>
      <c r="W810" s="24" t="n">
        <v>1350371</v>
      </c>
      <c r="X810" s="25"/>
      <c r="Y810" s="71"/>
      <c r="Z810" s="71"/>
      <c r="AA810" s="71"/>
      <c r="AB810" s="23" t="n">
        <f aca="false">+W810-AC810</f>
        <v>1350371</v>
      </c>
      <c r="AC810" s="48" t="n">
        <f aca="false">+Tabla[[#This Row],[P4]]+Tabla[[#This Row],[P3]]+Tabla[[#This Row],[P2]]+Tabla[[#This Row],[P1]]</f>
        <v>0</v>
      </c>
      <c r="AD810" s="48" t="n">
        <f aca="false">+W810-AC810</f>
        <v>1350371</v>
      </c>
      <c r="AE810" s="18" t="str">
        <f aca="false">IF(AB810&lt;1,"PAGADA","PENDIENTE")</f>
        <v>PENDIENTE</v>
      </c>
      <c r="AF810" s="72"/>
      <c r="AG810" s="43"/>
      <c r="AH810" s="73"/>
      <c r="AI810" s="53" t="n">
        <f aca="false">+IF(Tabla[[#This Row],[FECHA PAGO / ABONO]]&lt;1,0,(MONTH(Tabla[[#This Row],[FECHA PAGO / ABONO]])))</f>
        <v>0</v>
      </c>
      <c r="AJ810" s="53" t="n">
        <f aca="false">+IF(Tabla[[#This Row],[FECHA PAGO / ABONO]]&lt;1,0,(YEAR(Tabla[[#This Row],[FECHA PAGO / ABONO]])))</f>
        <v>0</v>
      </c>
      <c r="AK810" s="54"/>
    </row>
    <row r="811" customFormat="false" ht="14.25" hidden="false" customHeight="false" outlineLevel="0" collapsed="false">
      <c r="A811" s="17" t="s">
        <v>337</v>
      </c>
      <c r="B811" s="18" t="s">
        <v>338</v>
      </c>
      <c r="C811" s="18" t="s">
        <v>69</v>
      </c>
      <c r="D811" s="18" t="n">
        <v>58724</v>
      </c>
      <c r="E811" s="21" t="str">
        <f aca="false">+CONCATENATE(Tabla[[#This Row],[RUT]],Tabla[[#This Row],[PROVEEDOR]],Tabla[[#This Row],[FACTURA]])</f>
        <v>76185964-1MEGAMEDIA S.A.58724</v>
      </c>
      <c r="F811" s="30" t="n">
        <v>46173</v>
      </c>
      <c r="G811" s="45" t="n">
        <f aca="false">+F811+30</f>
        <v>46203</v>
      </c>
      <c r="H811" s="43" t="n">
        <f aca="true">+IF(AE811="PAGADA",0,TODAY()-G811)</f>
        <v>1</v>
      </c>
      <c r="I811" s="43" t="str">
        <f aca="false">+IF(H811&gt;180,"Atrasada",IF(H811&gt;150,"150 dias",IF(H811&gt;120,"120 dias",IF(H811&gt;90,"90 dias",IF(H811&gt;60,"60 dias",IF(H811&gt;30,"30 dias","Al Día"))))))</f>
        <v>Al Día</v>
      </c>
      <c r="J811" s="59" t="s">
        <v>80</v>
      </c>
      <c r="K811" s="60" t="s">
        <v>81</v>
      </c>
      <c r="L811" s="61" t="s">
        <v>0</v>
      </c>
      <c r="M811" s="43" t="n">
        <f aca="false">+YEAR(F811)</f>
        <v>2026</v>
      </c>
      <c r="N811" s="62" t="n">
        <v>2026</v>
      </c>
      <c r="O811" s="63" t="n">
        <v>4</v>
      </c>
      <c r="P811" s="43" t="str">
        <f aca="false">+CONCATENATE(Tabla[[#This Row],[MES CAMPAÑA]],"/",Tabla[[#This Row],[AÑO CAMPAÑA]])</f>
        <v>4/2026</v>
      </c>
      <c r="Q811" s="60" t="s">
        <v>316</v>
      </c>
      <c r="R811" s="43"/>
      <c r="S811" s="64" t="n">
        <v>0</v>
      </c>
      <c r="T811" s="64" t="n">
        <v>3690800</v>
      </c>
      <c r="U811" s="64" t="n">
        <v>701252</v>
      </c>
      <c r="V811" s="70"/>
      <c r="W811" s="24" t="n">
        <v>4392052</v>
      </c>
      <c r="X811" s="25"/>
      <c r="Y811" s="71"/>
      <c r="Z811" s="71"/>
      <c r="AA811" s="71"/>
      <c r="AB811" s="23" t="n">
        <f aca="false">+W811-AC811</f>
        <v>4392052</v>
      </c>
      <c r="AC811" s="48" t="n">
        <f aca="false">+Tabla[[#This Row],[P4]]+Tabla[[#This Row],[P3]]+Tabla[[#This Row],[P2]]+Tabla[[#This Row],[P1]]</f>
        <v>0</v>
      </c>
      <c r="AD811" s="48" t="n">
        <f aca="false">+W811-AC811</f>
        <v>4392052</v>
      </c>
      <c r="AE811" s="18" t="str">
        <f aca="false">IF(AB811&lt;1,"PAGADA","PENDIENTE")</f>
        <v>PENDIENTE</v>
      </c>
      <c r="AF811" s="72"/>
      <c r="AG811" s="43"/>
      <c r="AH811" s="73"/>
      <c r="AI811" s="53" t="n">
        <f aca="false">+IF(Tabla[[#This Row],[FECHA PAGO / ABONO]]&lt;1,0,(MONTH(Tabla[[#This Row],[FECHA PAGO / ABONO]])))</f>
        <v>0</v>
      </c>
      <c r="AJ811" s="53" t="n">
        <f aca="false">+IF(Tabla[[#This Row],[FECHA PAGO / ABONO]]&lt;1,0,(YEAR(Tabla[[#This Row],[FECHA PAGO / ABONO]])))</f>
        <v>0</v>
      </c>
      <c r="AK811" s="54"/>
    </row>
    <row r="812" customFormat="false" ht="14.25" hidden="false" customHeight="false" outlineLevel="0" collapsed="false">
      <c r="A812" s="17" t="s">
        <v>324</v>
      </c>
      <c r="B812" s="18" t="s">
        <v>325</v>
      </c>
      <c r="C812" s="18" t="s">
        <v>69</v>
      </c>
      <c r="D812" s="18" t="n">
        <v>660561</v>
      </c>
      <c r="E812" s="21" t="str">
        <f aca="false">+CONCATENATE(Tabla[[#This Row],[RUT]],Tabla[[#This Row],[PROVEEDOR]],Tabla[[#This Row],[FACTURA]])</f>
        <v>96720830-2BCI FACTORING S.A.660561</v>
      </c>
      <c r="F812" s="30" t="n">
        <v>46173</v>
      </c>
      <c r="G812" s="45" t="n">
        <f aca="false">+F812+30</f>
        <v>46203</v>
      </c>
      <c r="H812" s="43" t="n">
        <f aca="true">+IF(AE812="PAGADA",0,TODAY()-G812)</f>
        <v>0</v>
      </c>
      <c r="I812" s="43" t="str">
        <f aca="false">+IF(H812&gt;180,"Atrasada",IF(H812&gt;150,"150 dias",IF(H812&gt;120,"120 dias",IF(H812&gt;90,"90 dias",IF(H812&gt;60,"60 dias",IF(H812&gt;30,"30 dias","Al Día"))))))</f>
        <v>Al Día</v>
      </c>
      <c r="J812" s="59" t="s">
        <v>336</v>
      </c>
      <c r="K812" s="60" t="s">
        <v>81</v>
      </c>
      <c r="L812" s="61" t="s">
        <v>0</v>
      </c>
      <c r="M812" s="43" t="n">
        <f aca="false">+YEAR(F812)</f>
        <v>2026</v>
      </c>
      <c r="N812" s="62" t="n">
        <v>2026</v>
      </c>
      <c r="O812" s="63" t="n">
        <v>5</v>
      </c>
      <c r="P812" s="43" t="str">
        <f aca="false">+CONCATENATE(Tabla[[#This Row],[MES CAMPAÑA]],"/",Tabla[[#This Row],[AÑO CAMPAÑA]])</f>
        <v>5/2026</v>
      </c>
      <c r="Q812" s="60" t="s">
        <v>73</v>
      </c>
      <c r="R812" s="43"/>
      <c r="S812" s="64" t="n">
        <v>0</v>
      </c>
      <c r="T812" s="64" t="n">
        <v>202077</v>
      </c>
      <c r="U812" s="64" t="n">
        <v>38395</v>
      </c>
      <c r="V812" s="70"/>
      <c r="W812" s="24" t="n">
        <v>240472</v>
      </c>
      <c r="X812" s="36" t="n">
        <f aca="false">+Tabla[[#This Row],[TOTAL]]</f>
        <v>240472</v>
      </c>
      <c r="Y812" s="71"/>
      <c r="Z812" s="71"/>
      <c r="AA812" s="71"/>
      <c r="AB812" s="23" t="n">
        <f aca="false">+W812-AC812</f>
        <v>0</v>
      </c>
      <c r="AC812" s="48" t="n">
        <f aca="false">+Tabla[[#This Row],[P4]]+Tabla[[#This Row],[P3]]+Tabla[[#This Row],[P2]]+Tabla[[#This Row],[P1]]</f>
        <v>240472</v>
      </c>
      <c r="AD812" s="48" t="n">
        <f aca="false">+W812-AC812</f>
        <v>0</v>
      </c>
      <c r="AE812" s="18" t="str">
        <f aca="false">IF(AB812&lt;1,"PAGADA","PENDIENTE")</f>
        <v>PAGADA</v>
      </c>
      <c r="AF812" s="72"/>
      <c r="AG812" s="29" t="s">
        <v>327</v>
      </c>
      <c r="AH812" s="73"/>
      <c r="AI812" s="53" t="n">
        <f aca="false">+IF(Tabla[[#This Row],[FECHA PAGO / ABONO]]&lt;1,0,(MONTH(Tabla[[#This Row],[FECHA PAGO / ABONO]])))</f>
        <v>0</v>
      </c>
      <c r="AJ812" s="53" t="n">
        <f aca="false">+IF(Tabla[[#This Row],[FECHA PAGO / ABONO]]&lt;1,0,(YEAR(Tabla[[#This Row],[FECHA PAGO / ABONO]])))</f>
        <v>0</v>
      </c>
      <c r="AK812" s="54"/>
    </row>
    <row r="813" customFormat="false" ht="14.25" hidden="false" customHeight="false" outlineLevel="0" collapsed="false">
      <c r="A813" s="74"/>
      <c r="B813" s="74"/>
      <c r="C813" s="74"/>
      <c r="D813" s="75"/>
      <c r="E813" s="75"/>
      <c r="F813" s="75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6"/>
      <c r="Y813" s="77"/>
      <c r="Z813" s="77"/>
      <c r="AA813" s="77"/>
      <c r="AB813" s="74"/>
      <c r="AC813" s="78"/>
      <c r="AD813" s="74"/>
      <c r="AE813" s="74"/>
      <c r="AF813" s="78"/>
    </row>
    <row r="814" customFormat="false" ht="14.25" hidden="false" customHeight="false" outlineLevel="0" collapsed="false">
      <c r="A814" s="74"/>
      <c r="B814" s="74"/>
      <c r="C814" s="74"/>
      <c r="D814" s="75"/>
      <c r="E814" s="75"/>
      <c r="F814" s="75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9"/>
      <c r="Y814" s="77"/>
      <c r="Z814" s="77"/>
      <c r="AA814" s="77"/>
      <c r="AB814" s="74"/>
      <c r="AC814" s="78"/>
      <c r="AD814" s="74"/>
      <c r="AE814" s="74"/>
      <c r="AF814" s="78"/>
    </row>
    <row r="815" customFormat="false" ht="14.25" hidden="false" customHeight="false" outlineLevel="0" collapsed="false">
      <c r="A815" s="74"/>
      <c r="B815" s="74"/>
      <c r="C815" s="74"/>
      <c r="D815" s="75"/>
      <c r="E815" s="75"/>
      <c r="F815" s="75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6"/>
      <c r="X815" s="80"/>
      <c r="Y815" s="77"/>
      <c r="Z815" s="77"/>
      <c r="AA815" s="77"/>
      <c r="AB815" s="74"/>
      <c r="AC815" s="78"/>
      <c r="AD815" s="74"/>
      <c r="AE815" s="74"/>
      <c r="AF815" s="78"/>
      <c r="AI815" s="74"/>
      <c r="AJ815" s="74"/>
      <c r="AK815" s="74"/>
      <c r="AL815" s="74"/>
      <c r="AM815" s="74"/>
      <c r="AN815" s="74"/>
    </row>
    <row r="816" customFormat="false" ht="14.25" hidden="false" customHeight="false" outlineLevel="0" collapsed="false">
      <c r="A816" s="74"/>
      <c r="B816" s="74"/>
      <c r="C816" s="74"/>
      <c r="D816" s="75"/>
      <c r="E816" s="75"/>
      <c r="F816" s="75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6"/>
      <c r="X816" s="80"/>
      <c r="Y816" s="77"/>
      <c r="Z816" s="77"/>
      <c r="AA816" s="77"/>
      <c r="AB816" s="74"/>
      <c r="AC816" s="78"/>
      <c r="AD816" s="74"/>
      <c r="AE816" s="74"/>
      <c r="AF816" s="78"/>
      <c r="AI816" s="74"/>
      <c r="AJ816" s="74"/>
      <c r="AK816" s="74"/>
      <c r="AL816" s="74"/>
      <c r="AM816" s="74"/>
      <c r="AN816" s="74"/>
    </row>
    <row r="817" customFormat="false" ht="14.25" hidden="false" customHeight="false" outlineLevel="0" collapsed="false">
      <c r="A817" s="74"/>
      <c r="B817" s="74"/>
      <c r="C817" s="74"/>
      <c r="D817" s="75"/>
      <c r="E817" s="75"/>
      <c r="F817" s="75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6"/>
      <c r="X817" s="80"/>
      <c r="Y817" s="77"/>
      <c r="Z817" s="77"/>
      <c r="AA817" s="77"/>
      <c r="AB817" s="74"/>
      <c r="AC817" s="78"/>
      <c r="AD817" s="74"/>
      <c r="AE817" s="74"/>
      <c r="AF817" s="78"/>
      <c r="AI817" s="74"/>
      <c r="AJ817" s="74"/>
      <c r="AK817" s="74"/>
      <c r="AL817" s="74"/>
      <c r="AM817" s="74"/>
      <c r="AN817" s="74"/>
    </row>
    <row r="818" customFormat="false" ht="14.25" hidden="false" customHeight="false" outlineLevel="0" collapsed="false">
      <c r="A818" s="74"/>
      <c r="B818" s="74"/>
      <c r="C818" s="74"/>
      <c r="D818" s="75"/>
      <c r="E818" s="75"/>
      <c r="F818" s="75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6"/>
      <c r="X818" s="80"/>
      <c r="Y818" s="77"/>
      <c r="Z818" s="77"/>
      <c r="AA818" s="77"/>
      <c r="AB818" s="74"/>
      <c r="AC818" s="78"/>
      <c r="AD818" s="74"/>
      <c r="AE818" s="74"/>
      <c r="AF818" s="78"/>
      <c r="AI818" s="74"/>
      <c r="AJ818" s="74"/>
      <c r="AK818" s="74"/>
      <c r="AL818" s="74"/>
      <c r="AM818" s="74"/>
      <c r="AN818" s="74"/>
    </row>
    <row r="819" customFormat="false" ht="14.25" hidden="false" customHeight="false" outlineLevel="0" collapsed="false">
      <c r="A819" s="74"/>
      <c r="B819" s="74"/>
      <c r="C819" s="74"/>
      <c r="D819" s="75"/>
      <c r="E819" s="75"/>
      <c r="F819" s="75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6"/>
      <c r="X819" s="80"/>
      <c r="Y819" s="77"/>
      <c r="Z819" s="77"/>
      <c r="AA819" s="77"/>
      <c r="AB819" s="74"/>
      <c r="AC819" s="78"/>
      <c r="AD819" s="74"/>
      <c r="AE819" s="74"/>
      <c r="AF819" s="78"/>
      <c r="AI819" s="74"/>
      <c r="AJ819" s="74"/>
      <c r="AK819" s="74"/>
      <c r="AL819" s="74"/>
      <c r="AM819" s="74"/>
      <c r="AN819" s="74"/>
    </row>
    <row r="820" customFormat="false" ht="14.25" hidden="false" customHeight="false" outlineLevel="0" collapsed="false">
      <c r="A820" s="74"/>
      <c r="B820" s="74"/>
      <c r="C820" s="74"/>
      <c r="D820" s="75"/>
      <c r="E820" s="75"/>
      <c r="F820" s="75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6"/>
      <c r="X820" s="80"/>
      <c r="Y820" s="77"/>
      <c r="Z820" s="77"/>
      <c r="AA820" s="77"/>
      <c r="AB820" s="74"/>
      <c r="AC820" s="78"/>
      <c r="AD820" s="74"/>
      <c r="AE820" s="74"/>
      <c r="AF820" s="78"/>
      <c r="AI820" s="74"/>
      <c r="AJ820" s="74"/>
      <c r="AK820" s="74"/>
      <c r="AL820" s="74"/>
      <c r="AM820" s="74"/>
      <c r="AN820" s="74"/>
    </row>
    <row r="821" customFormat="false" ht="14.25" hidden="false" customHeight="false" outlineLevel="0" collapsed="false">
      <c r="A821" s="74"/>
      <c r="B821" s="74"/>
      <c r="C821" s="74"/>
      <c r="D821" s="75"/>
      <c r="E821" s="75"/>
      <c r="F821" s="75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6"/>
      <c r="X821" s="80"/>
      <c r="Y821" s="77"/>
      <c r="Z821" s="77"/>
      <c r="AA821" s="77"/>
      <c r="AB821" s="74"/>
      <c r="AC821" s="78"/>
      <c r="AD821" s="74"/>
      <c r="AE821" s="74"/>
      <c r="AF821" s="78"/>
      <c r="AI821" s="74"/>
      <c r="AJ821" s="74"/>
      <c r="AK821" s="74"/>
      <c r="AL821" s="74"/>
      <c r="AM821" s="74"/>
      <c r="AN821" s="74"/>
    </row>
    <row r="822" customFormat="false" ht="14.25" hidden="false" customHeight="false" outlineLevel="0" collapsed="false">
      <c r="A822" s="74"/>
      <c r="B822" s="74"/>
      <c r="C822" s="74"/>
      <c r="D822" s="75"/>
      <c r="E822" s="75"/>
      <c r="F822" s="75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6"/>
      <c r="X822" s="80"/>
      <c r="Y822" s="77"/>
      <c r="Z822" s="77"/>
      <c r="AA822" s="77"/>
      <c r="AB822" s="74"/>
      <c r="AC822" s="78"/>
      <c r="AD822" s="74"/>
      <c r="AE822" s="74"/>
      <c r="AF822" s="78"/>
      <c r="AI822" s="74"/>
      <c r="AJ822" s="74"/>
      <c r="AK822" s="74"/>
      <c r="AL822" s="74"/>
      <c r="AM822" s="74"/>
      <c r="AN822" s="74"/>
    </row>
    <row r="823" customFormat="false" ht="14.25" hidden="false" customHeight="false" outlineLevel="0" collapsed="false">
      <c r="A823" s="74"/>
      <c r="B823" s="74"/>
      <c r="C823" s="74"/>
      <c r="D823" s="75"/>
      <c r="E823" s="75"/>
      <c r="F823" s="75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6"/>
      <c r="X823" s="80"/>
      <c r="Y823" s="77"/>
      <c r="Z823" s="77"/>
      <c r="AA823" s="77"/>
      <c r="AB823" s="74"/>
      <c r="AC823" s="78"/>
      <c r="AD823" s="74"/>
      <c r="AE823" s="74"/>
      <c r="AF823" s="78"/>
      <c r="AI823" s="74"/>
      <c r="AJ823" s="74"/>
      <c r="AK823" s="74"/>
      <c r="AL823" s="74"/>
      <c r="AM823" s="74"/>
      <c r="AN823" s="74"/>
    </row>
    <row r="824" customFormat="false" ht="14.25" hidden="false" customHeight="false" outlineLevel="0" collapsed="false">
      <c r="A824" s="74"/>
      <c r="B824" s="74"/>
      <c r="C824" s="74"/>
      <c r="D824" s="75"/>
      <c r="E824" s="75"/>
      <c r="F824" s="75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6"/>
      <c r="X824" s="80"/>
      <c r="Y824" s="77"/>
      <c r="Z824" s="77"/>
      <c r="AA824" s="77"/>
      <c r="AB824" s="74"/>
      <c r="AC824" s="78"/>
      <c r="AD824" s="74"/>
      <c r="AE824" s="74"/>
      <c r="AF824" s="78"/>
      <c r="AI824" s="74"/>
      <c r="AJ824" s="74"/>
      <c r="AK824" s="74"/>
      <c r="AL824" s="74"/>
      <c r="AM824" s="74"/>
      <c r="AN824" s="74"/>
    </row>
    <row r="825" customFormat="false" ht="14.25" hidden="false" customHeight="false" outlineLevel="0" collapsed="false">
      <c r="A825" s="74"/>
      <c r="B825" s="74"/>
      <c r="C825" s="74"/>
      <c r="D825" s="75"/>
      <c r="E825" s="75"/>
      <c r="F825" s="75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6"/>
      <c r="X825" s="80"/>
      <c r="Y825" s="77"/>
      <c r="Z825" s="77"/>
      <c r="AA825" s="77"/>
      <c r="AB825" s="74"/>
      <c r="AC825" s="78"/>
      <c r="AD825" s="74"/>
      <c r="AE825" s="74"/>
      <c r="AF825" s="78"/>
      <c r="AI825" s="74"/>
      <c r="AJ825" s="74"/>
      <c r="AK825" s="74"/>
      <c r="AL825" s="74"/>
      <c r="AM825" s="74"/>
      <c r="AN825" s="74"/>
    </row>
    <row r="826" customFormat="false" ht="14.25" hidden="false" customHeight="false" outlineLevel="0" collapsed="false">
      <c r="A826" s="74"/>
      <c r="B826" s="74"/>
      <c r="C826" s="74"/>
      <c r="D826" s="75"/>
      <c r="E826" s="75"/>
      <c r="F826" s="75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6"/>
      <c r="X826" s="80"/>
      <c r="Y826" s="77"/>
      <c r="Z826" s="77"/>
      <c r="AA826" s="77"/>
      <c r="AB826" s="74"/>
      <c r="AC826" s="78"/>
      <c r="AD826" s="74"/>
      <c r="AE826" s="74"/>
      <c r="AF826" s="78"/>
      <c r="AI826" s="74"/>
      <c r="AJ826" s="74"/>
      <c r="AK826" s="74"/>
      <c r="AL826" s="74"/>
      <c r="AM826" s="74"/>
      <c r="AN826" s="74"/>
    </row>
    <row r="827" customFormat="false" ht="14.25" hidden="false" customHeight="false" outlineLevel="0" collapsed="false">
      <c r="A827" s="74"/>
      <c r="B827" s="74"/>
      <c r="C827" s="74"/>
      <c r="D827" s="75"/>
      <c r="E827" s="75"/>
      <c r="F827" s="75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6"/>
      <c r="X827" s="80"/>
      <c r="Y827" s="77"/>
      <c r="Z827" s="77"/>
      <c r="AA827" s="77"/>
      <c r="AB827" s="74"/>
      <c r="AC827" s="78"/>
      <c r="AD827" s="74"/>
      <c r="AE827" s="74"/>
      <c r="AF827" s="78"/>
      <c r="AI827" s="74"/>
      <c r="AJ827" s="74"/>
      <c r="AK827" s="74"/>
      <c r="AL827" s="74"/>
      <c r="AM827" s="74"/>
      <c r="AN827" s="74"/>
    </row>
    <row r="828" customFormat="false" ht="14.25" hidden="false" customHeight="false" outlineLevel="0" collapsed="false">
      <c r="A828" s="74"/>
      <c r="B828" s="74"/>
      <c r="C828" s="74"/>
      <c r="D828" s="75"/>
      <c r="E828" s="75"/>
      <c r="F828" s="75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6"/>
      <c r="X828" s="80"/>
      <c r="Y828" s="77"/>
      <c r="Z828" s="77"/>
      <c r="AA828" s="77"/>
      <c r="AB828" s="74"/>
      <c r="AC828" s="78"/>
      <c r="AD828" s="74"/>
      <c r="AE828" s="74"/>
      <c r="AF828" s="78"/>
      <c r="AI828" s="74"/>
      <c r="AJ828" s="74"/>
      <c r="AK828" s="74"/>
      <c r="AL828" s="74"/>
      <c r="AM828" s="74"/>
      <c r="AN828" s="74"/>
    </row>
    <row r="829" customFormat="false" ht="14.25" hidden="false" customHeight="false" outlineLevel="0" collapsed="false">
      <c r="A829" s="74"/>
      <c r="B829" s="74"/>
      <c r="C829" s="74"/>
      <c r="D829" s="75"/>
      <c r="E829" s="75"/>
      <c r="F829" s="75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6"/>
      <c r="X829" s="80"/>
      <c r="Y829" s="77"/>
      <c r="Z829" s="77"/>
      <c r="AA829" s="77"/>
      <c r="AB829" s="74"/>
      <c r="AC829" s="78"/>
      <c r="AD829" s="74"/>
      <c r="AE829" s="74"/>
      <c r="AF829" s="78"/>
      <c r="AI829" s="74"/>
      <c r="AJ829" s="74"/>
      <c r="AK829" s="74"/>
      <c r="AL829" s="74"/>
      <c r="AM829" s="74"/>
      <c r="AN829" s="74"/>
    </row>
    <row r="830" customFormat="false" ht="14.25" hidden="false" customHeight="false" outlineLevel="0" collapsed="false">
      <c r="A830" s="74"/>
      <c r="B830" s="74"/>
      <c r="C830" s="74"/>
      <c r="D830" s="75"/>
      <c r="E830" s="75"/>
      <c r="F830" s="75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6"/>
      <c r="X830" s="80"/>
      <c r="Y830" s="77"/>
      <c r="Z830" s="77"/>
      <c r="AA830" s="77"/>
      <c r="AB830" s="74"/>
      <c r="AC830" s="78"/>
      <c r="AD830" s="74"/>
      <c r="AE830" s="74"/>
      <c r="AF830" s="78"/>
      <c r="AI830" s="74"/>
      <c r="AJ830" s="74"/>
      <c r="AK830" s="74"/>
      <c r="AL830" s="74"/>
      <c r="AM830" s="74"/>
      <c r="AN830" s="74"/>
    </row>
    <row r="831" customFormat="false" ht="14.25" hidden="false" customHeight="false" outlineLevel="0" collapsed="false">
      <c r="A831" s="74"/>
      <c r="B831" s="74"/>
      <c r="C831" s="74"/>
      <c r="D831" s="75"/>
      <c r="E831" s="75"/>
      <c r="F831" s="75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6"/>
      <c r="X831" s="80"/>
      <c r="Y831" s="77"/>
      <c r="Z831" s="77"/>
      <c r="AA831" s="77"/>
      <c r="AB831" s="74"/>
      <c r="AC831" s="78"/>
      <c r="AD831" s="74"/>
      <c r="AE831" s="74"/>
      <c r="AF831" s="78"/>
      <c r="AI831" s="74"/>
      <c r="AJ831" s="74"/>
      <c r="AK831" s="74"/>
      <c r="AL831" s="74"/>
      <c r="AM831" s="74"/>
      <c r="AN831" s="74"/>
    </row>
    <row r="832" customFormat="false" ht="14.25" hidden="false" customHeight="false" outlineLevel="0" collapsed="false">
      <c r="A832" s="74"/>
      <c r="B832" s="74"/>
      <c r="C832" s="74"/>
      <c r="D832" s="75"/>
      <c r="E832" s="75"/>
      <c r="F832" s="75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6"/>
      <c r="X832" s="80"/>
      <c r="Y832" s="77"/>
      <c r="Z832" s="77"/>
      <c r="AA832" s="77"/>
      <c r="AB832" s="74"/>
      <c r="AC832" s="78"/>
      <c r="AD832" s="74"/>
      <c r="AE832" s="74"/>
      <c r="AF832" s="78"/>
      <c r="AI832" s="74"/>
      <c r="AJ832" s="74"/>
      <c r="AK832" s="74"/>
      <c r="AL832" s="74"/>
      <c r="AM832" s="74"/>
      <c r="AN832" s="74"/>
    </row>
    <row r="833" customFormat="false" ht="14.25" hidden="false" customHeight="false" outlineLevel="0" collapsed="false">
      <c r="A833" s="74"/>
      <c r="B833" s="74"/>
      <c r="C833" s="74"/>
      <c r="D833" s="75"/>
      <c r="E833" s="75"/>
      <c r="F833" s="75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6"/>
      <c r="X833" s="80"/>
      <c r="Y833" s="77"/>
      <c r="Z833" s="77"/>
      <c r="AA833" s="77"/>
      <c r="AB833" s="74"/>
      <c r="AC833" s="78"/>
      <c r="AD833" s="74"/>
      <c r="AE833" s="74"/>
      <c r="AF833" s="78"/>
      <c r="AI833" s="74"/>
      <c r="AJ833" s="74"/>
      <c r="AK833" s="74"/>
      <c r="AL833" s="74"/>
      <c r="AM833" s="74"/>
      <c r="AN833" s="74"/>
    </row>
    <row r="834" customFormat="false" ht="14.25" hidden="false" customHeight="false" outlineLevel="0" collapsed="false">
      <c r="A834" s="74"/>
      <c r="B834" s="74"/>
      <c r="C834" s="74"/>
      <c r="D834" s="75"/>
      <c r="E834" s="75"/>
      <c r="F834" s="75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6"/>
      <c r="X834" s="80"/>
      <c r="Y834" s="77"/>
      <c r="Z834" s="77"/>
      <c r="AA834" s="77"/>
      <c r="AB834" s="74"/>
      <c r="AC834" s="78"/>
      <c r="AD834" s="74"/>
      <c r="AE834" s="74"/>
      <c r="AF834" s="78"/>
      <c r="AI834" s="74"/>
      <c r="AJ834" s="74"/>
      <c r="AK834" s="74"/>
      <c r="AL834" s="74"/>
      <c r="AM834" s="74"/>
      <c r="AN834" s="74"/>
    </row>
    <row r="835" customFormat="false" ht="14.25" hidden="false" customHeight="false" outlineLevel="0" collapsed="false">
      <c r="A835" s="74"/>
      <c r="B835" s="74"/>
      <c r="C835" s="74"/>
      <c r="D835" s="75"/>
      <c r="E835" s="75"/>
      <c r="F835" s="75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6"/>
      <c r="X835" s="80"/>
      <c r="Y835" s="77"/>
      <c r="Z835" s="77"/>
      <c r="AA835" s="77"/>
      <c r="AB835" s="74"/>
      <c r="AC835" s="78"/>
      <c r="AD835" s="74"/>
      <c r="AE835" s="74"/>
      <c r="AF835" s="78"/>
      <c r="AI835" s="74"/>
      <c r="AJ835" s="74"/>
      <c r="AK835" s="74"/>
      <c r="AL835" s="74"/>
      <c r="AM835" s="74"/>
      <c r="AN835" s="74"/>
    </row>
    <row r="836" customFormat="false" ht="14.25" hidden="false" customHeight="false" outlineLevel="0" collapsed="false">
      <c r="A836" s="74"/>
      <c r="B836" s="74"/>
      <c r="C836" s="74"/>
      <c r="D836" s="75"/>
      <c r="E836" s="75"/>
      <c r="F836" s="75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6"/>
      <c r="X836" s="80"/>
      <c r="Y836" s="77"/>
      <c r="Z836" s="77"/>
      <c r="AA836" s="77"/>
      <c r="AB836" s="74"/>
      <c r="AC836" s="78"/>
      <c r="AD836" s="74"/>
      <c r="AE836" s="74"/>
      <c r="AF836" s="78"/>
      <c r="AI836" s="74"/>
      <c r="AJ836" s="74"/>
      <c r="AK836" s="74"/>
      <c r="AL836" s="74"/>
      <c r="AM836" s="74"/>
      <c r="AN836" s="74"/>
    </row>
    <row r="837" customFormat="false" ht="14.25" hidden="false" customHeight="false" outlineLevel="0" collapsed="false">
      <c r="A837" s="74"/>
      <c r="B837" s="74"/>
      <c r="C837" s="74"/>
      <c r="D837" s="75"/>
      <c r="E837" s="75"/>
      <c r="F837" s="75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6"/>
      <c r="X837" s="80"/>
      <c r="Y837" s="77"/>
      <c r="Z837" s="77"/>
      <c r="AA837" s="77"/>
      <c r="AB837" s="74"/>
      <c r="AC837" s="78"/>
      <c r="AD837" s="74"/>
      <c r="AE837" s="74"/>
      <c r="AF837" s="78"/>
      <c r="AI837" s="74"/>
      <c r="AJ837" s="74"/>
      <c r="AK837" s="74"/>
      <c r="AL837" s="74"/>
      <c r="AM837" s="74"/>
      <c r="AN837" s="74"/>
    </row>
    <row r="838" customFormat="false" ht="14.25" hidden="false" customHeight="false" outlineLevel="0" collapsed="false">
      <c r="A838" s="74"/>
      <c r="B838" s="74"/>
      <c r="C838" s="74"/>
      <c r="D838" s="75"/>
      <c r="E838" s="75"/>
      <c r="F838" s="75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6"/>
      <c r="X838" s="80"/>
      <c r="Y838" s="77"/>
      <c r="Z838" s="77"/>
      <c r="AA838" s="77"/>
      <c r="AB838" s="74"/>
      <c r="AC838" s="78"/>
      <c r="AD838" s="74"/>
      <c r="AE838" s="74"/>
      <c r="AF838" s="78"/>
      <c r="AI838" s="74"/>
      <c r="AJ838" s="74"/>
      <c r="AK838" s="74"/>
      <c r="AL838" s="74"/>
      <c r="AM838" s="74"/>
      <c r="AN838" s="74"/>
    </row>
    <row r="839" customFormat="false" ht="14.25" hidden="false" customHeight="false" outlineLevel="0" collapsed="false">
      <c r="A839" s="74"/>
      <c r="B839" s="74"/>
      <c r="C839" s="74"/>
      <c r="D839" s="75"/>
      <c r="E839" s="75"/>
      <c r="F839" s="75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6"/>
      <c r="X839" s="80"/>
      <c r="Y839" s="77"/>
      <c r="Z839" s="77"/>
      <c r="AA839" s="77"/>
      <c r="AB839" s="74"/>
      <c r="AC839" s="78"/>
      <c r="AD839" s="74"/>
      <c r="AE839" s="74"/>
      <c r="AF839" s="78"/>
      <c r="AI839" s="74"/>
      <c r="AJ839" s="74"/>
      <c r="AK839" s="74"/>
      <c r="AL839" s="74"/>
      <c r="AM839" s="74"/>
      <c r="AN839" s="74"/>
    </row>
    <row r="840" customFormat="false" ht="14.25" hidden="false" customHeight="false" outlineLevel="0" collapsed="false">
      <c r="A840" s="74"/>
      <c r="B840" s="74"/>
      <c r="C840" s="74"/>
      <c r="D840" s="75"/>
      <c r="E840" s="75"/>
      <c r="F840" s="75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6"/>
      <c r="X840" s="80"/>
      <c r="Y840" s="77"/>
      <c r="Z840" s="77"/>
      <c r="AA840" s="77"/>
      <c r="AB840" s="74"/>
      <c r="AC840" s="78"/>
      <c r="AD840" s="74"/>
      <c r="AE840" s="74"/>
      <c r="AF840" s="78"/>
      <c r="AI840" s="74"/>
      <c r="AJ840" s="74"/>
      <c r="AK840" s="74"/>
      <c r="AL840" s="74"/>
      <c r="AM840" s="74"/>
      <c r="AN840" s="74"/>
    </row>
    <row r="841" customFormat="false" ht="14.25" hidden="false" customHeight="false" outlineLevel="0" collapsed="false">
      <c r="A841" s="74"/>
      <c r="B841" s="74"/>
      <c r="C841" s="74"/>
      <c r="D841" s="75"/>
      <c r="E841" s="75"/>
      <c r="F841" s="75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6"/>
      <c r="X841" s="80"/>
      <c r="Y841" s="77"/>
      <c r="Z841" s="77"/>
      <c r="AA841" s="77"/>
      <c r="AB841" s="74"/>
      <c r="AC841" s="78"/>
      <c r="AD841" s="74"/>
      <c r="AE841" s="74"/>
      <c r="AF841" s="78"/>
      <c r="AI841" s="74"/>
      <c r="AJ841" s="74"/>
      <c r="AK841" s="74"/>
      <c r="AL841" s="74"/>
      <c r="AM841" s="74"/>
      <c r="AN841" s="74"/>
    </row>
    <row r="842" customFormat="false" ht="14.25" hidden="false" customHeight="false" outlineLevel="0" collapsed="false">
      <c r="A842" s="74"/>
      <c r="B842" s="74"/>
      <c r="C842" s="74"/>
      <c r="D842" s="75"/>
      <c r="E842" s="75"/>
      <c r="F842" s="75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6"/>
      <c r="X842" s="80"/>
      <c r="Y842" s="77"/>
      <c r="Z842" s="77"/>
      <c r="AA842" s="77"/>
      <c r="AB842" s="74"/>
      <c r="AC842" s="78"/>
      <c r="AD842" s="74"/>
      <c r="AE842" s="74"/>
      <c r="AF842" s="78"/>
      <c r="AI842" s="74"/>
      <c r="AJ842" s="74"/>
      <c r="AK842" s="74"/>
      <c r="AL842" s="74"/>
      <c r="AM842" s="74"/>
      <c r="AN842" s="74"/>
    </row>
    <row r="843" customFormat="false" ht="14.25" hidden="false" customHeight="false" outlineLevel="0" collapsed="false">
      <c r="A843" s="74"/>
      <c r="B843" s="74"/>
      <c r="C843" s="74"/>
      <c r="D843" s="75"/>
      <c r="E843" s="75"/>
      <c r="F843" s="75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6"/>
      <c r="X843" s="80"/>
      <c r="Y843" s="77"/>
      <c r="Z843" s="77"/>
      <c r="AA843" s="77"/>
      <c r="AB843" s="74"/>
      <c r="AC843" s="78"/>
      <c r="AD843" s="74"/>
      <c r="AE843" s="74"/>
      <c r="AF843" s="78"/>
      <c r="AI843" s="74"/>
      <c r="AJ843" s="74"/>
      <c r="AK843" s="74"/>
      <c r="AL843" s="74"/>
      <c r="AM843" s="74"/>
      <c r="AN843" s="74"/>
    </row>
    <row r="844" customFormat="false" ht="14.25" hidden="false" customHeight="false" outlineLevel="0" collapsed="false">
      <c r="A844" s="74"/>
      <c r="B844" s="74"/>
      <c r="C844" s="74"/>
      <c r="D844" s="75"/>
      <c r="E844" s="75"/>
      <c r="F844" s="75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6"/>
      <c r="X844" s="80"/>
      <c r="Y844" s="77"/>
      <c r="Z844" s="77"/>
      <c r="AA844" s="77"/>
      <c r="AB844" s="74"/>
      <c r="AC844" s="78"/>
      <c r="AD844" s="74"/>
      <c r="AE844" s="74"/>
      <c r="AF844" s="78"/>
      <c r="AI844" s="74"/>
      <c r="AJ844" s="74"/>
      <c r="AK844" s="74"/>
      <c r="AL844" s="74"/>
      <c r="AM844" s="74"/>
      <c r="AN844" s="74"/>
    </row>
    <row r="845" customFormat="false" ht="14.25" hidden="false" customHeight="false" outlineLevel="0" collapsed="false">
      <c r="A845" s="74"/>
      <c r="B845" s="74"/>
      <c r="C845" s="74"/>
      <c r="D845" s="75"/>
      <c r="E845" s="75"/>
      <c r="F845" s="75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6"/>
      <c r="X845" s="80"/>
      <c r="Y845" s="77"/>
      <c r="Z845" s="77"/>
      <c r="AA845" s="77"/>
      <c r="AB845" s="74"/>
      <c r="AC845" s="78"/>
      <c r="AD845" s="74"/>
      <c r="AE845" s="74"/>
      <c r="AF845" s="78"/>
      <c r="AI845" s="74"/>
      <c r="AJ845" s="74"/>
      <c r="AK845" s="74"/>
      <c r="AL845" s="74"/>
      <c r="AM845" s="74"/>
      <c r="AN845" s="74"/>
    </row>
    <row r="846" customFormat="false" ht="14.25" hidden="false" customHeight="false" outlineLevel="0" collapsed="false">
      <c r="A846" s="74"/>
      <c r="B846" s="74"/>
      <c r="C846" s="74"/>
      <c r="D846" s="75"/>
      <c r="E846" s="75"/>
      <c r="F846" s="75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6"/>
      <c r="X846" s="80"/>
      <c r="Y846" s="77"/>
      <c r="Z846" s="77"/>
      <c r="AA846" s="77"/>
      <c r="AB846" s="74"/>
      <c r="AC846" s="78"/>
      <c r="AD846" s="74"/>
      <c r="AE846" s="74"/>
      <c r="AF846" s="78"/>
      <c r="AI846" s="74"/>
      <c r="AJ846" s="74"/>
      <c r="AK846" s="74"/>
      <c r="AL846" s="74"/>
      <c r="AM846" s="74"/>
      <c r="AN846" s="74"/>
    </row>
    <row r="847" customFormat="false" ht="14.25" hidden="false" customHeight="false" outlineLevel="0" collapsed="false">
      <c r="A847" s="74"/>
      <c r="B847" s="74"/>
      <c r="C847" s="74"/>
      <c r="D847" s="75"/>
      <c r="E847" s="75"/>
      <c r="F847" s="75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6"/>
      <c r="X847" s="80"/>
      <c r="Y847" s="77"/>
      <c r="Z847" s="77"/>
      <c r="AA847" s="77"/>
      <c r="AB847" s="74"/>
      <c r="AC847" s="78"/>
      <c r="AD847" s="74"/>
      <c r="AE847" s="74"/>
      <c r="AF847" s="78"/>
      <c r="AI847" s="74"/>
      <c r="AJ847" s="74"/>
      <c r="AK847" s="74"/>
      <c r="AL847" s="74"/>
      <c r="AM847" s="74"/>
      <c r="AN847" s="74"/>
    </row>
    <row r="848" customFormat="false" ht="14.25" hidden="false" customHeight="false" outlineLevel="0" collapsed="false">
      <c r="A848" s="74"/>
      <c r="B848" s="74"/>
      <c r="C848" s="74"/>
      <c r="D848" s="75"/>
      <c r="E848" s="75"/>
      <c r="F848" s="75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6"/>
      <c r="X848" s="80"/>
      <c r="Y848" s="77"/>
      <c r="Z848" s="77"/>
      <c r="AA848" s="77"/>
      <c r="AB848" s="74"/>
      <c r="AC848" s="78"/>
      <c r="AD848" s="74"/>
      <c r="AE848" s="74"/>
      <c r="AF848" s="78"/>
      <c r="AI848" s="74"/>
      <c r="AJ848" s="74"/>
      <c r="AK848" s="74"/>
      <c r="AL848" s="74"/>
      <c r="AM848" s="74"/>
      <c r="AN848" s="74"/>
    </row>
    <row r="849" customFormat="false" ht="14.25" hidden="false" customHeight="false" outlineLevel="0" collapsed="false">
      <c r="A849" s="74"/>
      <c r="B849" s="74"/>
      <c r="C849" s="74"/>
      <c r="D849" s="75"/>
      <c r="E849" s="75"/>
      <c r="F849" s="75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6"/>
      <c r="X849" s="80"/>
      <c r="Y849" s="77"/>
      <c r="Z849" s="77"/>
      <c r="AA849" s="77"/>
      <c r="AB849" s="74"/>
      <c r="AC849" s="78"/>
      <c r="AD849" s="74"/>
      <c r="AE849" s="74"/>
      <c r="AF849" s="78"/>
      <c r="AI849" s="74"/>
      <c r="AJ849" s="74"/>
      <c r="AK849" s="74"/>
      <c r="AL849" s="74"/>
      <c r="AM849" s="74"/>
      <c r="AN849" s="74"/>
    </row>
    <row r="850" customFormat="false" ht="14.25" hidden="false" customHeight="false" outlineLevel="0" collapsed="false">
      <c r="A850" s="74"/>
      <c r="B850" s="74"/>
      <c r="C850" s="74"/>
      <c r="D850" s="75"/>
      <c r="E850" s="75"/>
      <c r="F850" s="75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6"/>
      <c r="X850" s="80"/>
      <c r="Y850" s="77"/>
      <c r="Z850" s="77"/>
      <c r="AA850" s="77"/>
      <c r="AB850" s="74"/>
      <c r="AC850" s="78"/>
      <c r="AD850" s="74"/>
      <c r="AE850" s="74"/>
      <c r="AF850" s="78"/>
      <c r="AI850" s="74"/>
      <c r="AJ850" s="74"/>
      <c r="AK850" s="74"/>
      <c r="AL850" s="74"/>
      <c r="AM850" s="74"/>
      <c r="AN850" s="74"/>
    </row>
    <row r="851" customFormat="false" ht="14.25" hidden="false" customHeight="false" outlineLevel="0" collapsed="false">
      <c r="A851" s="74"/>
      <c r="B851" s="74"/>
      <c r="C851" s="74"/>
      <c r="D851" s="75"/>
      <c r="E851" s="75"/>
      <c r="F851" s="75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6"/>
      <c r="X851" s="80"/>
      <c r="Y851" s="77"/>
      <c r="Z851" s="77"/>
      <c r="AA851" s="77"/>
      <c r="AB851" s="74"/>
      <c r="AC851" s="78"/>
      <c r="AD851" s="74"/>
      <c r="AE851" s="74"/>
      <c r="AF851" s="78"/>
      <c r="AI851" s="74"/>
      <c r="AJ851" s="74"/>
      <c r="AK851" s="74"/>
      <c r="AL851" s="74"/>
      <c r="AM851" s="74"/>
      <c r="AN851" s="74"/>
    </row>
    <row r="852" customFormat="false" ht="14.25" hidden="false" customHeight="false" outlineLevel="0" collapsed="false">
      <c r="A852" s="74"/>
      <c r="B852" s="74"/>
      <c r="C852" s="74"/>
      <c r="D852" s="75"/>
      <c r="E852" s="75"/>
      <c r="F852" s="75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6"/>
      <c r="X852" s="80"/>
      <c r="Y852" s="77"/>
      <c r="Z852" s="77"/>
      <c r="AA852" s="77"/>
      <c r="AB852" s="74"/>
      <c r="AC852" s="78"/>
      <c r="AD852" s="74"/>
      <c r="AE852" s="74"/>
      <c r="AF852" s="78"/>
      <c r="AI852" s="74"/>
      <c r="AJ852" s="74"/>
      <c r="AK852" s="74"/>
      <c r="AL852" s="74"/>
      <c r="AM852" s="74"/>
      <c r="AN852" s="74"/>
    </row>
    <row r="853" customFormat="false" ht="14.25" hidden="false" customHeight="false" outlineLevel="0" collapsed="false">
      <c r="A853" s="74"/>
      <c r="B853" s="74"/>
      <c r="C853" s="74"/>
      <c r="D853" s="75"/>
      <c r="E853" s="75"/>
      <c r="F853" s="75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6"/>
      <c r="X853" s="80"/>
      <c r="Y853" s="77"/>
      <c r="Z853" s="77"/>
      <c r="AA853" s="77"/>
      <c r="AB853" s="74"/>
      <c r="AC853" s="78"/>
      <c r="AD853" s="74"/>
      <c r="AE853" s="74"/>
      <c r="AF853" s="78"/>
      <c r="AI853" s="74"/>
      <c r="AJ853" s="74"/>
      <c r="AK853" s="74"/>
      <c r="AL853" s="74"/>
      <c r="AM853" s="74"/>
      <c r="AN853" s="74"/>
    </row>
    <row r="854" customFormat="false" ht="14.25" hidden="false" customHeight="false" outlineLevel="0" collapsed="false">
      <c r="A854" s="74"/>
      <c r="B854" s="74"/>
      <c r="C854" s="74"/>
      <c r="D854" s="75"/>
      <c r="E854" s="75"/>
      <c r="F854" s="75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6"/>
      <c r="X854" s="80"/>
      <c r="Y854" s="77"/>
      <c r="Z854" s="77"/>
      <c r="AA854" s="77"/>
      <c r="AB854" s="74"/>
      <c r="AC854" s="78"/>
      <c r="AD854" s="74"/>
      <c r="AE854" s="74"/>
      <c r="AF854" s="78"/>
      <c r="AI854" s="74"/>
      <c r="AJ854" s="74"/>
      <c r="AK854" s="74"/>
      <c r="AL854" s="74"/>
      <c r="AM854" s="74"/>
      <c r="AN854" s="74"/>
    </row>
    <row r="855" customFormat="false" ht="14.25" hidden="false" customHeight="false" outlineLevel="0" collapsed="false">
      <c r="A855" s="74"/>
      <c r="B855" s="74"/>
      <c r="C855" s="74"/>
      <c r="D855" s="75"/>
      <c r="E855" s="75"/>
      <c r="F855" s="75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6"/>
      <c r="X855" s="80"/>
      <c r="Y855" s="77"/>
      <c r="Z855" s="77"/>
      <c r="AA855" s="77"/>
      <c r="AB855" s="74"/>
      <c r="AC855" s="78"/>
      <c r="AD855" s="74"/>
      <c r="AE855" s="74"/>
      <c r="AF855" s="78"/>
      <c r="AI855" s="74"/>
      <c r="AJ855" s="74"/>
      <c r="AK855" s="74"/>
      <c r="AL855" s="74"/>
      <c r="AM855" s="74"/>
      <c r="AN855" s="74"/>
    </row>
    <row r="856" customFormat="false" ht="14.25" hidden="false" customHeight="false" outlineLevel="0" collapsed="false">
      <c r="A856" s="74"/>
      <c r="B856" s="74"/>
      <c r="C856" s="74"/>
      <c r="D856" s="75"/>
      <c r="E856" s="75"/>
      <c r="F856" s="75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6"/>
      <c r="X856" s="80"/>
      <c r="Y856" s="77"/>
      <c r="Z856" s="77"/>
      <c r="AA856" s="77"/>
      <c r="AB856" s="74"/>
      <c r="AC856" s="78"/>
      <c r="AD856" s="74"/>
      <c r="AE856" s="74"/>
      <c r="AF856" s="78"/>
      <c r="AI856" s="74"/>
      <c r="AJ856" s="74"/>
      <c r="AK856" s="74"/>
      <c r="AL856" s="74"/>
      <c r="AM856" s="74"/>
      <c r="AN856" s="74"/>
    </row>
    <row r="857" customFormat="false" ht="14.25" hidden="false" customHeight="false" outlineLevel="0" collapsed="false">
      <c r="A857" s="74"/>
      <c r="B857" s="74"/>
      <c r="C857" s="74"/>
      <c r="D857" s="75"/>
      <c r="E857" s="75"/>
      <c r="F857" s="75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6"/>
      <c r="X857" s="80"/>
      <c r="Y857" s="77"/>
      <c r="Z857" s="77"/>
      <c r="AA857" s="77"/>
      <c r="AB857" s="74"/>
      <c r="AC857" s="78"/>
      <c r="AD857" s="74"/>
      <c r="AE857" s="74"/>
      <c r="AF857" s="78"/>
      <c r="AI857" s="74"/>
      <c r="AJ857" s="74"/>
      <c r="AK857" s="74"/>
      <c r="AL857" s="74"/>
      <c r="AM857" s="74"/>
      <c r="AN857" s="74"/>
    </row>
    <row r="858" customFormat="false" ht="14.25" hidden="false" customHeight="false" outlineLevel="0" collapsed="false">
      <c r="A858" s="74"/>
      <c r="B858" s="74"/>
      <c r="C858" s="74"/>
      <c r="D858" s="75"/>
      <c r="E858" s="75"/>
      <c r="F858" s="75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6"/>
      <c r="X858" s="80"/>
      <c r="Y858" s="77"/>
      <c r="Z858" s="77"/>
      <c r="AA858" s="77"/>
      <c r="AB858" s="74"/>
      <c r="AC858" s="78"/>
      <c r="AD858" s="74"/>
      <c r="AE858" s="74"/>
      <c r="AF858" s="78"/>
      <c r="AI858" s="74"/>
      <c r="AJ858" s="74"/>
      <c r="AK858" s="74"/>
      <c r="AL858" s="74"/>
      <c r="AM858" s="74"/>
      <c r="AN858" s="74"/>
    </row>
    <row r="859" customFormat="false" ht="14.25" hidden="false" customHeight="false" outlineLevel="0" collapsed="false">
      <c r="A859" s="74"/>
      <c r="B859" s="74"/>
      <c r="C859" s="74"/>
      <c r="D859" s="75"/>
      <c r="E859" s="75"/>
      <c r="F859" s="75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6"/>
      <c r="X859" s="80"/>
      <c r="Y859" s="77"/>
      <c r="Z859" s="77"/>
      <c r="AA859" s="77"/>
      <c r="AB859" s="74"/>
      <c r="AC859" s="78"/>
      <c r="AD859" s="74"/>
      <c r="AE859" s="74"/>
      <c r="AF859" s="78"/>
      <c r="AI859" s="74"/>
      <c r="AJ859" s="74"/>
      <c r="AK859" s="74"/>
      <c r="AL859" s="74"/>
      <c r="AM859" s="74"/>
      <c r="AN859" s="74"/>
    </row>
    <row r="860" customFormat="false" ht="14.25" hidden="false" customHeight="false" outlineLevel="0" collapsed="false">
      <c r="A860" s="74"/>
      <c r="B860" s="74"/>
      <c r="C860" s="74"/>
      <c r="D860" s="75"/>
      <c r="E860" s="75"/>
      <c r="F860" s="75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6"/>
      <c r="X860" s="80"/>
      <c r="Y860" s="77"/>
      <c r="Z860" s="77"/>
      <c r="AA860" s="77"/>
      <c r="AB860" s="74"/>
      <c r="AC860" s="78"/>
      <c r="AD860" s="74"/>
      <c r="AE860" s="74"/>
      <c r="AF860" s="78"/>
      <c r="AI860" s="74"/>
      <c r="AJ860" s="74"/>
      <c r="AK860" s="74"/>
      <c r="AL860" s="74"/>
      <c r="AM860" s="74"/>
      <c r="AN860" s="74"/>
    </row>
    <row r="861" customFormat="false" ht="14.25" hidden="false" customHeight="false" outlineLevel="0" collapsed="false">
      <c r="A861" s="74"/>
      <c r="B861" s="74"/>
      <c r="C861" s="74"/>
      <c r="D861" s="75"/>
      <c r="E861" s="75"/>
      <c r="F861" s="75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6"/>
      <c r="X861" s="80"/>
      <c r="Y861" s="77"/>
      <c r="Z861" s="77"/>
      <c r="AA861" s="77"/>
      <c r="AB861" s="74"/>
      <c r="AC861" s="78"/>
      <c r="AD861" s="74"/>
      <c r="AE861" s="74"/>
      <c r="AF861" s="78"/>
      <c r="AI861" s="74"/>
      <c r="AJ861" s="74"/>
      <c r="AK861" s="74"/>
      <c r="AL861" s="74"/>
      <c r="AM861" s="74"/>
      <c r="AN861" s="74"/>
    </row>
    <row r="862" customFormat="false" ht="14.25" hidden="false" customHeight="false" outlineLevel="0" collapsed="false">
      <c r="A862" s="74"/>
      <c r="B862" s="74"/>
      <c r="C862" s="74"/>
      <c r="D862" s="75"/>
      <c r="E862" s="75"/>
      <c r="F862" s="75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6"/>
      <c r="X862" s="80"/>
      <c r="Y862" s="77"/>
      <c r="Z862" s="77"/>
      <c r="AA862" s="77"/>
      <c r="AB862" s="74"/>
      <c r="AC862" s="78"/>
      <c r="AD862" s="74"/>
      <c r="AE862" s="74"/>
      <c r="AF862" s="78"/>
      <c r="AI862" s="74"/>
      <c r="AJ862" s="74"/>
      <c r="AK862" s="74"/>
      <c r="AL862" s="74"/>
      <c r="AM862" s="74"/>
      <c r="AN862" s="74"/>
    </row>
    <row r="863" customFormat="false" ht="14.25" hidden="false" customHeight="false" outlineLevel="0" collapsed="false">
      <c r="A863" s="74"/>
      <c r="B863" s="74"/>
      <c r="C863" s="74"/>
      <c r="D863" s="75"/>
      <c r="E863" s="75"/>
      <c r="F863" s="75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6"/>
      <c r="X863" s="80"/>
      <c r="Y863" s="77"/>
      <c r="Z863" s="77"/>
      <c r="AA863" s="77"/>
      <c r="AB863" s="74"/>
      <c r="AC863" s="78"/>
      <c r="AD863" s="74"/>
      <c r="AE863" s="74"/>
      <c r="AF863" s="78"/>
      <c r="AI863" s="74"/>
      <c r="AJ863" s="74"/>
      <c r="AK863" s="74"/>
      <c r="AL863" s="74"/>
      <c r="AM863" s="74"/>
      <c r="AN863" s="74"/>
    </row>
    <row r="864" customFormat="false" ht="14.25" hidden="false" customHeight="false" outlineLevel="0" collapsed="false">
      <c r="A864" s="74"/>
      <c r="B864" s="74"/>
      <c r="C864" s="74"/>
      <c r="D864" s="75"/>
      <c r="E864" s="75"/>
      <c r="F864" s="75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6"/>
      <c r="X864" s="80"/>
      <c r="Y864" s="77"/>
      <c r="Z864" s="77"/>
      <c r="AA864" s="77"/>
      <c r="AB864" s="74"/>
      <c r="AC864" s="78"/>
      <c r="AD864" s="74"/>
      <c r="AE864" s="74"/>
      <c r="AF864" s="78"/>
      <c r="AI864" s="74"/>
      <c r="AJ864" s="74"/>
      <c r="AK864" s="74"/>
      <c r="AL864" s="74"/>
      <c r="AM864" s="74"/>
      <c r="AN864" s="74"/>
    </row>
    <row r="865" customFormat="false" ht="14.25" hidden="false" customHeight="false" outlineLevel="0" collapsed="false">
      <c r="A865" s="74"/>
      <c r="B865" s="74"/>
      <c r="C865" s="74"/>
      <c r="D865" s="75"/>
      <c r="E865" s="75"/>
      <c r="F865" s="75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6"/>
      <c r="X865" s="80"/>
      <c r="Y865" s="77"/>
      <c r="Z865" s="77"/>
      <c r="AA865" s="77"/>
      <c r="AB865" s="74"/>
      <c r="AC865" s="78"/>
      <c r="AD865" s="74"/>
      <c r="AE865" s="74"/>
      <c r="AF865" s="78"/>
      <c r="AI865" s="74"/>
      <c r="AJ865" s="74"/>
      <c r="AK865" s="74"/>
      <c r="AL865" s="74"/>
      <c r="AM865" s="74"/>
      <c r="AN865" s="74"/>
    </row>
    <row r="866" customFormat="false" ht="14.25" hidden="false" customHeight="false" outlineLevel="0" collapsed="false">
      <c r="A866" s="74"/>
      <c r="B866" s="74"/>
      <c r="C866" s="74"/>
      <c r="D866" s="75"/>
      <c r="E866" s="75"/>
      <c r="F866" s="75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6"/>
      <c r="X866" s="80"/>
      <c r="Y866" s="77"/>
      <c r="Z866" s="77"/>
      <c r="AA866" s="77"/>
      <c r="AB866" s="74"/>
      <c r="AC866" s="78"/>
      <c r="AD866" s="74"/>
      <c r="AE866" s="74"/>
      <c r="AF866" s="78"/>
      <c r="AI866" s="74"/>
      <c r="AJ866" s="74"/>
      <c r="AK866" s="74"/>
      <c r="AL866" s="74"/>
      <c r="AM866" s="74"/>
      <c r="AN866" s="74"/>
    </row>
    <row r="867" customFormat="false" ht="14.25" hidden="false" customHeight="false" outlineLevel="0" collapsed="false">
      <c r="A867" s="74"/>
      <c r="B867" s="74"/>
      <c r="C867" s="74"/>
      <c r="D867" s="75"/>
      <c r="E867" s="75"/>
      <c r="F867" s="75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6"/>
      <c r="X867" s="80"/>
      <c r="Y867" s="77"/>
      <c r="Z867" s="77"/>
      <c r="AA867" s="77"/>
      <c r="AB867" s="74"/>
      <c r="AC867" s="78"/>
      <c r="AD867" s="74"/>
      <c r="AE867" s="74"/>
      <c r="AF867" s="78"/>
      <c r="AI867" s="74"/>
      <c r="AJ867" s="74"/>
      <c r="AK867" s="74"/>
      <c r="AL867" s="74"/>
      <c r="AM867" s="74"/>
      <c r="AN867" s="74"/>
    </row>
    <row r="868" customFormat="false" ht="14.25" hidden="false" customHeight="false" outlineLevel="0" collapsed="false">
      <c r="A868" s="74"/>
      <c r="B868" s="74"/>
      <c r="C868" s="74"/>
      <c r="D868" s="75"/>
      <c r="E868" s="75"/>
      <c r="F868" s="75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6"/>
      <c r="X868" s="80"/>
      <c r="Y868" s="77"/>
      <c r="Z868" s="77"/>
      <c r="AA868" s="77"/>
      <c r="AB868" s="74"/>
      <c r="AC868" s="78"/>
      <c r="AD868" s="74"/>
      <c r="AE868" s="74"/>
      <c r="AF868" s="78"/>
      <c r="AI868" s="74"/>
      <c r="AJ868" s="74"/>
      <c r="AK868" s="74"/>
      <c r="AL868" s="74"/>
      <c r="AM868" s="74"/>
      <c r="AN868" s="74"/>
    </row>
    <row r="869" customFormat="false" ht="14.25" hidden="false" customHeight="false" outlineLevel="0" collapsed="false">
      <c r="A869" s="74"/>
      <c r="B869" s="74"/>
      <c r="C869" s="74"/>
      <c r="D869" s="75"/>
      <c r="E869" s="75"/>
      <c r="F869" s="75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6"/>
      <c r="X869" s="80"/>
      <c r="Y869" s="77"/>
      <c r="Z869" s="77"/>
      <c r="AA869" s="77"/>
      <c r="AB869" s="74"/>
      <c r="AC869" s="78"/>
      <c r="AD869" s="74"/>
      <c r="AE869" s="74"/>
      <c r="AF869" s="78"/>
      <c r="AI869" s="74"/>
      <c r="AJ869" s="74"/>
      <c r="AK869" s="74"/>
      <c r="AL869" s="74"/>
      <c r="AM869" s="74"/>
      <c r="AN869" s="74"/>
    </row>
    <row r="870" customFormat="false" ht="14.25" hidden="false" customHeight="false" outlineLevel="0" collapsed="false">
      <c r="A870" s="74"/>
      <c r="B870" s="74"/>
      <c r="C870" s="74"/>
      <c r="D870" s="75"/>
      <c r="E870" s="75"/>
      <c r="F870" s="75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6"/>
      <c r="X870" s="80"/>
      <c r="Y870" s="77"/>
      <c r="Z870" s="77"/>
      <c r="AA870" s="77"/>
      <c r="AB870" s="74"/>
      <c r="AC870" s="78"/>
      <c r="AD870" s="74"/>
      <c r="AE870" s="74"/>
      <c r="AF870" s="78"/>
      <c r="AI870" s="74"/>
      <c r="AJ870" s="74"/>
      <c r="AK870" s="74"/>
      <c r="AL870" s="74"/>
      <c r="AM870" s="74"/>
      <c r="AN870" s="74"/>
    </row>
    <row r="871" customFormat="false" ht="14.25" hidden="false" customHeight="false" outlineLevel="0" collapsed="false">
      <c r="A871" s="74"/>
      <c r="B871" s="74"/>
      <c r="C871" s="74"/>
      <c r="D871" s="75"/>
      <c r="E871" s="75"/>
      <c r="F871" s="75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6"/>
      <c r="X871" s="80"/>
      <c r="Y871" s="77"/>
      <c r="Z871" s="77"/>
      <c r="AA871" s="77"/>
      <c r="AB871" s="74"/>
      <c r="AC871" s="78"/>
      <c r="AD871" s="74"/>
      <c r="AE871" s="74"/>
      <c r="AF871" s="78"/>
      <c r="AI871" s="74"/>
      <c r="AJ871" s="74"/>
      <c r="AK871" s="74"/>
      <c r="AL871" s="74"/>
      <c r="AM871" s="74"/>
      <c r="AN871" s="74"/>
    </row>
    <row r="872" customFormat="false" ht="14.25" hidden="false" customHeight="false" outlineLevel="0" collapsed="false">
      <c r="A872" s="74"/>
      <c r="B872" s="74"/>
      <c r="C872" s="74"/>
      <c r="D872" s="75"/>
      <c r="E872" s="75"/>
      <c r="F872" s="75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6"/>
      <c r="X872" s="80"/>
      <c r="Y872" s="77"/>
      <c r="Z872" s="77"/>
      <c r="AA872" s="77"/>
      <c r="AB872" s="74"/>
      <c r="AC872" s="78"/>
      <c r="AD872" s="74"/>
      <c r="AE872" s="74"/>
      <c r="AF872" s="78"/>
      <c r="AI872" s="74"/>
      <c r="AJ872" s="74"/>
      <c r="AK872" s="74"/>
      <c r="AL872" s="74"/>
      <c r="AM872" s="74"/>
      <c r="AN872" s="74"/>
    </row>
    <row r="873" customFormat="false" ht="14.25" hidden="false" customHeight="false" outlineLevel="0" collapsed="false">
      <c r="A873" s="74"/>
      <c r="B873" s="74"/>
      <c r="C873" s="74"/>
      <c r="D873" s="75"/>
      <c r="E873" s="75"/>
      <c r="F873" s="75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6"/>
      <c r="X873" s="80"/>
      <c r="Y873" s="77"/>
      <c r="Z873" s="77"/>
      <c r="AA873" s="77"/>
      <c r="AB873" s="74"/>
      <c r="AC873" s="78"/>
      <c r="AD873" s="74"/>
      <c r="AE873" s="74"/>
      <c r="AF873" s="78"/>
      <c r="AI873" s="74"/>
      <c r="AJ873" s="74"/>
      <c r="AK873" s="74"/>
      <c r="AL873" s="74"/>
      <c r="AM873" s="74"/>
      <c r="AN873" s="74"/>
    </row>
    <row r="874" customFormat="false" ht="14.25" hidden="false" customHeight="false" outlineLevel="0" collapsed="false">
      <c r="A874" s="74"/>
      <c r="B874" s="74"/>
      <c r="C874" s="74"/>
      <c r="D874" s="75"/>
      <c r="E874" s="75"/>
      <c r="F874" s="75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6"/>
      <c r="X874" s="80"/>
      <c r="Y874" s="77"/>
      <c r="Z874" s="77"/>
      <c r="AA874" s="77"/>
      <c r="AB874" s="74"/>
      <c r="AC874" s="78"/>
      <c r="AD874" s="74"/>
      <c r="AE874" s="74"/>
      <c r="AF874" s="78"/>
      <c r="AI874" s="74"/>
      <c r="AJ874" s="74"/>
      <c r="AK874" s="74"/>
      <c r="AL874" s="74"/>
      <c r="AM874" s="74"/>
      <c r="AN874" s="74"/>
    </row>
    <row r="875" customFormat="false" ht="14.25" hidden="false" customHeight="false" outlineLevel="0" collapsed="false">
      <c r="A875" s="74"/>
      <c r="B875" s="74"/>
      <c r="C875" s="74"/>
      <c r="D875" s="75"/>
      <c r="E875" s="75"/>
      <c r="F875" s="75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6"/>
      <c r="X875" s="80"/>
      <c r="Y875" s="77"/>
      <c r="Z875" s="77"/>
      <c r="AA875" s="77"/>
      <c r="AB875" s="74"/>
      <c r="AC875" s="78"/>
      <c r="AD875" s="74"/>
      <c r="AE875" s="74"/>
      <c r="AF875" s="78"/>
      <c r="AI875" s="74"/>
      <c r="AJ875" s="74"/>
      <c r="AK875" s="74"/>
      <c r="AL875" s="74"/>
      <c r="AM875" s="74"/>
      <c r="AN875" s="74"/>
    </row>
    <row r="876" customFormat="false" ht="14.25" hidden="false" customHeight="false" outlineLevel="0" collapsed="false">
      <c r="A876" s="74"/>
      <c r="B876" s="74"/>
      <c r="C876" s="74"/>
      <c r="D876" s="75"/>
      <c r="E876" s="75"/>
      <c r="F876" s="75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6"/>
      <c r="X876" s="80"/>
      <c r="Y876" s="77"/>
      <c r="Z876" s="77"/>
      <c r="AA876" s="77"/>
      <c r="AB876" s="74"/>
      <c r="AC876" s="78"/>
      <c r="AD876" s="74"/>
      <c r="AE876" s="74"/>
      <c r="AF876" s="78"/>
      <c r="AI876" s="74"/>
      <c r="AJ876" s="74"/>
      <c r="AK876" s="74"/>
      <c r="AL876" s="74"/>
      <c r="AM876" s="74"/>
      <c r="AN876" s="74"/>
    </row>
    <row r="877" customFormat="false" ht="14.25" hidden="false" customHeight="false" outlineLevel="0" collapsed="false">
      <c r="A877" s="74"/>
      <c r="B877" s="74"/>
      <c r="C877" s="74"/>
      <c r="D877" s="75"/>
      <c r="E877" s="75"/>
      <c r="F877" s="75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6"/>
      <c r="X877" s="80"/>
      <c r="Y877" s="77"/>
      <c r="Z877" s="77"/>
      <c r="AA877" s="77"/>
      <c r="AB877" s="74"/>
      <c r="AC877" s="78"/>
      <c r="AD877" s="74"/>
      <c r="AE877" s="74"/>
      <c r="AF877" s="78"/>
      <c r="AI877" s="74"/>
      <c r="AJ877" s="74"/>
      <c r="AK877" s="74"/>
      <c r="AL877" s="74"/>
      <c r="AM877" s="74"/>
      <c r="AN877" s="74"/>
    </row>
    <row r="878" customFormat="false" ht="14.25" hidden="false" customHeight="false" outlineLevel="0" collapsed="false">
      <c r="A878" s="74"/>
      <c r="B878" s="74"/>
      <c r="C878" s="74"/>
      <c r="D878" s="75"/>
      <c r="E878" s="75"/>
      <c r="F878" s="75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6"/>
      <c r="X878" s="80"/>
      <c r="Y878" s="77"/>
      <c r="Z878" s="77"/>
      <c r="AA878" s="77"/>
      <c r="AB878" s="74"/>
      <c r="AC878" s="78"/>
      <c r="AD878" s="74"/>
      <c r="AE878" s="74"/>
      <c r="AF878" s="78"/>
      <c r="AI878" s="74"/>
      <c r="AJ878" s="74"/>
      <c r="AK878" s="74"/>
      <c r="AL878" s="74"/>
      <c r="AM878" s="74"/>
      <c r="AN878" s="74"/>
    </row>
    <row r="879" customFormat="false" ht="14.25" hidden="false" customHeight="false" outlineLevel="0" collapsed="false">
      <c r="A879" s="74"/>
      <c r="B879" s="74"/>
      <c r="C879" s="74"/>
      <c r="D879" s="75"/>
      <c r="E879" s="75"/>
      <c r="F879" s="75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6"/>
      <c r="X879" s="80"/>
      <c r="Y879" s="77"/>
      <c r="Z879" s="77"/>
      <c r="AA879" s="77"/>
      <c r="AB879" s="74"/>
      <c r="AC879" s="78"/>
      <c r="AD879" s="74"/>
      <c r="AE879" s="74"/>
      <c r="AF879" s="78"/>
      <c r="AI879" s="74"/>
      <c r="AJ879" s="74"/>
      <c r="AK879" s="74"/>
      <c r="AL879" s="74"/>
      <c r="AM879" s="74"/>
      <c r="AN879" s="74"/>
    </row>
    <row r="880" customFormat="false" ht="14.25" hidden="false" customHeight="false" outlineLevel="0" collapsed="false">
      <c r="A880" s="74"/>
      <c r="B880" s="74"/>
      <c r="C880" s="74"/>
      <c r="D880" s="75"/>
      <c r="E880" s="75"/>
      <c r="F880" s="75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6"/>
      <c r="X880" s="80"/>
      <c r="Y880" s="77"/>
      <c r="Z880" s="77"/>
      <c r="AA880" s="77"/>
      <c r="AB880" s="74"/>
      <c r="AC880" s="78"/>
      <c r="AD880" s="74"/>
      <c r="AE880" s="74"/>
      <c r="AF880" s="78"/>
      <c r="AI880" s="74"/>
      <c r="AJ880" s="74"/>
      <c r="AK880" s="74"/>
      <c r="AL880" s="74"/>
      <c r="AM880" s="74"/>
      <c r="AN880" s="74"/>
    </row>
    <row r="881" customFormat="false" ht="14.25" hidden="false" customHeight="false" outlineLevel="0" collapsed="false">
      <c r="A881" s="74"/>
      <c r="B881" s="74"/>
      <c r="C881" s="74"/>
      <c r="D881" s="75"/>
      <c r="E881" s="75"/>
      <c r="F881" s="75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6"/>
      <c r="X881" s="80"/>
      <c r="Y881" s="77"/>
      <c r="Z881" s="77"/>
      <c r="AA881" s="77"/>
      <c r="AB881" s="74"/>
      <c r="AC881" s="78"/>
      <c r="AD881" s="74"/>
      <c r="AE881" s="74"/>
      <c r="AF881" s="78"/>
      <c r="AI881" s="74"/>
      <c r="AJ881" s="74"/>
      <c r="AK881" s="74"/>
      <c r="AL881" s="74"/>
      <c r="AM881" s="74"/>
      <c r="AN881" s="74"/>
    </row>
    <row r="882" customFormat="false" ht="14.25" hidden="false" customHeight="false" outlineLevel="0" collapsed="false">
      <c r="A882" s="74"/>
      <c r="B882" s="74"/>
      <c r="C882" s="74"/>
      <c r="D882" s="75"/>
      <c r="E882" s="75"/>
      <c r="F882" s="75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6"/>
      <c r="X882" s="80"/>
      <c r="Y882" s="77"/>
      <c r="Z882" s="77"/>
      <c r="AA882" s="77"/>
      <c r="AB882" s="74"/>
      <c r="AC882" s="78"/>
      <c r="AD882" s="74"/>
      <c r="AE882" s="74"/>
      <c r="AF882" s="78"/>
      <c r="AI882" s="74"/>
      <c r="AJ882" s="74"/>
      <c r="AK882" s="74"/>
      <c r="AL882" s="74"/>
      <c r="AM882" s="74"/>
      <c r="AN882" s="74"/>
    </row>
    <row r="883" customFormat="false" ht="14.25" hidden="false" customHeight="false" outlineLevel="0" collapsed="false">
      <c r="A883" s="74"/>
      <c r="B883" s="74"/>
      <c r="C883" s="74"/>
      <c r="D883" s="75"/>
      <c r="E883" s="75"/>
      <c r="F883" s="75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6"/>
      <c r="X883" s="80"/>
      <c r="Y883" s="77"/>
      <c r="Z883" s="77"/>
      <c r="AA883" s="77"/>
      <c r="AB883" s="74"/>
      <c r="AC883" s="78"/>
      <c r="AD883" s="74"/>
      <c r="AE883" s="74"/>
      <c r="AF883" s="78"/>
      <c r="AI883" s="74"/>
      <c r="AJ883" s="74"/>
      <c r="AK883" s="74"/>
      <c r="AL883" s="74"/>
      <c r="AM883" s="74"/>
      <c r="AN883" s="74"/>
    </row>
    <row r="884" customFormat="false" ht="14.25" hidden="false" customHeight="false" outlineLevel="0" collapsed="false">
      <c r="A884" s="74"/>
      <c r="B884" s="74"/>
      <c r="C884" s="74"/>
      <c r="D884" s="75"/>
      <c r="E884" s="75"/>
      <c r="F884" s="75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6"/>
      <c r="X884" s="80"/>
      <c r="Y884" s="77"/>
      <c r="Z884" s="77"/>
      <c r="AA884" s="77"/>
      <c r="AB884" s="74"/>
      <c r="AC884" s="78"/>
      <c r="AD884" s="74"/>
      <c r="AE884" s="74"/>
      <c r="AF884" s="78"/>
      <c r="AI884" s="74"/>
      <c r="AJ884" s="74"/>
      <c r="AK884" s="74"/>
      <c r="AL884" s="74"/>
      <c r="AM884" s="74"/>
      <c r="AN884" s="74"/>
    </row>
    <row r="885" customFormat="false" ht="14.25" hidden="false" customHeight="false" outlineLevel="0" collapsed="false">
      <c r="A885" s="74"/>
      <c r="B885" s="74"/>
      <c r="C885" s="74"/>
      <c r="D885" s="75"/>
      <c r="E885" s="75"/>
      <c r="F885" s="75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6"/>
      <c r="X885" s="80"/>
      <c r="Y885" s="77"/>
      <c r="Z885" s="77"/>
      <c r="AA885" s="77"/>
      <c r="AB885" s="74"/>
      <c r="AC885" s="78"/>
      <c r="AD885" s="74"/>
      <c r="AE885" s="74"/>
      <c r="AF885" s="78"/>
      <c r="AI885" s="74"/>
      <c r="AJ885" s="74"/>
      <c r="AK885" s="74"/>
      <c r="AL885" s="74"/>
      <c r="AM885" s="74"/>
      <c r="AN885" s="74"/>
    </row>
    <row r="886" customFormat="false" ht="14.25" hidden="false" customHeight="false" outlineLevel="0" collapsed="false">
      <c r="A886" s="74"/>
      <c r="B886" s="74"/>
      <c r="C886" s="74"/>
      <c r="D886" s="75"/>
      <c r="E886" s="75"/>
      <c r="F886" s="75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6"/>
      <c r="X886" s="80"/>
      <c r="Y886" s="77"/>
      <c r="Z886" s="77"/>
      <c r="AA886" s="77"/>
      <c r="AB886" s="74"/>
      <c r="AC886" s="78"/>
      <c r="AD886" s="74"/>
      <c r="AE886" s="74"/>
      <c r="AF886" s="78"/>
      <c r="AI886" s="74"/>
      <c r="AJ886" s="74"/>
      <c r="AK886" s="74"/>
      <c r="AL886" s="74"/>
      <c r="AM886" s="74"/>
      <c r="AN886" s="74"/>
    </row>
    <row r="887" customFormat="false" ht="14.25" hidden="false" customHeight="false" outlineLevel="0" collapsed="false">
      <c r="A887" s="74"/>
      <c r="B887" s="74"/>
      <c r="C887" s="74"/>
      <c r="D887" s="75"/>
      <c r="E887" s="75"/>
      <c r="F887" s="75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6"/>
      <c r="X887" s="80"/>
      <c r="Y887" s="77"/>
      <c r="Z887" s="77"/>
      <c r="AA887" s="77"/>
      <c r="AB887" s="74"/>
      <c r="AC887" s="78"/>
      <c r="AD887" s="74"/>
      <c r="AE887" s="74"/>
      <c r="AF887" s="78"/>
      <c r="AI887" s="74"/>
      <c r="AJ887" s="74"/>
      <c r="AK887" s="74"/>
      <c r="AL887" s="74"/>
      <c r="AM887" s="74"/>
      <c r="AN887" s="74"/>
    </row>
    <row r="888" customFormat="false" ht="14.25" hidden="false" customHeight="false" outlineLevel="0" collapsed="false">
      <c r="A888" s="74"/>
      <c r="B888" s="74"/>
      <c r="C888" s="74"/>
      <c r="D888" s="75"/>
      <c r="E888" s="75"/>
      <c r="F888" s="75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6"/>
      <c r="X888" s="80"/>
      <c r="Y888" s="77"/>
      <c r="Z888" s="77"/>
      <c r="AA888" s="77"/>
      <c r="AB888" s="74"/>
      <c r="AC888" s="78"/>
      <c r="AD888" s="74"/>
      <c r="AE888" s="74"/>
      <c r="AF888" s="78"/>
      <c r="AI888" s="74"/>
      <c r="AJ888" s="74"/>
      <c r="AK888" s="74"/>
      <c r="AL888" s="74"/>
      <c r="AM888" s="74"/>
      <c r="AN888" s="74"/>
    </row>
    <row r="889" customFormat="false" ht="14.25" hidden="false" customHeight="false" outlineLevel="0" collapsed="false">
      <c r="A889" s="74"/>
      <c r="B889" s="74"/>
      <c r="C889" s="74"/>
      <c r="D889" s="75"/>
      <c r="E889" s="75"/>
      <c r="F889" s="75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6"/>
      <c r="X889" s="80"/>
      <c r="Y889" s="77"/>
      <c r="Z889" s="77"/>
      <c r="AA889" s="77"/>
      <c r="AB889" s="74"/>
      <c r="AC889" s="78"/>
      <c r="AD889" s="74"/>
      <c r="AE889" s="74"/>
      <c r="AF889" s="78"/>
      <c r="AI889" s="74"/>
      <c r="AJ889" s="74"/>
      <c r="AK889" s="74"/>
      <c r="AL889" s="74"/>
      <c r="AM889" s="74"/>
      <c r="AN889" s="74"/>
    </row>
    <row r="890" customFormat="false" ht="14.25" hidden="false" customHeight="false" outlineLevel="0" collapsed="false">
      <c r="A890" s="74"/>
      <c r="B890" s="74"/>
      <c r="C890" s="74"/>
      <c r="D890" s="75"/>
      <c r="E890" s="75"/>
      <c r="F890" s="75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6"/>
      <c r="X890" s="80"/>
      <c r="Y890" s="77"/>
      <c r="Z890" s="77"/>
      <c r="AA890" s="77"/>
      <c r="AB890" s="74"/>
      <c r="AC890" s="78"/>
      <c r="AD890" s="74"/>
      <c r="AE890" s="74"/>
      <c r="AF890" s="78"/>
      <c r="AI890" s="74"/>
      <c r="AJ890" s="74"/>
      <c r="AK890" s="74"/>
      <c r="AL890" s="74"/>
      <c r="AM890" s="74"/>
      <c r="AN890" s="74"/>
    </row>
    <row r="891" customFormat="false" ht="14.25" hidden="false" customHeight="false" outlineLevel="0" collapsed="false">
      <c r="A891" s="74"/>
      <c r="B891" s="74"/>
      <c r="C891" s="74"/>
      <c r="D891" s="75"/>
      <c r="E891" s="75"/>
      <c r="F891" s="75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6"/>
      <c r="X891" s="80"/>
      <c r="Y891" s="77"/>
      <c r="Z891" s="77"/>
      <c r="AA891" s="77"/>
      <c r="AB891" s="74"/>
      <c r="AC891" s="78"/>
      <c r="AD891" s="74"/>
      <c r="AE891" s="74"/>
      <c r="AF891" s="78"/>
      <c r="AI891" s="74"/>
      <c r="AJ891" s="74"/>
      <c r="AK891" s="74"/>
      <c r="AL891" s="74"/>
      <c r="AM891" s="74"/>
      <c r="AN891" s="74"/>
    </row>
    <row r="892" customFormat="false" ht="14.25" hidden="false" customHeight="false" outlineLevel="0" collapsed="false">
      <c r="A892" s="74"/>
      <c r="B892" s="74"/>
      <c r="C892" s="74"/>
      <c r="D892" s="75"/>
      <c r="E892" s="75"/>
      <c r="F892" s="75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6"/>
      <c r="X892" s="80"/>
      <c r="Y892" s="77"/>
      <c r="Z892" s="77"/>
      <c r="AA892" s="77"/>
      <c r="AB892" s="74"/>
      <c r="AC892" s="78"/>
      <c r="AD892" s="74"/>
      <c r="AE892" s="74"/>
      <c r="AF892" s="78"/>
      <c r="AI892" s="74"/>
      <c r="AJ892" s="74"/>
      <c r="AK892" s="74"/>
      <c r="AL892" s="74"/>
      <c r="AM892" s="74"/>
      <c r="AN892" s="74"/>
    </row>
    <row r="893" customFormat="false" ht="14.25" hidden="false" customHeight="false" outlineLevel="0" collapsed="false">
      <c r="A893" s="74"/>
      <c r="B893" s="74"/>
      <c r="C893" s="74"/>
      <c r="D893" s="75"/>
      <c r="E893" s="75"/>
      <c r="F893" s="75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6"/>
      <c r="X893" s="80"/>
      <c r="Y893" s="77"/>
      <c r="Z893" s="77"/>
      <c r="AA893" s="77"/>
      <c r="AB893" s="74"/>
      <c r="AC893" s="78"/>
      <c r="AD893" s="74"/>
      <c r="AE893" s="74"/>
      <c r="AF893" s="78"/>
      <c r="AI893" s="74"/>
      <c r="AJ893" s="74"/>
      <c r="AK893" s="74"/>
      <c r="AL893" s="74"/>
      <c r="AM893" s="74"/>
      <c r="AN893" s="74"/>
    </row>
    <row r="894" customFormat="false" ht="14.25" hidden="false" customHeight="false" outlineLevel="0" collapsed="false">
      <c r="A894" s="74"/>
      <c r="B894" s="74"/>
      <c r="C894" s="74"/>
      <c r="D894" s="75"/>
      <c r="E894" s="75"/>
      <c r="F894" s="75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6"/>
      <c r="X894" s="80"/>
      <c r="Y894" s="77"/>
      <c r="Z894" s="77"/>
      <c r="AA894" s="77"/>
      <c r="AB894" s="74"/>
      <c r="AC894" s="78"/>
      <c r="AD894" s="74"/>
      <c r="AE894" s="74"/>
      <c r="AF894" s="78"/>
      <c r="AI894" s="74"/>
      <c r="AJ894" s="74"/>
      <c r="AK894" s="74"/>
      <c r="AL894" s="74"/>
      <c r="AM894" s="74"/>
      <c r="AN894" s="74"/>
    </row>
    <row r="895" customFormat="false" ht="14.25" hidden="false" customHeight="false" outlineLevel="0" collapsed="false">
      <c r="A895" s="74"/>
      <c r="B895" s="74"/>
      <c r="C895" s="74"/>
      <c r="D895" s="75"/>
      <c r="E895" s="75"/>
      <c r="F895" s="75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6"/>
      <c r="X895" s="80"/>
      <c r="Y895" s="77"/>
      <c r="Z895" s="77"/>
      <c r="AA895" s="77"/>
      <c r="AB895" s="74"/>
      <c r="AC895" s="78"/>
      <c r="AD895" s="74"/>
      <c r="AE895" s="74"/>
      <c r="AF895" s="78"/>
      <c r="AI895" s="74"/>
      <c r="AJ895" s="74"/>
      <c r="AK895" s="74"/>
      <c r="AL895" s="74"/>
      <c r="AM895" s="74"/>
      <c r="AN895" s="74"/>
    </row>
    <row r="896" customFormat="false" ht="14.25" hidden="false" customHeight="false" outlineLevel="0" collapsed="false">
      <c r="A896" s="74"/>
      <c r="B896" s="74"/>
      <c r="C896" s="74"/>
      <c r="D896" s="75"/>
      <c r="E896" s="75"/>
      <c r="F896" s="75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6"/>
      <c r="X896" s="80"/>
      <c r="Y896" s="77"/>
      <c r="Z896" s="77"/>
      <c r="AA896" s="77"/>
      <c r="AB896" s="74"/>
      <c r="AC896" s="78"/>
      <c r="AD896" s="74"/>
      <c r="AE896" s="74"/>
      <c r="AF896" s="78"/>
      <c r="AI896" s="74"/>
      <c r="AJ896" s="74"/>
      <c r="AK896" s="74"/>
      <c r="AL896" s="74"/>
      <c r="AM896" s="74"/>
      <c r="AN896" s="74"/>
    </row>
    <row r="897" customFormat="false" ht="14.25" hidden="false" customHeight="false" outlineLevel="0" collapsed="false">
      <c r="A897" s="74"/>
      <c r="B897" s="74"/>
      <c r="C897" s="74"/>
      <c r="D897" s="75"/>
      <c r="E897" s="75"/>
      <c r="F897" s="75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6"/>
      <c r="X897" s="80"/>
      <c r="Y897" s="77"/>
      <c r="Z897" s="77"/>
      <c r="AA897" s="77"/>
      <c r="AB897" s="74"/>
      <c r="AC897" s="78"/>
      <c r="AD897" s="74"/>
      <c r="AE897" s="74"/>
      <c r="AF897" s="78"/>
      <c r="AI897" s="74"/>
      <c r="AJ897" s="74"/>
      <c r="AK897" s="74"/>
      <c r="AL897" s="74"/>
      <c r="AM897" s="74"/>
      <c r="AN897" s="74"/>
    </row>
    <row r="898" customFormat="false" ht="14.25" hidden="false" customHeight="false" outlineLevel="0" collapsed="false">
      <c r="A898" s="74"/>
      <c r="B898" s="74"/>
      <c r="C898" s="74"/>
      <c r="D898" s="75"/>
      <c r="E898" s="75"/>
      <c r="F898" s="75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6"/>
      <c r="X898" s="80"/>
      <c r="Y898" s="77"/>
      <c r="Z898" s="77"/>
      <c r="AA898" s="77"/>
      <c r="AB898" s="74"/>
      <c r="AC898" s="78"/>
      <c r="AD898" s="74"/>
      <c r="AE898" s="74"/>
      <c r="AF898" s="78"/>
      <c r="AI898" s="74"/>
      <c r="AJ898" s="74"/>
      <c r="AK898" s="74"/>
      <c r="AL898" s="74"/>
      <c r="AM898" s="74"/>
      <c r="AN898" s="74"/>
    </row>
    <row r="899" customFormat="false" ht="14.25" hidden="false" customHeight="false" outlineLevel="0" collapsed="false">
      <c r="A899" s="74"/>
      <c r="B899" s="74"/>
      <c r="C899" s="74"/>
      <c r="D899" s="75"/>
      <c r="E899" s="75"/>
      <c r="F899" s="75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6"/>
      <c r="X899" s="80"/>
      <c r="Y899" s="77"/>
      <c r="Z899" s="77"/>
      <c r="AA899" s="77"/>
      <c r="AB899" s="74"/>
      <c r="AC899" s="78"/>
      <c r="AD899" s="74"/>
      <c r="AE899" s="74"/>
      <c r="AF899" s="78"/>
      <c r="AI899" s="74"/>
      <c r="AJ899" s="74"/>
      <c r="AK899" s="74"/>
      <c r="AL899" s="74"/>
      <c r="AM899" s="74"/>
      <c r="AN899" s="74"/>
    </row>
    <row r="900" customFormat="false" ht="14.25" hidden="false" customHeight="false" outlineLevel="0" collapsed="false">
      <c r="A900" s="74"/>
      <c r="B900" s="74"/>
      <c r="C900" s="74"/>
      <c r="D900" s="75"/>
      <c r="E900" s="75"/>
      <c r="F900" s="75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6"/>
      <c r="X900" s="80"/>
      <c r="Y900" s="77"/>
      <c r="Z900" s="77"/>
      <c r="AA900" s="77"/>
      <c r="AB900" s="74"/>
      <c r="AC900" s="78"/>
      <c r="AD900" s="74"/>
      <c r="AE900" s="74"/>
      <c r="AF900" s="78"/>
      <c r="AI900" s="74"/>
      <c r="AJ900" s="74"/>
      <c r="AK900" s="74"/>
      <c r="AL900" s="74"/>
      <c r="AM900" s="74"/>
      <c r="AN900" s="74"/>
    </row>
    <row r="901" customFormat="false" ht="14.25" hidden="false" customHeight="false" outlineLevel="0" collapsed="false">
      <c r="A901" s="74"/>
      <c r="B901" s="74"/>
      <c r="C901" s="74"/>
      <c r="D901" s="75"/>
      <c r="E901" s="75"/>
      <c r="F901" s="75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6"/>
      <c r="X901" s="80"/>
      <c r="Y901" s="77"/>
      <c r="Z901" s="77"/>
      <c r="AA901" s="77"/>
      <c r="AB901" s="74"/>
      <c r="AC901" s="78"/>
      <c r="AD901" s="74"/>
      <c r="AE901" s="74"/>
      <c r="AF901" s="78"/>
      <c r="AI901" s="74"/>
      <c r="AJ901" s="74"/>
      <c r="AK901" s="74"/>
      <c r="AL901" s="74"/>
      <c r="AM901" s="74"/>
      <c r="AN901" s="74"/>
    </row>
    <row r="902" customFormat="false" ht="14.25" hidden="false" customHeight="false" outlineLevel="0" collapsed="false">
      <c r="A902" s="74"/>
      <c r="B902" s="74"/>
      <c r="C902" s="74"/>
      <c r="D902" s="75"/>
      <c r="E902" s="75"/>
      <c r="F902" s="75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6"/>
      <c r="X902" s="80"/>
      <c r="Y902" s="77"/>
      <c r="Z902" s="77"/>
      <c r="AA902" s="77"/>
      <c r="AB902" s="74"/>
      <c r="AC902" s="78"/>
      <c r="AD902" s="74"/>
      <c r="AE902" s="74"/>
      <c r="AF902" s="78"/>
      <c r="AI902" s="74"/>
      <c r="AJ902" s="74"/>
      <c r="AK902" s="74"/>
      <c r="AL902" s="74"/>
      <c r="AM902" s="74"/>
      <c r="AN902" s="74"/>
    </row>
    <row r="903" customFormat="false" ht="14.25" hidden="false" customHeight="false" outlineLevel="0" collapsed="false">
      <c r="A903" s="74"/>
      <c r="B903" s="74"/>
      <c r="C903" s="74"/>
      <c r="D903" s="75"/>
      <c r="E903" s="75"/>
      <c r="F903" s="75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6"/>
      <c r="X903" s="80"/>
      <c r="Y903" s="77"/>
      <c r="Z903" s="77"/>
      <c r="AA903" s="77"/>
      <c r="AB903" s="74"/>
      <c r="AC903" s="78"/>
      <c r="AD903" s="74"/>
      <c r="AE903" s="74"/>
      <c r="AF903" s="78"/>
      <c r="AI903" s="74"/>
      <c r="AJ903" s="74"/>
      <c r="AK903" s="74"/>
      <c r="AL903" s="74"/>
      <c r="AM903" s="74"/>
      <c r="AN903" s="74"/>
    </row>
    <row r="904" customFormat="false" ht="14.25" hidden="false" customHeight="false" outlineLevel="0" collapsed="false">
      <c r="A904" s="74"/>
      <c r="B904" s="74"/>
      <c r="C904" s="74"/>
      <c r="D904" s="75"/>
      <c r="E904" s="75"/>
      <c r="F904" s="75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6"/>
      <c r="X904" s="80"/>
      <c r="Y904" s="77"/>
      <c r="Z904" s="77"/>
      <c r="AA904" s="77"/>
      <c r="AB904" s="74"/>
      <c r="AC904" s="78"/>
      <c r="AD904" s="74"/>
      <c r="AE904" s="74"/>
      <c r="AF904" s="78"/>
      <c r="AI904" s="74"/>
      <c r="AJ904" s="74"/>
      <c r="AK904" s="74"/>
      <c r="AL904" s="74"/>
      <c r="AM904" s="74"/>
      <c r="AN904" s="74"/>
    </row>
    <row r="905" customFormat="false" ht="14.25" hidden="false" customHeight="false" outlineLevel="0" collapsed="false">
      <c r="A905" s="74"/>
      <c r="B905" s="74"/>
      <c r="C905" s="74"/>
      <c r="D905" s="75"/>
      <c r="E905" s="75"/>
      <c r="F905" s="75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6"/>
      <c r="X905" s="80"/>
      <c r="Y905" s="77"/>
      <c r="Z905" s="77"/>
      <c r="AA905" s="77"/>
      <c r="AB905" s="74"/>
      <c r="AC905" s="78"/>
      <c r="AD905" s="74"/>
      <c r="AE905" s="74"/>
      <c r="AF905" s="78"/>
      <c r="AI905" s="74"/>
      <c r="AJ905" s="74"/>
      <c r="AK905" s="74"/>
      <c r="AL905" s="74"/>
      <c r="AM905" s="74"/>
      <c r="AN905" s="74"/>
    </row>
    <row r="906" customFormat="false" ht="14.25" hidden="false" customHeight="false" outlineLevel="0" collapsed="false">
      <c r="A906" s="74"/>
      <c r="B906" s="74"/>
      <c r="C906" s="74"/>
      <c r="D906" s="75"/>
      <c r="E906" s="75"/>
      <c r="F906" s="75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6"/>
      <c r="X906" s="80"/>
      <c r="Y906" s="77"/>
      <c r="Z906" s="77"/>
      <c r="AA906" s="77"/>
      <c r="AB906" s="74"/>
      <c r="AC906" s="78"/>
      <c r="AD906" s="74"/>
      <c r="AE906" s="74"/>
      <c r="AF906" s="78"/>
      <c r="AI906" s="74"/>
      <c r="AJ906" s="74"/>
      <c r="AK906" s="74"/>
      <c r="AL906" s="74"/>
      <c r="AM906" s="74"/>
      <c r="AN906" s="74"/>
    </row>
    <row r="907" customFormat="false" ht="14.25" hidden="false" customHeight="false" outlineLevel="0" collapsed="false">
      <c r="A907" s="74"/>
      <c r="B907" s="74"/>
      <c r="C907" s="74"/>
      <c r="D907" s="75"/>
      <c r="E907" s="75"/>
      <c r="F907" s="75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6"/>
      <c r="X907" s="80"/>
      <c r="Y907" s="77"/>
      <c r="Z907" s="77"/>
      <c r="AA907" s="77"/>
      <c r="AB907" s="74"/>
      <c r="AC907" s="78"/>
      <c r="AD907" s="74"/>
      <c r="AE907" s="74"/>
      <c r="AF907" s="78"/>
      <c r="AI907" s="74"/>
      <c r="AJ907" s="74"/>
      <c r="AK907" s="74"/>
      <c r="AL907" s="74"/>
      <c r="AM907" s="74"/>
      <c r="AN907" s="74"/>
    </row>
    <row r="908" customFormat="false" ht="14.25" hidden="false" customHeight="false" outlineLevel="0" collapsed="false">
      <c r="A908" s="74"/>
      <c r="B908" s="74"/>
      <c r="C908" s="74"/>
      <c r="D908" s="75"/>
      <c r="E908" s="75"/>
      <c r="F908" s="75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6"/>
      <c r="X908" s="80"/>
      <c r="Y908" s="77"/>
      <c r="Z908" s="77"/>
      <c r="AA908" s="77"/>
      <c r="AB908" s="74"/>
      <c r="AC908" s="78"/>
      <c r="AD908" s="74"/>
      <c r="AE908" s="74"/>
      <c r="AF908" s="78"/>
      <c r="AI908" s="74"/>
      <c r="AJ908" s="74"/>
      <c r="AK908" s="74"/>
      <c r="AL908" s="74"/>
      <c r="AM908" s="74"/>
      <c r="AN908" s="74"/>
    </row>
    <row r="909" customFormat="false" ht="14.25" hidden="false" customHeight="false" outlineLevel="0" collapsed="false">
      <c r="A909" s="74"/>
      <c r="B909" s="74"/>
      <c r="C909" s="74"/>
      <c r="D909" s="75"/>
      <c r="E909" s="75"/>
      <c r="F909" s="75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6"/>
      <c r="X909" s="80"/>
      <c r="Y909" s="77"/>
      <c r="Z909" s="77"/>
      <c r="AA909" s="77"/>
      <c r="AB909" s="74"/>
      <c r="AC909" s="78"/>
      <c r="AD909" s="74"/>
      <c r="AE909" s="74"/>
      <c r="AF909" s="78"/>
      <c r="AI909" s="74"/>
      <c r="AJ909" s="74"/>
      <c r="AK909" s="74"/>
      <c r="AL909" s="74"/>
      <c r="AM909" s="74"/>
      <c r="AN909" s="74"/>
    </row>
    <row r="910" customFormat="false" ht="14.25" hidden="false" customHeight="false" outlineLevel="0" collapsed="false">
      <c r="A910" s="74"/>
      <c r="B910" s="74"/>
      <c r="C910" s="74"/>
      <c r="D910" s="75"/>
      <c r="E910" s="75"/>
      <c r="F910" s="75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6"/>
      <c r="X910" s="80"/>
      <c r="Y910" s="77"/>
      <c r="Z910" s="77"/>
      <c r="AA910" s="77"/>
      <c r="AB910" s="74"/>
      <c r="AC910" s="78"/>
      <c r="AD910" s="74"/>
      <c r="AE910" s="74"/>
      <c r="AF910" s="78"/>
      <c r="AI910" s="74"/>
      <c r="AJ910" s="74"/>
      <c r="AK910" s="74"/>
      <c r="AL910" s="74"/>
      <c r="AM910" s="74"/>
      <c r="AN910" s="74"/>
    </row>
    <row r="911" customFormat="false" ht="14.25" hidden="false" customHeight="false" outlineLevel="0" collapsed="false">
      <c r="A911" s="74"/>
      <c r="B911" s="74"/>
      <c r="C911" s="74"/>
      <c r="D911" s="75"/>
      <c r="E911" s="75"/>
      <c r="F911" s="75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6"/>
      <c r="X911" s="80"/>
      <c r="Y911" s="77"/>
      <c r="Z911" s="77"/>
      <c r="AA911" s="77"/>
      <c r="AB911" s="74"/>
      <c r="AC911" s="78"/>
      <c r="AD911" s="74"/>
      <c r="AE911" s="74"/>
      <c r="AF911" s="78"/>
      <c r="AI911" s="74"/>
      <c r="AJ911" s="74"/>
      <c r="AK911" s="74"/>
      <c r="AL911" s="74"/>
      <c r="AM911" s="74"/>
      <c r="AN911" s="74"/>
    </row>
    <row r="912" customFormat="false" ht="14.25" hidden="false" customHeight="false" outlineLevel="0" collapsed="false">
      <c r="A912" s="74"/>
      <c r="B912" s="74"/>
      <c r="C912" s="74"/>
      <c r="D912" s="75"/>
      <c r="E912" s="75"/>
      <c r="F912" s="75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6"/>
      <c r="X912" s="80"/>
      <c r="Y912" s="77"/>
      <c r="Z912" s="77"/>
      <c r="AA912" s="77"/>
      <c r="AB912" s="74"/>
      <c r="AC912" s="78"/>
      <c r="AD912" s="74"/>
      <c r="AE912" s="74"/>
      <c r="AF912" s="78"/>
      <c r="AI912" s="74"/>
      <c r="AJ912" s="74"/>
      <c r="AK912" s="74"/>
      <c r="AL912" s="74"/>
      <c r="AM912" s="74"/>
      <c r="AN912" s="74"/>
    </row>
    <row r="913" customFormat="false" ht="14.25" hidden="false" customHeight="false" outlineLevel="0" collapsed="false">
      <c r="A913" s="74"/>
      <c r="B913" s="74"/>
      <c r="C913" s="74"/>
      <c r="D913" s="75"/>
      <c r="E913" s="75"/>
      <c r="F913" s="75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6"/>
      <c r="X913" s="80"/>
      <c r="Y913" s="77"/>
      <c r="Z913" s="77"/>
      <c r="AA913" s="77"/>
      <c r="AB913" s="74"/>
      <c r="AC913" s="78"/>
      <c r="AD913" s="74"/>
      <c r="AE913" s="74"/>
      <c r="AF913" s="78"/>
      <c r="AI913" s="74"/>
      <c r="AJ913" s="74"/>
      <c r="AK913" s="74"/>
      <c r="AL913" s="74"/>
      <c r="AM913" s="74"/>
      <c r="AN913" s="74"/>
    </row>
    <row r="914" customFormat="false" ht="14.25" hidden="false" customHeight="false" outlineLevel="0" collapsed="false">
      <c r="A914" s="74"/>
      <c r="B914" s="74"/>
      <c r="C914" s="74"/>
      <c r="D914" s="75"/>
      <c r="E914" s="75"/>
      <c r="F914" s="75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6"/>
      <c r="X914" s="80"/>
      <c r="Y914" s="77"/>
      <c r="Z914" s="77"/>
      <c r="AA914" s="77"/>
      <c r="AB914" s="74"/>
      <c r="AC914" s="78"/>
      <c r="AD914" s="74"/>
      <c r="AE914" s="74"/>
      <c r="AF914" s="78"/>
      <c r="AI914" s="74"/>
      <c r="AJ914" s="74"/>
      <c r="AK914" s="74"/>
      <c r="AL914" s="74"/>
      <c r="AM914" s="74"/>
      <c r="AN914" s="74"/>
    </row>
    <row r="915" customFormat="false" ht="14.25" hidden="false" customHeight="false" outlineLevel="0" collapsed="false">
      <c r="A915" s="74"/>
      <c r="B915" s="74"/>
      <c r="C915" s="74"/>
      <c r="D915" s="75"/>
      <c r="E915" s="75"/>
      <c r="F915" s="75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6"/>
      <c r="X915" s="80"/>
      <c r="Y915" s="77"/>
      <c r="Z915" s="77"/>
      <c r="AA915" s="77"/>
      <c r="AB915" s="74"/>
      <c r="AC915" s="78"/>
      <c r="AD915" s="74"/>
      <c r="AE915" s="74"/>
      <c r="AF915" s="78"/>
      <c r="AI915" s="74"/>
      <c r="AJ915" s="74"/>
      <c r="AK915" s="74"/>
      <c r="AL915" s="74"/>
      <c r="AM915" s="74"/>
      <c r="AN915" s="74"/>
    </row>
    <row r="1031308" customFormat="false" ht="12.8" hidden="false" customHeight="false" outlineLevel="0" collapsed="false"/>
    <row r="1031309" customFormat="false" ht="12.8" hidden="false" customHeight="false" outlineLevel="0" collapsed="false"/>
    <row r="1031310" customFormat="false" ht="12.8" hidden="false" customHeight="false" outlineLevel="0" collapsed="false"/>
    <row r="1031311" customFormat="false" ht="12.8" hidden="false" customHeight="false" outlineLevel="0" collapsed="false"/>
    <row r="1031312" customFormat="false" ht="12.8" hidden="false" customHeight="false" outlineLevel="0" collapsed="false"/>
    <row r="1031313" customFormat="false" ht="12.8" hidden="false" customHeight="false" outlineLevel="0" collapsed="false"/>
    <row r="1031314" customFormat="false" ht="12.8" hidden="false" customHeight="false" outlineLevel="0" collapsed="false"/>
    <row r="1031315" customFormat="false" ht="12.8" hidden="false" customHeight="false" outlineLevel="0" collapsed="false"/>
    <row r="1031316" customFormat="false" ht="12.8" hidden="false" customHeight="false" outlineLevel="0" collapsed="false"/>
    <row r="1031317" customFormat="false" ht="12.8" hidden="false" customHeight="false" outlineLevel="0" collapsed="false"/>
    <row r="1031318" customFormat="false" ht="12.8" hidden="false" customHeight="false" outlineLevel="0" collapsed="false"/>
    <row r="1031319" customFormat="false" ht="12.8" hidden="false" customHeight="false" outlineLevel="0" collapsed="false"/>
    <row r="1031320" customFormat="false" ht="12.8" hidden="false" customHeight="false" outlineLevel="0" collapsed="false"/>
    <row r="1031321" customFormat="false" ht="12.8" hidden="false" customHeight="false" outlineLevel="0" collapsed="false"/>
    <row r="1031322" customFormat="false" ht="12.8" hidden="false" customHeight="false" outlineLevel="0" collapsed="false"/>
    <row r="1031323" customFormat="false" ht="12.8" hidden="false" customHeight="false" outlineLevel="0" collapsed="false"/>
    <row r="1031324" customFormat="false" ht="12.8" hidden="false" customHeight="false" outlineLevel="0" collapsed="false"/>
    <row r="1031325" customFormat="false" ht="12.8" hidden="false" customHeight="false" outlineLevel="0" collapsed="false"/>
    <row r="1031326" customFormat="false" ht="12.8" hidden="false" customHeight="false" outlineLevel="0" collapsed="false"/>
    <row r="1031327" customFormat="false" ht="12.8" hidden="false" customHeight="false" outlineLevel="0" collapsed="false"/>
    <row r="1031328" customFormat="false" ht="12.8" hidden="false" customHeight="false" outlineLevel="0" collapsed="false"/>
    <row r="1031329" customFormat="false" ht="12.8" hidden="false" customHeight="false" outlineLevel="0" collapsed="false"/>
    <row r="1031330" customFormat="false" ht="12.8" hidden="false" customHeight="false" outlineLevel="0" collapsed="false"/>
    <row r="1031331" customFormat="false" ht="12.8" hidden="false" customHeight="false" outlineLevel="0" collapsed="false"/>
    <row r="1031332" customFormat="false" ht="12.8" hidden="false" customHeight="false" outlineLevel="0" collapsed="false"/>
    <row r="1031333" customFormat="false" ht="12.8" hidden="false" customHeight="false" outlineLevel="0" collapsed="false"/>
    <row r="1031334" customFormat="false" ht="12.8" hidden="false" customHeight="false" outlineLevel="0" collapsed="false"/>
    <row r="1031335" customFormat="false" ht="12.8" hidden="false" customHeight="false" outlineLevel="0" collapsed="false"/>
    <row r="1031336" customFormat="false" ht="12.8" hidden="false" customHeight="false" outlineLevel="0" collapsed="false"/>
    <row r="1031337" customFormat="false" ht="12.8" hidden="false" customHeight="false" outlineLevel="0" collapsed="false"/>
    <row r="1031338" customFormat="false" ht="12.8" hidden="false" customHeight="false" outlineLevel="0" collapsed="false"/>
    <row r="1031339" customFormat="false" ht="12.8" hidden="false" customHeight="false" outlineLevel="0" collapsed="false"/>
    <row r="1031340" customFormat="false" ht="12.8" hidden="false" customHeight="false" outlineLevel="0" collapsed="false"/>
    <row r="1031341" customFormat="false" ht="12.8" hidden="false" customHeight="false" outlineLevel="0" collapsed="false"/>
    <row r="1031342" customFormat="false" ht="12.8" hidden="false" customHeight="false" outlineLevel="0" collapsed="false"/>
    <row r="1031343" customFormat="false" ht="12.8" hidden="false" customHeight="false" outlineLevel="0" collapsed="false"/>
    <row r="1031344" customFormat="false" ht="12.8" hidden="false" customHeight="false" outlineLevel="0" collapsed="false"/>
    <row r="1031345" customFormat="false" ht="12.8" hidden="false" customHeight="false" outlineLevel="0" collapsed="false"/>
    <row r="1031346" customFormat="false" ht="12.8" hidden="false" customHeight="false" outlineLevel="0" collapsed="false"/>
    <row r="1031347" customFormat="false" ht="12.8" hidden="false" customHeight="false" outlineLevel="0" collapsed="false"/>
    <row r="1031348" customFormat="false" ht="12.8" hidden="false" customHeight="false" outlineLevel="0" collapsed="false"/>
    <row r="1031349" customFormat="false" ht="12.8" hidden="false" customHeight="false" outlineLevel="0" collapsed="false"/>
    <row r="1031350" customFormat="false" ht="12.8" hidden="false" customHeight="false" outlineLevel="0" collapsed="false"/>
    <row r="1031351" customFormat="false" ht="12.8" hidden="false" customHeight="false" outlineLevel="0" collapsed="false"/>
    <row r="1031352" customFormat="false" ht="12.8" hidden="false" customHeight="false" outlineLevel="0" collapsed="false"/>
    <row r="1031353" customFormat="false" ht="12.8" hidden="false" customHeight="false" outlineLevel="0" collapsed="false"/>
    <row r="1031354" customFormat="false" ht="12.8" hidden="false" customHeight="false" outlineLevel="0" collapsed="false"/>
    <row r="1031355" customFormat="false" ht="12.8" hidden="false" customHeight="false" outlineLevel="0" collapsed="false"/>
    <row r="1031356" customFormat="false" ht="12.8" hidden="false" customHeight="false" outlineLevel="0" collapsed="false"/>
    <row r="1031357" customFormat="false" ht="12.8" hidden="false" customHeight="false" outlineLevel="0" collapsed="false"/>
    <row r="1031358" customFormat="false" ht="12.8" hidden="false" customHeight="false" outlineLevel="0" collapsed="false"/>
    <row r="1031359" customFormat="false" ht="12.8" hidden="false" customHeight="false" outlineLevel="0" collapsed="false"/>
    <row r="1031360" customFormat="false" ht="12.8" hidden="false" customHeight="false" outlineLevel="0" collapsed="false"/>
    <row r="1031361" customFormat="false" ht="12.8" hidden="false" customHeight="false" outlineLevel="0" collapsed="false"/>
    <row r="1031362" customFormat="false" ht="12.8" hidden="false" customHeight="false" outlineLevel="0" collapsed="false"/>
    <row r="1031363" customFormat="false" ht="12.8" hidden="false" customHeight="false" outlineLevel="0" collapsed="false"/>
    <row r="1031364" customFormat="false" ht="12.8" hidden="false" customHeight="false" outlineLevel="0" collapsed="false"/>
    <row r="1031365" customFormat="false" ht="12.8" hidden="false" customHeight="false" outlineLevel="0" collapsed="false"/>
    <row r="1031366" customFormat="false" ht="12.8" hidden="false" customHeight="false" outlineLevel="0" collapsed="false"/>
    <row r="1031367" customFormat="false" ht="12.8" hidden="false" customHeight="false" outlineLevel="0" collapsed="false"/>
    <row r="1031368" customFormat="false" ht="12.8" hidden="false" customHeight="false" outlineLevel="0" collapsed="false"/>
    <row r="1031369" customFormat="false" ht="12.8" hidden="false" customHeight="false" outlineLevel="0" collapsed="false"/>
    <row r="1031370" customFormat="false" ht="12.8" hidden="false" customHeight="false" outlineLevel="0" collapsed="false"/>
    <row r="1031371" customFormat="false" ht="12.8" hidden="false" customHeight="false" outlineLevel="0" collapsed="false"/>
    <row r="1031372" customFormat="false" ht="12.8" hidden="false" customHeight="false" outlineLevel="0" collapsed="false"/>
    <row r="1031373" customFormat="false" ht="12.8" hidden="false" customHeight="false" outlineLevel="0" collapsed="false"/>
    <row r="1031374" customFormat="false" ht="12.8" hidden="false" customHeight="false" outlineLevel="0" collapsed="false"/>
    <row r="1031375" customFormat="false" ht="12.8" hidden="false" customHeight="false" outlineLevel="0" collapsed="false"/>
    <row r="1031376" customFormat="false" ht="12.8" hidden="false" customHeight="false" outlineLevel="0" collapsed="false"/>
    <row r="1031377" customFormat="false" ht="12.8" hidden="false" customHeight="false" outlineLevel="0" collapsed="false"/>
    <row r="1031378" customFormat="false" ht="12.8" hidden="false" customHeight="false" outlineLevel="0" collapsed="false"/>
    <row r="1031379" customFormat="false" ht="12.8" hidden="false" customHeight="false" outlineLevel="0" collapsed="false"/>
    <row r="1031380" customFormat="false" ht="12.8" hidden="false" customHeight="false" outlineLevel="0" collapsed="false"/>
    <row r="1031381" customFormat="false" ht="12.8" hidden="false" customHeight="false" outlineLevel="0" collapsed="false"/>
    <row r="1031382" customFormat="false" ht="12.8" hidden="false" customHeight="false" outlineLevel="0" collapsed="false"/>
    <row r="1031383" customFormat="false" ht="12.8" hidden="false" customHeight="false" outlineLevel="0" collapsed="false"/>
    <row r="1031384" customFormat="false" ht="12.8" hidden="false" customHeight="false" outlineLevel="0" collapsed="false"/>
    <row r="1031385" customFormat="false" ht="12.8" hidden="false" customHeight="false" outlineLevel="0" collapsed="false"/>
    <row r="1031386" customFormat="false" ht="12.8" hidden="false" customHeight="false" outlineLevel="0" collapsed="false"/>
    <row r="1031387" customFormat="false" ht="12.8" hidden="false" customHeight="false" outlineLevel="0" collapsed="false"/>
    <row r="1031388" customFormat="false" ht="12.8" hidden="false" customHeight="false" outlineLevel="0" collapsed="false"/>
    <row r="1031389" customFormat="false" ht="12.8" hidden="false" customHeight="false" outlineLevel="0" collapsed="false"/>
    <row r="1031390" customFormat="false" ht="12.8" hidden="false" customHeight="false" outlineLevel="0" collapsed="false"/>
    <row r="1031391" customFormat="false" ht="12.8" hidden="false" customHeight="false" outlineLevel="0" collapsed="false"/>
    <row r="1031392" customFormat="false" ht="12.8" hidden="false" customHeight="false" outlineLevel="0" collapsed="false"/>
    <row r="1031393" customFormat="false" ht="12.8" hidden="false" customHeight="false" outlineLevel="0" collapsed="false"/>
    <row r="1031394" customFormat="false" ht="12.8" hidden="false" customHeight="false" outlineLevel="0" collapsed="false"/>
    <row r="1031395" customFormat="false" ht="12.8" hidden="false" customHeight="false" outlineLevel="0" collapsed="false"/>
    <row r="1031396" customFormat="false" ht="12.8" hidden="false" customHeight="false" outlineLevel="0" collapsed="false"/>
    <row r="1031397" customFormat="false" ht="12.8" hidden="false" customHeight="false" outlineLevel="0" collapsed="false"/>
    <row r="1031398" customFormat="false" ht="12.8" hidden="false" customHeight="false" outlineLevel="0" collapsed="false"/>
    <row r="1031399" customFormat="false" ht="12.8" hidden="false" customHeight="false" outlineLevel="0" collapsed="false"/>
    <row r="1031400" customFormat="false" ht="12.8" hidden="false" customHeight="false" outlineLevel="0" collapsed="false"/>
    <row r="1031401" customFormat="false" ht="12.8" hidden="false" customHeight="false" outlineLevel="0" collapsed="false"/>
    <row r="1031402" customFormat="false" ht="12.8" hidden="false" customHeight="false" outlineLevel="0" collapsed="false"/>
    <row r="1031403" customFormat="false" ht="12.8" hidden="false" customHeight="false" outlineLevel="0" collapsed="false"/>
    <row r="1031404" customFormat="false" ht="12.8" hidden="false" customHeight="false" outlineLevel="0" collapsed="false"/>
    <row r="1031405" customFormat="false" ht="12.8" hidden="false" customHeight="false" outlineLevel="0" collapsed="false"/>
    <row r="1031406" customFormat="false" ht="12.8" hidden="false" customHeight="false" outlineLevel="0" collapsed="false"/>
    <row r="1031407" customFormat="false" ht="12.8" hidden="false" customHeight="false" outlineLevel="0" collapsed="false"/>
    <row r="1031408" customFormat="false" ht="12.8" hidden="false" customHeight="false" outlineLevel="0" collapsed="false"/>
    <row r="1031409" customFormat="false" ht="12.8" hidden="false" customHeight="false" outlineLevel="0" collapsed="false"/>
    <row r="1031410" customFormat="false" ht="12.8" hidden="false" customHeight="false" outlineLevel="0" collapsed="false"/>
    <row r="1031411" customFormat="false" ht="12.8" hidden="false" customHeight="false" outlineLevel="0" collapsed="false"/>
    <row r="1031412" customFormat="false" ht="12.8" hidden="false" customHeight="false" outlineLevel="0" collapsed="false"/>
    <row r="1031413" customFormat="false" ht="12.8" hidden="false" customHeight="false" outlineLevel="0" collapsed="false"/>
    <row r="1031414" customFormat="false" ht="12.8" hidden="false" customHeight="false" outlineLevel="0" collapsed="false"/>
    <row r="1031415" customFormat="false" ht="12.8" hidden="false" customHeight="false" outlineLevel="0" collapsed="false"/>
    <row r="1031416" customFormat="false" ht="12.8" hidden="false" customHeight="false" outlineLevel="0" collapsed="false"/>
    <row r="1031417" customFormat="false" ht="12.8" hidden="false" customHeight="false" outlineLevel="0" collapsed="false"/>
    <row r="1031418" customFormat="false" ht="12.8" hidden="false" customHeight="false" outlineLevel="0" collapsed="false"/>
    <row r="1031419" customFormat="false" ht="12.8" hidden="false" customHeight="false" outlineLevel="0" collapsed="false"/>
    <row r="1031420" customFormat="false" ht="12.8" hidden="false" customHeight="false" outlineLevel="0" collapsed="false"/>
    <row r="1031421" customFormat="false" ht="12.8" hidden="false" customHeight="false" outlineLevel="0" collapsed="false"/>
    <row r="1031422" customFormat="false" ht="12.8" hidden="false" customHeight="false" outlineLevel="0" collapsed="false"/>
    <row r="1031423" customFormat="false" ht="12.8" hidden="false" customHeight="false" outlineLevel="0" collapsed="false"/>
    <row r="1031424" customFormat="false" ht="12.8" hidden="false" customHeight="false" outlineLevel="0" collapsed="false"/>
    <row r="1031425" customFormat="false" ht="12.8" hidden="false" customHeight="false" outlineLevel="0" collapsed="false"/>
    <row r="1031426" customFormat="false" ht="12.8" hidden="false" customHeight="false" outlineLevel="0" collapsed="false"/>
    <row r="1031427" customFormat="false" ht="12.8" hidden="false" customHeight="false" outlineLevel="0" collapsed="false"/>
    <row r="1031428" customFormat="false" ht="12.8" hidden="false" customHeight="false" outlineLevel="0" collapsed="false"/>
    <row r="1031429" customFormat="false" ht="12.8" hidden="false" customHeight="false" outlineLevel="0" collapsed="false"/>
    <row r="1031430" customFormat="false" ht="12.8" hidden="false" customHeight="false" outlineLevel="0" collapsed="false"/>
    <row r="1031431" customFormat="false" ht="12.8" hidden="false" customHeight="false" outlineLevel="0" collapsed="false"/>
    <row r="1031432" customFormat="false" ht="12.8" hidden="false" customHeight="false" outlineLevel="0" collapsed="false"/>
    <row r="1031433" customFormat="false" ht="12.8" hidden="false" customHeight="false" outlineLevel="0" collapsed="false"/>
    <row r="1031434" customFormat="false" ht="12.8" hidden="false" customHeight="false" outlineLevel="0" collapsed="false"/>
    <row r="1031435" customFormat="false" ht="12.8" hidden="false" customHeight="false" outlineLevel="0" collapsed="false"/>
    <row r="1031436" customFormat="false" ht="12.8" hidden="false" customHeight="false" outlineLevel="0" collapsed="false"/>
    <row r="1031437" customFormat="false" ht="12.8" hidden="false" customHeight="false" outlineLevel="0" collapsed="false"/>
    <row r="1031438" customFormat="false" ht="12.8" hidden="false" customHeight="false" outlineLevel="0" collapsed="false"/>
    <row r="1031439" customFormat="false" ht="12.8" hidden="false" customHeight="false" outlineLevel="0" collapsed="false"/>
    <row r="1031440" customFormat="false" ht="12.8" hidden="false" customHeight="false" outlineLevel="0" collapsed="false"/>
    <row r="1031441" customFormat="false" ht="12.8" hidden="false" customHeight="false" outlineLevel="0" collapsed="false"/>
    <row r="1031442" customFormat="false" ht="12.8" hidden="false" customHeight="false" outlineLevel="0" collapsed="false"/>
    <row r="1031443" customFormat="false" ht="12.8" hidden="false" customHeight="false" outlineLevel="0" collapsed="false"/>
    <row r="1031444" customFormat="false" ht="12.8" hidden="false" customHeight="false" outlineLevel="0" collapsed="false"/>
    <row r="1031445" customFormat="false" ht="12.8" hidden="false" customHeight="false" outlineLevel="0" collapsed="false"/>
    <row r="1031446" customFormat="false" ht="12.8" hidden="false" customHeight="false" outlineLevel="0" collapsed="false"/>
    <row r="1031447" customFormat="false" ht="12.8" hidden="false" customHeight="false" outlineLevel="0" collapsed="false"/>
    <row r="1031448" customFormat="false" ht="12.8" hidden="false" customHeight="false" outlineLevel="0" collapsed="false"/>
    <row r="1031449" customFormat="false" ht="12.8" hidden="false" customHeight="false" outlineLevel="0" collapsed="false"/>
    <row r="1031450" customFormat="false" ht="12.8" hidden="false" customHeight="false" outlineLevel="0" collapsed="false"/>
    <row r="1031451" customFormat="false" ht="12.8" hidden="false" customHeight="false" outlineLevel="0" collapsed="false"/>
    <row r="1031452" customFormat="false" ht="12.8" hidden="false" customHeight="false" outlineLevel="0" collapsed="false"/>
    <row r="1031453" customFormat="false" ht="12.8" hidden="false" customHeight="false" outlineLevel="0" collapsed="false"/>
    <row r="1031454" customFormat="false" ht="12.8" hidden="false" customHeight="false" outlineLevel="0" collapsed="false"/>
    <row r="1031455" customFormat="false" ht="12.8" hidden="false" customHeight="false" outlineLevel="0" collapsed="false"/>
    <row r="1031456" customFormat="false" ht="12.8" hidden="false" customHeight="false" outlineLevel="0" collapsed="false"/>
    <row r="1031457" customFormat="false" ht="12.8" hidden="false" customHeight="false" outlineLevel="0" collapsed="false"/>
    <row r="1031458" customFormat="false" ht="12.8" hidden="false" customHeight="false" outlineLevel="0" collapsed="false"/>
    <row r="1031459" customFormat="false" ht="12.8" hidden="false" customHeight="false" outlineLevel="0" collapsed="false"/>
    <row r="1031460" customFormat="false" ht="12.8" hidden="false" customHeight="false" outlineLevel="0" collapsed="false"/>
    <row r="1031461" customFormat="false" ht="12.8" hidden="false" customHeight="false" outlineLevel="0" collapsed="false"/>
    <row r="1031462" customFormat="false" ht="12.8" hidden="false" customHeight="false" outlineLevel="0" collapsed="false"/>
    <row r="1031463" customFormat="false" ht="12.8" hidden="false" customHeight="false" outlineLevel="0" collapsed="false"/>
    <row r="1031464" customFormat="false" ht="12.8" hidden="false" customHeight="false" outlineLevel="0" collapsed="false"/>
    <row r="1031465" customFormat="false" ht="12.8" hidden="false" customHeight="false" outlineLevel="0" collapsed="false"/>
    <row r="1031466" customFormat="false" ht="12.8" hidden="false" customHeight="false" outlineLevel="0" collapsed="false"/>
    <row r="1031467" customFormat="false" ht="12.8" hidden="false" customHeight="false" outlineLevel="0" collapsed="false"/>
    <row r="1031468" customFormat="false" ht="12.8" hidden="false" customHeight="false" outlineLevel="0" collapsed="false"/>
    <row r="1031469" customFormat="false" ht="12.8" hidden="false" customHeight="false" outlineLevel="0" collapsed="false"/>
    <row r="1031470" customFormat="false" ht="12.8" hidden="false" customHeight="false" outlineLevel="0" collapsed="false"/>
    <row r="1031471" customFormat="false" ht="12.8" hidden="false" customHeight="false" outlineLevel="0" collapsed="false"/>
    <row r="1031472" customFormat="false" ht="12.8" hidden="false" customHeight="false" outlineLevel="0" collapsed="false"/>
    <row r="1031473" customFormat="false" ht="12.8" hidden="false" customHeight="false" outlineLevel="0" collapsed="false"/>
    <row r="1031474" customFormat="false" ht="12.8" hidden="false" customHeight="false" outlineLevel="0" collapsed="false"/>
    <row r="1031475" customFormat="false" ht="12.8" hidden="false" customHeight="false" outlineLevel="0" collapsed="false"/>
    <row r="1031476" customFormat="false" ht="12.8" hidden="false" customHeight="false" outlineLevel="0" collapsed="false"/>
    <row r="1031477" customFormat="false" ht="12.8" hidden="false" customHeight="false" outlineLevel="0" collapsed="false"/>
    <row r="1031478" customFormat="false" ht="12.8" hidden="false" customHeight="false" outlineLevel="0" collapsed="false"/>
    <row r="1031479" customFormat="false" ht="12.8" hidden="false" customHeight="false" outlineLevel="0" collapsed="false"/>
    <row r="1031480" customFormat="false" ht="12.8" hidden="false" customHeight="false" outlineLevel="0" collapsed="false"/>
    <row r="1031481" customFormat="false" ht="12.8" hidden="false" customHeight="false" outlineLevel="0" collapsed="false"/>
    <row r="1031482" customFormat="false" ht="12.8" hidden="false" customHeight="false" outlineLevel="0" collapsed="false"/>
    <row r="1031483" customFormat="false" ht="12.8" hidden="false" customHeight="false" outlineLevel="0" collapsed="false"/>
    <row r="1031484" customFormat="false" ht="12.8" hidden="false" customHeight="false" outlineLevel="0" collapsed="false"/>
    <row r="1031485" customFormat="false" ht="12.8" hidden="false" customHeight="false" outlineLevel="0" collapsed="false"/>
    <row r="1031486" customFormat="false" ht="12.8" hidden="false" customHeight="false" outlineLevel="0" collapsed="false"/>
    <row r="1031487" customFormat="false" ht="12.8" hidden="false" customHeight="false" outlineLevel="0" collapsed="false"/>
    <row r="1031488" customFormat="false" ht="12.8" hidden="false" customHeight="false" outlineLevel="0" collapsed="false"/>
    <row r="1031489" customFormat="false" ht="12.8" hidden="false" customHeight="false" outlineLevel="0" collapsed="false"/>
    <row r="1031490" customFormat="false" ht="12.8" hidden="false" customHeight="false" outlineLevel="0" collapsed="false"/>
    <row r="1031491" customFormat="false" ht="12.8" hidden="false" customHeight="false" outlineLevel="0" collapsed="false"/>
    <row r="1031492" customFormat="false" ht="12.8" hidden="false" customHeight="false" outlineLevel="0" collapsed="false"/>
    <row r="1031493" customFormat="false" ht="12.8" hidden="false" customHeight="false" outlineLevel="0" collapsed="false"/>
    <row r="1031494" customFormat="false" ht="12.8" hidden="false" customHeight="false" outlineLevel="0" collapsed="false"/>
    <row r="1031495" customFormat="false" ht="12.8" hidden="false" customHeight="false" outlineLevel="0" collapsed="false"/>
    <row r="1031496" customFormat="false" ht="12.8" hidden="false" customHeight="false" outlineLevel="0" collapsed="false"/>
    <row r="1031497" customFormat="false" ht="12.8" hidden="false" customHeight="false" outlineLevel="0" collapsed="false"/>
    <row r="1031498" customFormat="false" ht="12.8" hidden="false" customHeight="false" outlineLevel="0" collapsed="false"/>
    <row r="1031499" customFormat="false" ht="12.8" hidden="false" customHeight="false" outlineLevel="0" collapsed="false"/>
    <row r="1031500" customFormat="false" ht="12.8" hidden="false" customHeight="false" outlineLevel="0" collapsed="false"/>
    <row r="1031501" customFormat="false" ht="12.8" hidden="false" customHeight="false" outlineLevel="0" collapsed="false"/>
    <row r="1031502" customFormat="false" ht="12.8" hidden="false" customHeight="false" outlineLevel="0" collapsed="false"/>
    <row r="1031503" customFormat="false" ht="12.8" hidden="false" customHeight="false" outlineLevel="0" collapsed="false"/>
    <row r="1031504" customFormat="false" ht="12.8" hidden="false" customHeight="false" outlineLevel="0" collapsed="false"/>
    <row r="1031505" customFormat="false" ht="12.8" hidden="false" customHeight="false" outlineLevel="0" collapsed="false"/>
    <row r="1031506" customFormat="false" ht="12.8" hidden="false" customHeight="false" outlineLevel="0" collapsed="false"/>
    <row r="1031507" customFormat="false" ht="12.8" hidden="false" customHeight="false" outlineLevel="0" collapsed="false"/>
    <row r="1031508" customFormat="false" ht="12.8" hidden="false" customHeight="false" outlineLevel="0" collapsed="false"/>
    <row r="1031509" customFormat="false" ht="12.8" hidden="false" customHeight="false" outlineLevel="0" collapsed="false"/>
    <row r="1031510" customFormat="false" ht="12.8" hidden="false" customHeight="false" outlineLevel="0" collapsed="false"/>
    <row r="1031511" customFormat="false" ht="12.8" hidden="false" customHeight="false" outlineLevel="0" collapsed="false"/>
    <row r="1031512" customFormat="false" ht="12.8" hidden="false" customHeight="false" outlineLevel="0" collapsed="false"/>
    <row r="1031513" customFormat="false" ht="12.8" hidden="false" customHeight="false" outlineLevel="0" collapsed="false"/>
    <row r="1031514" customFormat="false" ht="12.8" hidden="false" customHeight="false" outlineLevel="0" collapsed="false"/>
    <row r="1031515" customFormat="false" ht="12.8" hidden="false" customHeight="false" outlineLevel="0" collapsed="false"/>
    <row r="1031516" customFormat="false" ht="12.8" hidden="false" customHeight="false" outlineLevel="0" collapsed="false"/>
    <row r="1031517" customFormat="false" ht="12.8" hidden="false" customHeight="false" outlineLevel="0" collapsed="false"/>
    <row r="1031518" customFormat="false" ht="12.8" hidden="false" customHeight="false" outlineLevel="0" collapsed="false"/>
    <row r="1031519" customFormat="false" ht="12.8" hidden="false" customHeight="false" outlineLevel="0" collapsed="false"/>
    <row r="1031520" customFormat="false" ht="12.8" hidden="false" customHeight="false" outlineLevel="0" collapsed="false"/>
    <row r="1031521" customFormat="false" ht="12.8" hidden="false" customHeight="false" outlineLevel="0" collapsed="false"/>
    <row r="1031522" customFormat="false" ht="12.8" hidden="false" customHeight="false" outlineLevel="0" collapsed="false"/>
    <row r="1031523" customFormat="false" ht="12.8" hidden="false" customHeight="false" outlineLevel="0" collapsed="false"/>
    <row r="1031524" customFormat="false" ht="12.8" hidden="false" customHeight="false" outlineLevel="0" collapsed="false"/>
    <row r="1031525" customFormat="false" ht="12.8" hidden="false" customHeight="false" outlineLevel="0" collapsed="false"/>
    <row r="1031526" customFormat="false" ht="12.8" hidden="false" customHeight="false" outlineLevel="0" collapsed="false"/>
    <row r="1031527" customFormat="false" ht="12.8" hidden="false" customHeight="false" outlineLevel="0" collapsed="false"/>
    <row r="1031528" customFormat="false" ht="12.8" hidden="false" customHeight="false" outlineLevel="0" collapsed="false"/>
    <row r="1031529" customFormat="false" ht="12.8" hidden="false" customHeight="false" outlineLevel="0" collapsed="false"/>
    <row r="1031530" customFormat="false" ht="12.8" hidden="false" customHeight="false" outlineLevel="0" collapsed="false"/>
    <row r="1031531" customFormat="false" ht="12.8" hidden="false" customHeight="false" outlineLevel="0" collapsed="false"/>
    <row r="1031532" customFormat="false" ht="12.8" hidden="false" customHeight="false" outlineLevel="0" collapsed="false"/>
    <row r="1031533" customFormat="false" ht="12.8" hidden="false" customHeight="false" outlineLevel="0" collapsed="false"/>
    <row r="1031534" customFormat="false" ht="12.8" hidden="false" customHeight="false" outlineLevel="0" collapsed="false"/>
    <row r="1031535" customFormat="false" ht="12.8" hidden="false" customHeight="false" outlineLevel="0" collapsed="false"/>
    <row r="1031536" customFormat="false" ht="12.8" hidden="false" customHeight="false" outlineLevel="0" collapsed="false"/>
    <row r="1031537" customFormat="false" ht="12.8" hidden="false" customHeight="false" outlineLevel="0" collapsed="false"/>
    <row r="1031538" customFormat="false" ht="12.8" hidden="false" customHeight="false" outlineLevel="0" collapsed="false"/>
    <row r="1031539" customFormat="false" ht="12.8" hidden="false" customHeight="false" outlineLevel="0" collapsed="false"/>
    <row r="1031540" customFormat="false" ht="12.8" hidden="false" customHeight="false" outlineLevel="0" collapsed="false"/>
    <row r="1031541" customFormat="false" ht="12.8" hidden="false" customHeight="false" outlineLevel="0" collapsed="false"/>
    <row r="1031542" customFormat="false" ht="12.8" hidden="false" customHeight="false" outlineLevel="0" collapsed="false"/>
    <row r="1031543" customFormat="false" ht="12.8" hidden="false" customHeight="false" outlineLevel="0" collapsed="false"/>
    <row r="1031544" customFormat="false" ht="12.8" hidden="false" customHeight="false" outlineLevel="0" collapsed="false"/>
    <row r="1031545" customFormat="false" ht="12.8" hidden="false" customHeight="false" outlineLevel="0" collapsed="false"/>
    <row r="1031546" customFormat="false" ht="12.8" hidden="false" customHeight="false" outlineLevel="0" collapsed="false"/>
    <row r="1031547" customFormat="false" ht="12.8" hidden="false" customHeight="false" outlineLevel="0" collapsed="false"/>
    <row r="1031548" customFormat="false" ht="12.8" hidden="false" customHeight="false" outlineLevel="0" collapsed="false"/>
    <row r="1031549" customFormat="false" ht="12.8" hidden="false" customHeight="false" outlineLevel="0" collapsed="false"/>
    <row r="1031550" customFormat="false" ht="12.8" hidden="false" customHeight="false" outlineLevel="0" collapsed="false"/>
    <row r="1031551" customFormat="false" ht="12.8" hidden="false" customHeight="false" outlineLevel="0" collapsed="false"/>
    <row r="1031552" customFormat="false" ht="12.8" hidden="false" customHeight="false" outlineLevel="0" collapsed="false"/>
    <row r="1031553" customFormat="false" ht="12.8" hidden="false" customHeight="false" outlineLevel="0" collapsed="false"/>
    <row r="1031554" customFormat="false" ht="12.8" hidden="false" customHeight="false" outlineLevel="0" collapsed="false"/>
    <row r="1031555" customFormat="false" ht="12.8" hidden="false" customHeight="false" outlineLevel="0" collapsed="false"/>
    <row r="1031556" customFormat="false" ht="12.8" hidden="false" customHeight="false" outlineLevel="0" collapsed="false"/>
    <row r="1031557" customFormat="false" ht="12.8" hidden="false" customHeight="false" outlineLevel="0" collapsed="false"/>
    <row r="1031558" customFormat="false" ht="12.8" hidden="false" customHeight="false" outlineLevel="0" collapsed="false"/>
    <row r="1031559" customFormat="false" ht="12.8" hidden="false" customHeight="false" outlineLevel="0" collapsed="false"/>
    <row r="1031560" customFormat="false" ht="12.8" hidden="false" customHeight="false" outlineLevel="0" collapsed="false"/>
    <row r="1031561" customFormat="false" ht="12.8" hidden="false" customHeight="false" outlineLevel="0" collapsed="false"/>
    <row r="1031562" customFormat="false" ht="12.8" hidden="false" customHeight="false" outlineLevel="0" collapsed="false"/>
    <row r="1031563" customFormat="false" ht="12.8" hidden="false" customHeight="false" outlineLevel="0" collapsed="false"/>
    <row r="1031564" customFormat="false" ht="12.8" hidden="false" customHeight="false" outlineLevel="0" collapsed="false"/>
    <row r="1031565" customFormat="false" ht="12.8" hidden="false" customHeight="false" outlineLevel="0" collapsed="false"/>
    <row r="1031566" customFormat="false" ht="12.8" hidden="false" customHeight="false" outlineLevel="0" collapsed="false"/>
    <row r="1031567" customFormat="false" ht="12.8" hidden="false" customHeight="false" outlineLevel="0" collapsed="false"/>
    <row r="1031568" customFormat="false" ht="12.8" hidden="false" customHeight="false" outlineLevel="0" collapsed="false"/>
    <row r="1031569" customFormat="false" ht="12.8" hidden="false" customHeight="false" outlineLevel="0" collapsed="false"/>
    <row r="1031570" customFormat="false" ht="12.8" hidden="false" customHeight="false" outlineLevel="0" collapsed="false"/>
    <row r="1031571" customFormat="false" ht="12.8" hidden="false" customHeight="false" outlineLevel="0" collapsed="false"/>
    <row r="1031572" customFormat="false" ht="12.8" hidden="false" customHeight="false" outlineLevel="0" collapsed="false"/>
    <row r="1031573" customFormat="false" ht="12.8" hidden="false" customHeight="false" outlineLevel="0" collapsed="false"/>
    <row r="1031574" customFormat="false" ht="12.8" hidden="false" customHeight="false" outlineLevel="0" collapsed="false"/>
    <row r="1031575" customFormat="false" ht="12.8" hidden="false" customHeight="false" outlineLevel="0" collapsed="false"/>
    <row r="1031576" customFormat="false" ht="12.8" hidden="false" customHeight="false" outlineLevel="0" collapsed="false"/>
    <row r="1031577" customFormat="false" ht="12.8" hidden="false" customHeight="false" outlineLevel="0" collapsed="false"/>
    <row r="1031578" customFormat="false" ht="12.8" hidden="false" customHeight="false" outlineLevel="0" collapsed="false"/>
    <row r="1031579" customFormat="false" ht="12.8" hidden="false" customHeight="false" outlineLevel="0" collapsed="false"/>
    <row r="1031580" customFormat="false" ht="12.8" hidden="false" customHeight="false" outlineLevel="0" collapsed="false"/>
    <row r="1031581" customFormat="false" ht="12.8" hidden="false" customHeight="false" outlineLevel="0" collapsed="false"/>
    <row r="1031582" customFormat="false" ht="12.8" hidden="false" customHeight="false" outlineLevel="0" collapsed="false"/>
    <row r="1031583" customFormat="false" ht="12.8" hidden="false" customHeight="false" outlineLevel="0" collapsed="false"/>
    <row r="1031584" customFormat="false" ht="12.8" hidden="false" customHeight="false" outlineLevel="0" collapsed="false"/>
    <row r="1031585" customFormat="false" ht="12.8" hidden="false" customHeight="false" outlineLevel="0" collapsed="false"/>
    <row r="1031586" customFormat="false" ht="12.8" hidden="false" customHeight="false" outlineLevel="0" collapsed="false"/>
    <row r="1031587" customFormat="false" ht="12.8" hidden="false" customHeight="false" outlineLevel="0" collapsed="false"/>
    <row r="1031588" customFormat="false" ht="12.8" hidden="false" customHeight="false" outlineLevel="0" collapsed="false"/>
    <row r="1031589" customFormat="false" ht="12.8" hidden="false" customHeight="false" outlineLevel="0" collapsed="false"/>
    <row r="1031590" customFormat="false" ht="12.8" hidden="false" customHeight="false" outlineLevel="0" collapsed="false"/>
    <row r="1031591" customFormat="false" ht="12.8" hidden="false" customHeight="false" outlineLevel="0" collapsed="false"/>
    <row r="1031592" customFormat="false" ht="12.8" hidden="false" customHeight="false" outlineLevel="0" collapsed="false"/>
    <row r="1031593" customFormat="false" ht="12.8" hidden="false" customHeight="false" outlineLevel="0" collapsed="false"/>
    <row r="1031594" customFormat="false" ht="12.8" hidden="false" customHeight="false" outlineLevel="0" collapsed="false"/>
    <row r="1031595" customFormat="false" ht="12.8" hidden="false" customHeight="false" outlineLevel="0" collapsed="false"/>
    <row r="1031596" customFormat="false" ht="12.8" hidden="false" customHeight="false" outlineLevel="0" collapsed="false"/>
    <row r="1031597" customFormat="false" ht="12.8" hidden="false" customHeight="false" outlineLevel="0" collapsed="false"/>
    <row r="1031598" customFormat="false" ht="12.8" hidden="false" customHeight="false" outlineLevel="0" collapsed="false"/>
    <row r="1031599" customFormat="false" ht="12.8" hidden="false" customHeight="false" outlineLevel="0" collapsed="false"/>
    <row r="1031600" customFormat="false" ht="12.8" hidden="false" customHeight="false" outlineLevel="0" collapsed="false"/>
    <row r="1031601" customFormat="false" ht="12.8" hidden="false" customHeight="false" outlineLevel="0" collapsed="false"/>
    <row r="1031602" customFormat="false" ht="12.8" hidden="false" customHeight="false" outlineLevel="0" collapsed="false"/>
    <row r="1031603" customFormat="false" ht="12.8" hidden="false" customHeight="false" outlineLevel="0" collapsed="false"/>
    <row r="1031604" customFormat="false" ht="12.8" hidden="false" customHeight="false" outlineLevel="0" collapsed="false"/>
    <row r="1031605" customFormat="false" ht="12.8" hidden="false" customHeight="false" outlineLevel="0" collapsed="false"/>
    <row r="1031606" customFormat="false" ht="12.8" hidden="false" customHeight="false" outlineLevel="0" collapsed="false"/>
    <row r="1031607" customFormat="false" ht="12.8" hidden="false" customHeight="false" outlineLevel="0" collapsed="false"/>
    <row r="1031608" customFormat="false" ht="12.8" hidden="false" customHeight="false" outlineLevel="0" collapsed="false"/>
    <row r="1031609" customFormat="false" ht="12.8" hidden="false" customHeight="false" outlineLevel="0" collapsed="false"/>
    <row r="1031610" customFormat="false" ht="12.8" hidden="false" customHeight="false" outlineLevel="0" collapsed="false"/>
    <row r="1031611" customFormat="false" ht="12.8" hidden="false" customHeight="false" outlineLevel="0" collapsed="false"/>
    <row r="1031612" customFormat="false" ht="12.8" hidden="false" customHeight="false" outlineLevel="0" collapsed="false"/>
    <row r="1031613" customFormat="false" ht="12.8" hidden="false" customHeight="false" outlineLevel="0" collapsed="false"/>
    <row r="1031614" customFormat="false" ht="12.8" hidden="false" customHeight="false" outlineLevel="0" collapsed="false"/>
    <row r="1031615" customFormat="false" ht="12.8" hidden="false" customHeight="false" outlineLevel="0" collapsed="false"/>
    <row r="1031616" customFormat="false" ht="12.8" hidden="false" customHeight="false" outlineLevel="0" collapsed="false"/>
    <row r="1031617" customFormat="false" ht="12.8" hidden="false" customHeight="false" outlineLevel="0" collapsed="false"/>
    <row r="1031618" customFormat="false" ht="12.8" hidden="false" customHeight="false" outlineLevel="0" collapsed="false"/>
    <row r="1031619" customFormat="false" ht="12.8" hidden="false" customHeight="false" outlineLevel="0" collapsed="false"/>
    <row r="1031620" customFormat="false" ht="12.8" hidden="false" customHeight="false" outlineLevel="0" collapsed="false"/>
    <row r="1031621" customFormat="false" ht="12.8" hidden="false" customHeight="false" outlineLevel="0" collapsed="false"/>
    <row r="1031622" customFormat="false" ht="12.8" hidden="false" customHeight="false" outlineLevel="0" collapsed="false"/>
    <row r="1031623" customFormat="false" ht="12.8" hidden="false" customHeight="false" outlineLevel="0" collapsed="false"/>
    <row r="1031624" customFormat="false" ht="12.8" hidden="false" customHeight="false" outlineLevel="0" collapsed="false"/>
    <row r="1031625" customFormat="false" ht="12.8" hidden="false" customHeight="false" outlineLevel="0" collapsed="false"/>
    <row r="1031626" customFormat="false" ht="12.8" hidden="false" customHeight="false" outlineLevel="0" collapsed="false"/>
    <row r="1031627" customFormat="false" ht="12.8" hidden="false" customHeight="false" outlineLevel="0" collapsed="false"/>
    <row r="1031628" customFormat="false" ht="12.8" hidden="false" customHeight="false" outlineLevel="0" collapsed="false"/>
    <row r="1031629" customFormat="false" ht="12.8" hidden="false" customHeight="false" outlineLevel="0" collapsed="false"/>
    <row r="1031630" customFormat="false" ht="12.8" hidden="false" customHeight="false" outlineLevel="0" collapsed="false"/>
    <row r="1031631" customFormat="false" ht="12.8" hidden="false" customHeight="false" outlineLevel="0" collapsed="false"/>
    <row r="1031632" customFormat="false" ht="12.8" hidden="false" customHeight="false" outlineLevel="0" collapsed="false"/>
    <row r="1031633" customFormat="false" ht="12.8" hidden="false" customHeight="false" outlineLevel="0" collapsed="false"/>
    <row r="1031634" customFormat="false" ht="12.8" hidden="false" customHeight="false" outlineLevel="0" collapsed="false"/>
    <row r="1031635" customFormat="false" ht="12.8" hidden="false" customHeight="false" outlineLevel="0" collapsed="false"/>
    <row r="1031636" customFormat="false" ht="12.8" hidden="false" customHeight="false" outlineLevel="0" collapsed="false"/>
    <row r="1031637" customFormat="false" ht="12.8" hidden="false" customHeight="false" outlineLevel="0" collapsed="false"/>
    <row r="1031638" customFormat="false" ht="12.8" hidden="false" customHeight="false" outlineLevel="0" collapsed="false"/>
    <row r="1031639" customFormat="false" ht="12.8" hidden="false" customHeight="false" outlineLevel="0" collapsed="false"/>
    <row r="1031640" customFormat="false" ht="12.8" hidden="false" customHeight="false" outlineLevel="0" collapsed="false"/>
    <row r="1031641" customFormat="false" ht="12.8" hidden="false" customHeight="false" outlineLevel="0" collapsed="false"/>
    <row r="1031642" customFormat="false" ht="12.8" hidden="false" customHeight="false" outlineLevel="0" collapsed="false"/>
    <row r="1031643" customFormat="false" ht="12.8" hidden="false" customHeight="false" outlineLevel="0" collapsed="false"/>
    <row r="1031644" customFormat="false" ht="12.8" hidden="false" customHeight="false" outlineLevel="0" collapsed="false"/>
    <row r="1031645" customFormat="false" ht="12.8" hidden="false" customHeight="false" outlineLevel="0" collapsed="false"/>
    <row r="1031646" customFormat="false" ht="12.8" hidden="false" customHeight="false" outlineLevel="0" collapsed="false"/>
    <row r="1031647" customFormat="false" ht="12.8" hidden="false" customHeight="false" outlineLevel="0" collapsed="false"/>
    <row r="1031648" customFormat="false" ht="12.8" hidden="false" customHeight="false" outlineLevel="0" collapsed="false"/>
    <row r="1031649" customFormat="false" ht="12.8" hidden="false" customHeight="false" outlineLevel="0" collapsed="false"/>
    <row r="1031650" customFormat="false" ht="12.8" hidden="false" customHeight="false" outlineLevel="0" collapsed="false"/>
    <row r="1031651" customFormat="false" ht="12.8" hidden="false" customHeight="false" outlineLevel="0" collapsed="false"/>
    <row r="1031652" customFormat="false" ht="12.8" hidden="false" customHeight="false" outlineLevel="0" collapsed="false"/>
    <row r="1031653" customFormat="false" ht="12.8" hidden="false" customHeight="false" outlineLevel="0" collapsed="false"/>
    <row r="1031654" customFormat="false" ht="12.8" hidden="false" customHeight="false" outlineLevel="0" collapsed="false"/>
    <row r="1031655" customFormat="false" ht="12.8" hidden="false" customHeight="false" outlineLevel="0" collapsed="false"/>
    <row r="1031656" customFormat="false" ht="12.8" hidden="false" customHeight="false" outlineLevel="0" collapsed="false"/>
    <row r="1031657" customFormat="false" ht="12.8" hidden="false" customHeight="false" outlineLevel="0" collapsed="false"/>
    <row r="1031658" customFormat="false" ht="12.8" hidden="false" customHeight="false" outlineLevel="0" collapsed="false"/>
    <row r="1031659" customFormat="false" ht="12.8" hidden="false" customHeight="false" outlineLevel="0" collapsed="false"/>
    <row r="1031660" customFormat="false" ht="12.8" hidden="false" customHeight="false" outlineLevel="0" collapsed="false"/>
    <row r="1031661" customFormat="false" ht="12.8" hidden="false" customHeight="false" outlineLevel="0" collapsed="false"/>
    <row r="1031662" customFormat="false" ht="12.8" hidden="false" customHeight="false" outlineLevel="0" collapsed="false"/>
    <row r="1031663" customFormat="false" ht="12.8" hidden="false" customHeight="false" outlineLevel="0" collapsed="false"/>
    <row r="1031664" customFormat="false" ht="12.8" hidden="false" customHeight="false" outlineLevel="0" collapsed="false"/>
    <row r="1031665" customFormat="false" ht="12.8" hidden="false" customHeight="false" outlineLevel="0" collapsed="false"/>
    <row r="1031666" customFormat="false" ht="12.8" hidden="false" customHeight="false" outlineLevel="0" collapsed="false"/>
    <row r="1031667" customFormat="false" ht="12.8" hidden="false" customHeight="false" outlineLevel="0" collapsed="false"/>
    <row r="1031668" customFormat="false" ht="12.8" hidden="false" customHeight="false" outlineLevel="0" collapsed="false"/>
    <row r="1031669" customFormat="false" ht="12.8" hidden="false" customHeight="false" outlineLevel="0" collapsed="false"/>
    <row r="1031670" customFormat="false" ht="12.8" hidden="false" customHeight="false" outlineLevel="0" collapsed="false"/>
    <row r="1031671" customFormat="false" ht="12.8" hidden="false" customHeight="false" outlineLevel="0" collapsed="false"/>
    <row r="1031672" customFormat="false" ht="12.8" hidden="false" customHeight="false" outlineLevel="0" collapsed="false"/>
    <row r="1031673" customFormat="false" ht="12.8" hidden="false" customHeight="false" outlineLevel="0" collapsed="false"/>
    <row r="1031674" customFormat="false" ht="12.8" hidden="false" customHeight="false" outlineLevel="0" collapsed="false"/>
    <row r="1031675" customFormat="false" ht="12.8" hidden="false" customHeight="false" outlineLevel="0" collapsed="false"/>
    <row r="1031676" customFormat="false" ht="12.8" hidden="false" customHeight="false" outlineLevel="0" collapsed="false"/>
    <row r="1031677" customFormat="false" ht="12.8" hidden="false" customHeight="false" outlineLevel="0" collapsed="false"/>
    <row r="1031678" customFormat="false" ht="12.8" hidden="false" customHeight="false" outlineLevel="0" collapsed="false"/>
    <row r="1031679" customFormat="false" ht="12.8" hidden="false" customHeight="false" outlineLevel="0" collapsed="false"/>
    <row r="1031680" customFormat="false" ht="12.8" hidden="false" customHeight="false" outlineLevel="0" collapsed="false"/>
    <row r="1031681" customFormat="false" ht="12.8" hidden="false" customHeight="false" outlineLevel="0" collapsed="false"/>
    <row r="1031682" customFormat="false" ht="12.8" hidden="false" customHeight="false" outlineLevel="0" collapsed="false"/>
    <row r="1031683" customFormat="false" ht="12.8" hidden="false" customHeight="false" outlineLevel="0" collapsed="false"/>
    <row r="1031684" customFormat="false" ht="12.8" hidden="false" customHeight="false" outlineLevel="0" collapsed="false"/>
    <row r="1031685" customFormat="false" ht="12.8" hidden="false" customHeight="false" outlineLevel="0" collapsed="false"/>
    <row r="1031686" customFormat="false" ht="12.8" hidden="false" customHeight="false" outlineLevel="0" collapsed="false"/>
    <row r="1031687" customFormat="false" ht="12.8" hidden="false" customHeight="false" outlineLevel="0" collapsed="false"/>
    <row r="1031688" customFormat="false" ht="12.8" hidden="false" customHeight="false" outlineLevel="0" collapsed="false"/>
    <row r="1031689" customFormat="false" ht="12.8" hidden="false" customHeight="false" outlineLevel="0" collapsed="false"/>
    <row r="1031690" customFormat="false" ht="12.8" hidden="false" customHeight="false" outlineLevel="0" collapsed="false"/>
    <row r="1031691" customFormat="false" ht="12.8" hidden="false" customHeight="false" outlineLevel="0" collapsed="false"/>
    <row r="1031692" customFormat="false" ht="12.8" hidden="false" customHeight="false" outlineLevel="0" collapsed="false"/>
    <row r="1031693" customFormat="false" ht="12.8" hidden="false" customHeight="false" outlineLevel="0" collapsed="false"/>
    <row r="1031694" customFormat="false" ht="12.8" hidden="false" customHeight="false" outlineLevel="0" collapsed="false"/>
    <row r="1031695" customFormat="false" ht="12.8" hidden="false" customHeight="false" outlineLevel="0" collapsed="false"/>
    <row r="1031696" customFormat="false" ht="12.8" hidden="false" customHeight="false" outlineLevel="0" collapsed="false"/>
    <row r="1031697" customFormat="false" ht="12.8" hidden="false" customHeight="false" outlineLevel="0" collapsed="false"/>
    <row r="1031698" customFormat="false" ht="12.8" hidden="false" customHeight="false" outlineLevel="0" collapsed="false"/>
    <row r="1031699" customFormat="false" ht="12.8" hidden="false" customHeight="false" outlineLevel="0" collapsed="false"/>
    <row r="1031700" customFormat="false" ht="12.8" hidden="false" customHeight="false" outlineLevel="0" collapsed="false"/>
    <row r="1031701" customFormat="false" ht="12.8" hidden="false" customHeight="false" outlineLevel="0" collapsed="false"/>
    <row r="1031702" customFormat="false" ht="12.8" hidden="false" customHeight="false" outlineLevel="0" collapsed="false"/>
    <row r="1031703" customFormat="false" ht="12.8" hidden="false" customHeight="false" outlineLevel="0" collapsed="false"/>
    <row r="1031704" customFormat="false" ht="12.8" hidden="false" customHeight="false" outlineLevel="0" collapsed="false"/>
    <row r="1031705" customFormat="false" ht="12.8" hidden="false" customHeight="false" outlineLevel="0" collapsed="false"/>
    <row r="1031706" customFormat="false" ht="12.8" hidden="false" customHeight="false" outlineLevel="0" collapsed="false"/>
    <row r="1031707" customFormat="false" ht="12.8" hidden="false" customHeight="false" outlineLevel="0" collapsed="false"/>
    <row r="1031708" customFormat="false" ht="12.8" hidden="false" customHeight="false" outlineLevel="0" collapsed="false"/>
    <row r="1031709" customFormat="false" ht="12.8" hidden="false" customHeight="false" outlineLevel="0" collapsed="false"/>
    <row r="1031710" customFormat="false" ht="12.8" hidden="false" customHeight="false" outlineLevel="0" collapsed="false"/>
    <row r="1031711" customFormat="false" ht="12.8" hidden="false" customHeight="false" outlineLevel="0" collapsed="false"/>
    <row r="1031712" customFormat="false" ht="12.8" hidden="false" customHeight="false" outlineLevel="0" collapsed="false"/>
    <row r="1031713" customFormat="false" ht="12.8" hidden="false" customHeight="false" outlineLevel="0" collapsed="false"/>
    <row r="1031714" customFormat="false" ht="12.8" hidden="false" customHeight="false" outlineLevel="0" collapsed="false"/>
    <row r="1031715" customFormat="false" ht="12.8" hidden="false" customHeight="false" outlineLevel="0" collapsed="false"/>
    <row r="1031716" customFormat="false" ht="12.8" hidden="false" customHeight="false" outlineLevel="0" collapsed="false"/>
    <row r="1031717" customFormat="false" ht="12.8" hidden="false" customHeight="false" outlineLevel="0" collapsed="false"/>
    <row r="1031718" customFormat="false" ht="12.8" hidden="false" customHeight="false" outlineLevel="0" collapsed="false"/>
    <row r="1031719" customFormat="false" ht="12.8" hidden="false" customHeight="false" outlineLevel="0" collapsed="false"/>
    <row r="1031720" customFormat="false" ht="12.8" hidden="false" customHeight="false" outlineLevel="0" collapsed="false"/>
    <row r="1031721" customFormat="false" ht="12.8" hidden="false" customHeight="false" outlineLevel="0" collapsed="false"/>
    <row r="1031722" customFormat="false" ht="12.8" hidden="false" customHeight="false" outlineLevel="0" collapsed="false"/>
    <row r="1031723" customFormat="false" ht="12.8" hidden="false" customHeight="false" outlineLevel="0" collapsed="false"/>
    <row r="1031724" customFormat="false" ht="12.8" hidden="false" customHeight="false" outlineLevel="0" collapsed="false"/>
    <row r="1031725" customFormat="false" ht="12.8" hidden="false" customHeight="false" outlineLevel="0" collapsed="false"/>
    <row r="1031726" customFormat="false" ht="12.8" hidden="false" customHeight="false" outlineLevel="0" collapsed="false"/>
    <row r="1031727" customFormat="false" ht="12.8" hidden="false" customHeight="false" outlineLevel="0" collapsed="false"/>
    <row r="1031728" customFormat="false" ht="12.8" hidden="false" customHeight="false" outlineLevel="0" collapsed="false"/>
    <row r="1031729" customFormat="false" ht="12.8" hidden="false" customHeight="false" outlineLevel="0" collapsed="false"/>
    <row r="1031730" customFormat="false" ht="12.8" hidden="false" customHeight="false" outlineLevel="0" collapsed="false"/>
    <row r="1031731" customFormat="false" ht="12.8" hidden="false" customHeight="false" outlineLevel="0" collapsed="false"/>
    <row r="1031732" customFormat="false" ht="12.8" hidden="false" customHeight="false" outlineLevel="0" collapsed="false"/>
    <row r="1031733" customFormat="false" ht="12.8" hidden="false" customHeight="false" outlineLevel="0" collapsed="false"/>
    <row r="1031734" customFormat="false" ht="12.8" hidden="false" customHeight="false" outlineLevel="0" collapsed="false"/>
    <row r="1031735" customFormat="false" ht="12.8" hidden="false" customHeight="false" outlineLevel="0" collapsed="false"/>
    <row r="1031736" customFormat="false" ht="12.8" hidden="false" customHeight="false" outlineLevel="0" collapsed="false"/>
    <row r="1031737" customFormat="false" ht="12.8" hidden="false" customHeight="false" outlineLevel="0" collapsed="false"/>
    <row r="1031738" customFormat="false" ht="12.8" hidden="false" customHeight="false" outlineLevel="0" collapsed="false"/>
    <row r="1031739" customFormat="false" ht="12.8" hidden="false" customHeight="false" outlineLevel="0" collapsed="false"/>
    <row r="1031740" customFormat="false" ht="12.8" hidden="false" customHeight="false" outlineLevel="0" collapsed="false"/>
    <row r="1031741" customFormat="false" ht="12.8" hidden="false" customHeight="false" outlineLevel="0" collapsed="false"/>
    <row r="1031742" customFormat="false" ht="12.8" hidden="false" customHeight="false" outlineLevel="0" collapsed="false"/>
    <row r="1031743" customFormat="false" ht="12.8" hidden="false" customHeight="false" outlineLevel="0" collapsed="false"/>
    <row r="1031744" customFormat="false" ht="12.8" hidden="false" customHeight="false" outlineLevel="0" collapsed="false"/>
    <row r="1031745" customFormat="false" ht="12.8" hidden="false" customHeight="false" outlineLevel="0" collapsed="false"/>
    <row r="1031746" customFormat="false" ht="12.8" hidden="false" customHeight="false" outlineLevel="0" collapsed="false"/>
    <row r="1031747" customFormat="false" ht="12.8" hidden="false" customHeight="false" outlineLevel="0" collapsed="false"/>
    <row r="1031748" customFormat="false" ht="12.8" hidden="false" customHeight="false" outlineLevel="0" collapsed="false"/>
    <row r="1031749" customFormat="false" ht="12.8" hidden="false" customHeight="false" outlineLevel="0" collapsed="false"/>
    <row r="1031750" customFormat="false" ht="12.8" hidden="false" customHeight="false" outlineLevel="0" collapsed="false"/>
    <row r="1031751" customFormat="false" ht="12.8" hidden="false" customHeight="false" outlineLevel="0" collapsed="false"/>
    <row r="1031752" customFormat="false" ht="12.8" hidden="false" customHeight="false" outlineLevel="0" collapsed="false"/>
    <row r="1031753" customFormat="false" ht="12.8" hidden="false" customHeight="false" outlineLevel="0" collapsed="false"/>
    <row r="1031754" customFormat="false" ht="12.8" hidden="false" customHeight="false" outlineLevel="0" collapsed="false"/>
    <row r="1031755" customFormat="false" ht="12.8" hidden="false" customHeight="false" outlineLevel="0" collapsed="false"/>
    <row r="1031756" customFormat="false" ht="12.8" hidden="false" customHeight="false" outlineLevel="0" collapsed="false"/>
    <row r="1031757" customFormat="false" ht="12.8" hidden="false" customHeight="false" outlineLevel="0" collapsed="false"/>
    <row r="1031758" customFormat="false" ht="12.8" hidden="false" customHeight="false" outlineLevel="0" collapsed="false"/>
    <row r="1031759" customFormat="false" ht="12.8" hidden="false" customHeight="false" outlineLevel="0" collapsed="false"/>
    <row r="1031760" customFormat="false" ht="12.8" hidden="false" customHeight="false" outlineLevel="0" collapsed="false"/>
    <row r="1031761" customFormat="false" ht="12.8" hidden="false" customHeight="false" outlineLevel="0" collapsed="false"/>
    <row r="1031762" customFormat="false" ht="12.8" hidden="false" customHeight="false" outlineLevel="0" collapsed="false"/>
    <row r="1031763" customFormat="false" ht="12.8" hidden="false" customHeight="false" outlineLevel="0" collapsed="false"/>
    <row r="1031764" customFormat="false" ht="12.8" hidden="false" customHeight="false" outlineLevel="0" collapsed="false"/>
    <row r="1031765" customFormat="false" ht="12.8" hidden="false" customHeight="false" outlineLevel="0" collapsed="false"/>
    <row r="1031766" customFormat="false" ht="12.8" hidden="false" customHeight="false" outlineLevel="0" collapsed="false"/>
    <row r="1031767" customFormat="false" ht="12.8" hidden="false" customHeight="false" outlineLevel="0" collapsed="false"/>
    <row r="1031768" customFormat="false" ht="12.8" hidden="false" customHeight="false" outlineLevel="0" collapsed="false"/>
    <row r="1031769" customFormat="false" ht="12.8" hidden="false" customHeight="false" outlineLevel="0" collapsed="false"/>
    <row r="1031770" customFormat="false" ht="12.8" hidden="false" customHeight="false" outlineLevel="0" collapsed="false"/>
    <row r="1031771" customFormat="false" ht="12.8" hidden="false" customHeight="false" outlineLevel="0" collapsed="false"/>
    <row r="1031772" customFormat="false" ht="12.8" hidden="false" customHeight="false" outlineLevel="0" collapsed="false"/>
    <row r="1031773" customFormat="false" ht="12.8" hidden="false" customHeight="false" outlineLevel="0" collapsed="false"/>
    <row r="1031774" customFormat="false" ht="12.8" hidden="false" customHeight="false" outlineLevel="0" collapsed="false"/>
    <row r="1031775" customFormat="false" ht="12.8" hidden="false" customHeight="false" outlineLevel="0" collapsed="false"/>
    <row r="1031776" customFormat="false" ht="12.8" hidden="false" customHeight="false" outlineLevel="0" collapsed="false"/>
    <row r="1031777" customFormat="false" ht="12.8" hidden="false" customHeight="false" outlineLevel="0" collapsed="false"/>
    <row r="1031778" customFormat="false" ht="12.8" hidden="false" customHeight="false" outlineLevel="0" collapsed="false"/>
    <row r="1031779" customFormat="false" ht="12.8" hidden="false" customHeight="false" outlineLevel="0" collapsed="false"/>
    <row r="1031780" customFormat="false" ht="12.8" hidden="false" customHeight="false" outlineLevel="0" collapsed="false"/>
    <row r="1031781" customFormat="false" ht="12.8" hidden="false" customHeight="false" outlineLevel="0" collapsed="false"/>
    <row r="1031782" customFormat="false" ht="12.8" hidden="false" customHeight="false" outlineLevel="0" collapsed="false"/>
    <row r="1031783" customFormat="false" ht="12.8" hidden="false" customHeight="false" outlineLevel="0" collapsed="false"/>
    <row r="1031784" customFormat="false" ht="12.8" hidden="false" customHeight="false" outlineLevel="0" collapsed="false"/>
    <row r="1031785" customFormat="false" ht="12.8" hidden="false" customHeight="false" outlineLevel="0" collapsed="false"/>
    <row r="1031786" customFormat="false" ht="12.8" hidden="false" customHeight="false" outlineLevel="0" collapsed="false"/>
    <row r="1031787" customFormat="false" ht="12.8" hidden="false" customHeight="false" outlineLevel="0" collapsed="false"/>
    <row r="1031788" customFormat="false" ht="12.8" hidden="false" customHeight="false" outlineLevel="0" collapsed="false"/>
    <row r="1031789" customFormat="false" ht="12.8" hidden="false" customHeight="false" outlineLevel="0" collapsed="false"/>
    <row r="1031790" customFormat="false" ht="12.8" hidden="false" customHeight="false" outlineLevel="0" collapsed="false"/>
    <row r="1031791" customFormat="false" ht="12.8" hidden="false" customHeight="false" outlineLevel="0" collapsed="false"/>
    <row r="1031792" customFormat="false" ht="12.8" hidden="false" customHeight="false" outlineLevel="0" collapsed="false"/>
    <row r="1031793" customFormat="false" ht="12.8" hidden="false" customHeight="false" outlineLevel="0" collapsed="false"/>
    <row r="1031794" customFormat="false" ht="12.8" hidden="false" customHeight="false" outlineLevel="0" collapsed="false"/>
    <row r="1031795" customFormat="false" ht="12.8" hidden="false" customHeight="false" outlineLevel="0" collapsed="false"/>
    <row r="1031796" customFormat="false" ht="12.8" hidden="false" customHeight="false" outlineLevel="0" collapsed="false"/>
    <row r="1031797" customFormat="false" ht="12.8" hidden="false" customHeight="false" outlineLevel="0" collapsed="false"/>
    <row r="1031798" customFormat="false" ht="12.8" hidden="false" customHeight="false" outlineLevel="0" collapsed="false"/>
    <row r="1031799" customFormat="false" ht="12.8" hidden="false" customHeight="false" outlineLevel="0" collapsed="false"/>
    <row r="1031800" customFormat="false" ht="12.8" hidden="false" customHeight="false" outlineLevel="0" collapsed="false"/>
    <row r="1031801" customFormat="false" ht="12.8" hidden="false" customHeight="false" outlineLevel="0" collapsed="false"/>
    <row r="1031802" customFormat="false" ht="12.8" hidden="false" customHeight="false" outlineLevel="0" collapsed="false"/>
    <row r="1031803" customFormat="false" ht="12.8" hidden="false" customHeight="false" outlineLevel="0" collapsed="false"/>
    <row r="1031804" customFormat="false" ht="12.8" hidden="false" customHeight="false" outlineLevel="0" collapsed="false"/>
    <row r="1031805" customFormat="false" ht="12.8" hidden="false" customHeight="false" outlineLevel="0" collapsed="false"/>
    <row r="1031806" customFormat="false" ht="12.8" hidden="false" customHeight="false" outlineLevel="0" collapsed="false"/>
    <row r="1031807" customFormat="false" ht="12.8" hidden="false" customHeight="false" outlineLevel="0" collapsed="false"/>
    <row r="1031808" customFormat="false" ht="12.8" hidden="false" customHeight="false" outlineLevel="0" collapsed="false"/>
    <row r="1031809" customFormat="false" ht="12.8" hidden="false" customHeight="false" outlineLevel="0" collapsed="false"/>
    <row r="1031810" customFormat="false" ht="12.8" hidden="false" customHeight="false" outlineLevel="0" collapsed="false"/>
    <row r="1031811" customFormat="false" ht="12.8" hidden="false" customHeight="false" outlineLevel="0" collapsed="false"/>
    <row r="1031812" customFormat="false" ht="12.8" hidden="false" customHeight="false" outlineLevel="0" collapsed="false"/>
    <row r="1031813" customFormat="false" ht="12.8" hidden="false" customHeight="false" outlineLevel="0" collapsed="false"/>
    <row r="1031814" customFormat="false" ht="12.8" hidden="false" customHeight="false" outlineLevel="0" collapsed="false"/>
    <row r="1031815" customFormat="false" ht="12.8" hidden="false" customHeight="false" outlineLevel="0" collapsed="false"/>
    <row r="1031816" customFormat="false" ht="12.8" hidden="false" customHeight="false" outlineLevel="0" collapsed="false"/>
    <row r="1031817" customFormat="false" ht="12.8" hidden="false" customHeight="false" outlineLevel="0" collapsed="false"/>
    <row r="1031818" customFormat="false" ht="12.8" hidden="false" customHeight="false" outlineLevel="0" collapsed="false"/>
    <row r="1031819" customFormat="false" ht="12.8" hidden="false" customHeight="false" outlineLevel="0" collapsed="false"/>
    <row r="1031820" customFormat="false" ht="12.8" hidden="false" customHeight="false" outlineLevel="0" collapsed="false"/>
    <row r="1031821" customFormat="false" ht="12.8" hidden="false" customHeight="false" outlineLevel="0" collapsed="false"/>
    <row r="1031822" customFormat="false" ht="12.8" hidden="false" customHeight="false" outlineLevel="0" collapsed="false"/>
    <row r="1031823" customFormat="false" ht="12.8" hidden="false" customHeight="false" outlineLevel="0" collapsed="false"/>
    <row r="1031824" customFormat="false" ht="12.8" hidden="false" customHeight="false" outlineLevel="0" collapsed="false"/>
    <row r="1031825" customFormat="false" ht="12.8" hidden="false" customHeight="false" outlineLevel="0" collapsed="false"/>
    <row r="1031826" customFormat="false" ht="12.8" hidden="false" customHeight="false" outlineLevel="0" collapsed="false"/>
    <row r="1031827" customFormat="false" ht="12.8" hidden="false" customHeight="false" outlineLevel="0" collapsed="false"/>
    <row r="1031828" customFormat="false" ht="12.8" hidden="false" customHeight="false" outlineLevel="0" collapsed="false"/>
    <row r="1031829" customFormat="false" ht="12.8" hidden="false" customHeight="false" outlineLevel="0" collapsed="false"/>
    <row r="1031830" customFormat="false" ht="12.8" hidden="false" customHeight="false" outlineLevel="0" collapsed="false"/>
    <row r="1031831" customFormat="false" ht="12.8" hidden="false" customHeight="false" outlineLevel="0" collapsed="false"/>
    <row r="1031832" customFormat="false" ht="12.8" hidden="false" customHeight="false" outlineLevel="0" collapsed="false"/>
    <row r="1031833" customFormat="false" ht="12.8" hidden="false" customHeight="false" outlineLevel="0" collapsed="false"/>
    <row r="1031834" customFormat="false" ht="12.8" hidden="false" customHeight="false" outlineLevel="0" collapsed="false"/>
    <row r="1031835" customFormat="false" ht="12.8" hidden="false" customHeight="false" outlineLevel="0" collapsed="false"/>
    <row r="1031836" customFormat="false" ht="12.8" hidden="false" customHeight="false" outlineLevel="0" collapsed="false"/>
    <row r="1031837" customFormat="false" ht="12.8" hidden="false" customHeight="false" outlineLevel="0" collapsed="false"/>
    <row r="1031838" customFormat="false" ht="12.8" hidden="false" customHeight="false" outlineLevel="0" collapsed="false"/>
    <row r="1031839" customFormat="false" ht="12.8" hidden="false" customHeight="false" outlineLevel="0" collapsed="false"/>
    <row r="1031840" customFormat="false" ht="12.8" hidden="false" customHeight="false" outlineLevel="0" collapsed="false"/>
    <row r="1031841" customFormat="false" ht="12.8" hidden="false" customHeight="false" outlineLevel="0" collapsed="false"/>
    <row r="1031842" customFormat="false" ht="12.8" hidden="false" customHeight="false" outlineLevel="0" collapsed="false"/>
    <row r="1031843" customFormat="false" ht="12.8" hidden="false" customHeight="false" outlineLevel="0" collapsed="false"/>
    <row r="1031844" customFormat="false" ht="12.8" hidden="false" customHeight="false" outlineLevel="0" collapsed="false"/>
    <row r="1031845" customFormat="false" ht="12.8" hidden="false" customHeight="false" outlineLevel="0" collapsed="false"/>
    <row r="1031846" customFormat="false" ht="12.8" hidden="false" customHeight="false" outlineLevel="0" collapsed="false"/>
    <row r="1031847" customFormat="false" ht="12.8" hidden="false" customHeight="false" outlineLevel="0" collapsed="false"/>
    <row r="1031848" customFormat="false" ht="12.8" hidden="false" customHeight="false" outlineLevel="0" collapsed="false"/>
    <row r="1031849" customFormat="false" ht="12.8" hidden="false" customHeight="false" outlineLevel="0" collapsed="false"/>
    <row r="1031850" customFormat="false" ht="12.8" hidden="false" customHeight="false" outlineLevel="0" collapsed="false"/>
    <row r="1031851" customFormat="false" ht="12.8" hidden="false" customHeight="false" outlineLevel="0" collapsed="false"/>
    <row r="1031852" customFormat="false" ht="12.8" hidden="false" customHeight="false" outlineLevel="0" collapsed="false"/>
    <row r="1031853" customFormat="false" ht="12.8" hidden="false" customHeight="false" outlineLevel="0" collapsed="false"/>
    <row r="1031854" customFormat="false" ht="12.8" hidden="false" customHeight="false" outlineLevel="0" collapsed="false"/>
    <row r="1031855" customFormat="false" ht="12.8" hidden="false" customHeight="false" outlineLevel="0" collapsed="false"/>
    <row r="1031856" customFormat="false" ht="12.8" hidden="false" customHeight="false" outlineLevel="0" collapsed="false"/>
    <row r="1031857" customFormat="false" ht="12.8" hidden="false" customHeight="false" outlineLevel="0" collapsed="false"/>
    <row r="1031858" customFormat="false" ht="12.8" hidden="false" customHeight="false" outlineLevel="0" collapsed="false"/>
    <row r="1031859" customFormat="false" ht="12.8" hidden="false" customHeight="false" outlineLevel="0" collapsed="false"/>
    <row r="1031860" customFormat="false" ht="12.8" hidden="false" customHeight="false" outlineLevel="0" collapsed="false"/>
    <row r="1031861" customFormat="false" ht="12.8" hidden="false" customHeight="false" outlineLevel="0" collapsed="false"/>
    <row r="1031862" customFormat="false" ht="12.8" hidden="false" customHeight="false" outlineLevel="0" collapsed="false"/>
    <row r="1031863" customFormat="false" ht="12.8" hidden="false" customHeight="false" outlineLevel="0" collapsed="false"/>
    <row r="1031864" customFormat="false" ht="12.8" hidden="false" customHeight="false" outlineLevel="0" collapsed="false"/>
    <row r="1031865" customFormat="false" ht="12.8" hidden="false" customHeight="false" outlineLevel="0" collapsed="false"/>
    <row r="1031866" customFormat="false" ht="12.8" hidden="false" customHeight="false" outlineLevel="0" collapsed="false"/>
    <row r="1031867" customFormat="false" ht="12.8" hidden="false" customHeight="false" outlineLevel="0" collapsed="false"/>
    <row r="1031868" customFormat="false" ht="12.8" hidden="false" customHeight="false" outlineLevel="0" collapsed="false"/>
    <row r="1031869" customFormat="false" ht="12.8" hidden="false" customHeight="false" outlineLevel="0" collapsed="false"/>
    <row r="1031870" customFormat="false" ht="12.8" hidden="false" customHeight="false" outlineLevel="0" collapsed="false"/>
    <row r="1031871" customFormat="false" ht="12.8" hidden="false" customHeight="false" outlineLevel="0" collapsed="false"/>
    <row r="1031872" customFormat="false" ht="12.8" hidden="false" customHeight="false" outlineLevel="0" collapsed="false"/>
    <row r="1031873" customFormat="false" ht="12.8" hidden="false" customHeight="false" outlineLevel="0" collapsed="false"/>
    <row r="1031874" customFormat="false" ht="12.8" hidden="false" customHeight="false" outlineLevel="0" collapsed="false"/>
    <row r="1031875" customFormat="false" ht="12.8" hidden="false" customHeight="false" outlineLevel="0" collapsed="false"/>
    <row r="1031876" customFormat="false" ht="12.8" hidden="false" customHeight="false" outlineLevel="0" collapsed="false"/>
    <row r="1031877" customFormat="false" ht="12.8" hidden="false" customHeight="false" outlineLevel="0" collapsed="false"/>
    <row r="1031878" customFormat="false" ht="12.8" hidden="false" customHeight="false" outlineLevel="0" collapsed="false"/>
    <row r="1031879" customFormat="false" ht="12.8" hidden="false" customHeight="false" outlineLevel="0" collapsed="false"/>
    <row r="1031880" customFormat="false" ht="12.8" hidden="false" customHeight="false" outlineLevel="0" collapsed="false"/>
    <row r="1031881" customFormat="false" ht="12.8" hidden="false" customHeight="false" outlineLevel="0" collapsed="false"/>
    <row r="1031882" customFormat="false" ht="12.8" hidden="false" customHeight="false" outlineLevel="0" collapsed="false"/>
    <row r="1031883" customFormat="false" ht="12.8" hidden="false" customHeight="false" outlineLevel="0" collapsed="false"/>
    <row r="1031884" customFormat="false" ht="12.8" hidden="false" customHeight="false" outlineLevel="0" collapsed="false"/>
    <row r="1031885" customFormat="false" ht="12.8" hidden="false" customHeight="false" outlineLevel="0" collapsed="false"/>
    <row r="1031886" customFormat="false" ht="12.8" hidden="false" customHeight="false" outlineLevel="0" collapsed="false"/>
    <row r="1031887" customFormat="false" ht="12.8" hidden="false" customHeight="false" outlineLevel="0" collapsed="false"/>
    <row r="1031888" customFormat="false" ht="12.8" hidden="false" customHeight="false" outlineLevel="0" collapsed="false"/>
    <row r="1031889" customFormat="false" ht="12.8" hidden="false" customHeight="false" outlineLevel="0" collapsed="false"/>
    <row r="1031890" customFormat="false" ht="12.8" hidden="false" customHeight="false" outlineLevel="0" collapsed="false"/>
    <row r="1031891" customFormat="false" ht="12.8" hidden="false" customHeight="false" outlineLevel="0" collapsed="false"/>
    <row r="1031892" customFormat="false" ht="12.8" hidden="false" customHeight="false" outlineLevel="0" collapsed="false"/>
    <row r="1031893" customFormat="false" ht="12.8" hidden="false" customHeight="false" outlineLevel="0" collapsed="false"/>
    <row r="1031894" customFormat="false" ht="12.8" hidden="false" customHeight="false" outlineLevel="0" collapsed="false"/>
    <row r="1031895" customFormat="false" ht="12.8" hidden="false" customHeight="false" outlineLevel="0" collapsed="false"/>
    <row r="1031896" customFormat="false" ht="12.8" hidden="false" customHeight="false" outlineLevel="0" collapsed="false"/>
    <row r="1031897" customFormat="false" ht="12.8" hidden="false" customHeight="false" outlineLevel="0" collapsed="false"/>
    <row r="1031898" customFormat="false" ht="12.8" hidden="false" customHeight="false" outlineLevel="0" collapsed="false"/>
    <row r="1031899" customFormat="false" ht="12.8" hidden="false" customHeight="false" outlineLevel="0" collapsed="false"/>
    <row r="1031900" customFormat="false" ht="12.8" hidden="false" customHeight="false" outlineLevel="0" collapsed="false"/>
    <row r="1031901" customFormat="false" ht="12.8" hidden="false" customHeight="false" outlineLevel="0" collapsed="false"/>
    <row r="1031902" customFormat="false" ht="12.8" hidden="false" customHeight="false" outlineLevel="0" collapsed="false"/>
    <row r="1031903" customFormat="false" ht="12.8" hidden="false" customHeight="false" outlineLevel="0" collapsed="false"/>
    <row r="1031904" customFormat="false" ht="12.8" hidden="false" customHeight="false" outlineLevel="0" collapsed="false"/>
    <row r="1031905" customFormat="false" ht="12.8" hidden="false" customHeight="false" outlineLevel="0" collapsed="false"/>
    <row r="1031906" customFormat="false" ht="12.8" hidden="false" customHeight="false" outlineLevel="0" collapsed="false"/>
    <row r="1031907" customFormat="false" ht="12.8" hidden="false" customHeight="false" outlineLevel="0" collapsed="false"/>
    <row r="1031908" customFormat="false" ht="12.8" hidden="false" customHeight="false" outlineLevel="0" collapsed="false"/>
    <row r="1031909" customFormat="false" ht="12.8" hidden="false" customHeight="false" outlineLevel="0" collapsed="false"/>
    <row r="1031910" customFormat="false" ht="12.8" hidden="false" customHeight="false" outlineLevel="0" collapsed="false"/>
    <row r="1031911" customFormat="false" ht="12.8" hidden="false" customHeight="false" outlineLevel="0" collapsed="false"/>
    <row r="1031912" customFormat="false" ht="12.8" hidden="false" customHeight="false" outlineLevel="0" collapsed="false"/>
    <row r="1031913" customFormat="false" ht="12.8" hidden="false" customHeight="false" outlineLevel="0" collapsed="false"/>
    <row r="1031914" customFormat="false" ht="12.8" hidden="false" customHeight="false" outlineLevel="0" collapsed="false"/>
    <row r="1031915" customFormat="false" ht="12.8" hidden="false" customHeight="false" outlineLevel="0" collapsed="false"/>
    <row r="1031916" customFormat="false" ht="12.8" hidden="false" customHeight="false" outlineLevel="0" collapsed="false"/>
    <row r="1031917" customFormat="false" ht="12.8" hidden="false" customHeight="false" outlineLevel="0" collapsed="false"/>
    <row r="1031918" customFormat="false" ht="12.8" hidden="false" customHeight="false" outlineLevel="0" collapsed="false"/>
    <row r="1031919" customFormat="false" ht="12.8" hidden="false" customHeight="false" outlineLevel="0" collapsed="false"/>
    <row r="1031920" customFormat="false" ht="12.8" hidden="false" customHeight="false" outlineLevel="0" collapsed="false"/>
    <row r="1031921" customFormat="false" ht="12.8" hidden="false" customHeight="false" outlineLevel="0" collapsed="false"/>
    <row r="1031922" customFormat="false" ht="12.8" hidden="false" customHeight="false" outlineLevel="0" collapsed="false"/>
    <row r="1031923" customFormat="false" ht="12.8" hidden="false" customHeight="false" outlineLevel="0" collapsed="false"/>
    <row r="1031924" customFormat="false" ht="12.8" hidden="false" customHeight="false" outlineLevel="0" collapsed="false"/>
    <row r="1031925" customFormat="false" ht="12.8" hidden="false" customHeight="false" outlineLevel="0" collapsed="false"/>
    <row r="1031926" customFormat="false" ht="12.8" hidden="false" customHeight="false" outlineLevel="0" collapsed="false"/>
    <row r="1031927" customFormat="false" ht="12.8" hidden="false" customHeight="false" outlineLevel="0" collapsed="false"/>
    <row r="1031928" customFormat="false" ht="12.8" hidden="false" customHeight="false" outlineLevel="0" collapsed="false"/>
    <row r="1031929" customFormat="false" ht="12.8" hidden="false" customHeight="false" outlineLevel="0" collapsed="false"/>
    <row r="1031930" customFormat="false" ht="12.8" hidden="false" customHeight="false" outlineLevel="0" collapsed="false"/>
    <row r="1031931" customFormat="false" ht="12.8" hidden="false" customHeight="false" outlineLevel="0" collapsed="false"/>
    <row r="1031932" customFormat="false" ht="12.8" hidden="false" customHeight="false" outlineLevel="0" collapsed="false"/>
    <row r="1031933" customFormat="false" ht="12.8" hidden="false" customHeight="false" outlineLevel="0" collapsed="false"/>
    <row r="1031934" customFormat="false" ht="12.8" hidden="false" customHeight="false" outlineLevel="0" collapsed="false"/>
    <row r="1031935" customFormat="false" ht="12.8" hidden="false" customHeight="false" outlineLevel="0" collapsed="false"/>
    <row r="1031936" customFormat="false" ht="12.8" hidden="false" customHeight="false" outlineLevel="0" collapsed="false"/>
    <row r="1031937" customFormat="false" ht="12.8" hidden="false" customHeight="false" outlineLevel="0" collapsed="false"/>
    <row r="1031938" customFormat="false" ht="12.8" hidden="false" customHeight="false" outlineLevel="0" collapsed="false"/>
    <row r="1031939" customFormat="false" ht="12.8" hidden="false" customHeight="false" outlineLevel="0" collapsed="false"/>
    <row r="1031940" customFormat="false" ht="12.8" hidden="false" customHeight="false" outlineLevel="0" collapsed="false"/>
    <row r="1031941" customFormat="false" ht="12.8" hidden="false" customHeight="false" outlineLevel="0" collapsed="false"/>
    <row r="1031942" customFormat="false" ht="12.8" hidden="false" customHeight="false" outlineLevel="0" collapsed="false"/>
    <row r="1031943" customFormat="false" ht="12.8" hidden="false" customHeight="false" outlineLevel="0" collapsed="false"/>
    <row r="1031944" customFormat="false" ht="12.8" hidden="false" customHeight="false" outlineLevel="0" collapsed="false"/>
    <row r="1031945" customFormat="false" ht="12.8" hidden="false" customHeight="false" outlineLevel="0" collapsed="false"/>
    <row r="1031946" customFormat="false" ht="12.8" hidden="false" customHeight="false" outlineLevel="0" collapsed="false"/>
    <row r="1031947" customFormat="false" ht="12.8" hidden="false" customHeight="false" outlineLevel="0" collapsed="false"/>
    <row r="1031948" customFormat="false" ht="12.8" hidden="false" customHeight="false" outlineLevel="0" collapsed="false"/>
    <row r="1031949" customFormat="false" ht="12.8" hidden="false" customHeight="false" outlineLevel="0" collapsed="false"/>
    <row r="1031950" customFormat="false" ht="12.8" hidden="false" customHeight="false" outlineLevel="0" collapsed="false"/>
    <row r="1031951" customFormat="false" ht="12.8" hidden="false" customHeight="false" outlineLevel="0" collapsed="false"/>
    <row r="1031952" customFormat="false" ht="12.8" hidden="false" customHeight="false" outlineLevel="0" collapsed="false"/>
    <row r="1031953" customFormat="false" ht="12.8" hidden="false" customHeight="false" outlineLevel="0" collapsed="false"/>
    <row r="1031954" customFormat="false" ht="12.8" hidden="false" customHeight="false" outlineLevel="0" collapsed="false"/>
    <row r="1031955" customFormat="false" ht="12.8" hidden="false" customHeight="false" outlineLevel="0" collapsed="false"/>
    <row r="1031956" customFormat="false" ht="12.8" hidden="false" customHeight="false" outlineLevel="0" collapsed="false"/>
    <row r="1031957" customFormat="false" ht="12.8" hidden="false" customHeight="false" outlineLevel="0" collapsed="false"/>
    <row r="1031958" customFormat="false" ht="12.8" hidden="false" customHeight="false" outlineLevel="0" collapsed="false"/>
    <row r="1031959" customFormat="false" ht="12.8" hidden="false" customHeight="false" outlineLevel="0" collapsed="false"/>
    <row r="1031960" customFormat="false" ht="12.8" hidden="false" customHeight="false" outlineLevel="0" collapsed="false"/>
    <row r="1031961" customFormat="false" ht="12.8" hidden="false" customHeight="false" outlineLevel="0" collapsed="false"/>
    <row r="1031962" customFormat="false" ht="12.8" hidden="false" customHeight="false" outlineLevel="0" collapsed="false"/>
    <row r="1031963" customFormat="false" ht="12.8" hidden="false" customHeight="false" outlineLevel="0" collapsed="false"/>
    <row r="1031964" customFormat="false" ht="12.8" hidden="false" customHeight="false" outlineLevel="0" collapsed="false"/>
    <row r="1031965" customFormat="false" ht="12.8" hidden="false" customHeight="false" outlineLevel="0" collapsed="false"/>
    <row r="1031966" customFormat="false" ht="12.8" hidden="false" customHeight="false" outlineLevel="0" collapsed="false"/>
    <row r="1031967" customFormat="false" ht="12.8" hidden="false" customHeight="false" outlineLevel="0" collapsed="false"/>
    <row r="1031968" customFormat="false" ht="12.8" hidden="false" customHeight="false" outlineLevel="0" collapsed="false"/>
    <row r="1031969" customFormat="false" ht="12.8" hidden="false" customHeight="false" outlineLevel="0" collapsed="false"/>
    <row r="1031970" customFormat="false" ht="12.8" hidden="false" customHeight="false" outlineLevel="0" collapsed="false"/>
    <row r="1031971" customFormat="false" ht="12.8" hidden="false" customHeight="false" outlineLevel="0" collapsed="false"/>
    <row r="1031972" customFormat="false" ht="12.8" hidden="false" customHeight="false" outlineLevel="0" collapsed="false"/>
    <row r="1031973" customFormat="false" ht="12.8" hidden="false" customHeight="false" outlineLevel="0" collapsed="false"/>
    <row r="1031974" customFormat="false" ht="12.8" hidden="false" customHeight="false" outlineLevel="0" collapsed="false"/>
    <row r="1031975" customFormat="false" ht="12.8" hidden="false" customHeight="false" outlineLevel="0" collapsed="false"/>
    <row r="1031976" customFormat="false" ht="12.8" hidden="false" customHeight="false" outlineLevel="0" collapsed="false"/>
    <row r="1031977" customFormat="false" ht="12.8" hidden="false" customHeight="false" outlineLevel="0" collapsed="false"/>
    <row r="1031978" customFormat="false" ht="12.8" hidden="false" customHeight="false" outlineLevel="0" collapsed="false"/>
    <row r="1031979" customFormat="false" ht="12.8" hidden="false" customHeight="false" outlineLevel="0" collapsed="false"/>
    <row r="1031980" customFormat="false" ht="12.8" hidden="false" customHeight="false" outlineLevel="0" collapsed="false"/>
    <row r="1031981" customFormat="false" ht="12.8" hidden="false" customHeight="false" outlineLevel="0" collapsed="false"/>
    <row r="1031982" customFormat="false" ht="12.8" hidden="false" customHeight="false" outlineLevel="0" collapsed="false"/>
    <row r="1031983" customFormat="false" ht="12.8" hidden="false" customHeight="false" outlineLevel="0" collapsed="false"/>
    <row r="1031984" customFormat="false" ht="12.8" hidden="false" customHeight="false" outlineLevel="0" collapsed="false"/>
    <row r="1031985" customFormat="false" ht="12.8" hidden="false" customHeight="false" outlineLevel="0" collapsed="false"/>
    <row r="1031986" customFormat="false" ht="12.8" hidden="false" customHeight="false" outlineLevel="0" collapsed="false"/>
    <row r="1031987" customFormat="false" ht="12.8" hidden="false" customHeight="false" outlineLevel="0" collapsed="false"/>
    <row r="1031988" customFormat="false" ht="12.8" hidden="false" customHeight="false" outlineLevel="0" collapsed="false"/>
    <row r="1031989" customFormat="false" ht="12.8" hidden="false" customHeight="false" outlineLevel="0" collapsed="false"/>
    <row r="1031990" customFormat="false" ht="12.8" hidden="false" customHeight="false" outlineLevel="0" collapsed="false"/>
    <row r="1031991" customFormat="false" ht="12.8" hidden="false" customHeight="false" outlineLevel="0" collapsed="false"/>
    <row r="1031992" customFormat="false" ht="12.8" hidden="false" customHeight="false" outlineLevel="0" collapsed="false"/>
    <row r="1031993" customFormat="false" ht="12.8" hidden="false" customHeight="false" outlineLevel="0" collapsed="false"/>
    <row r="1031994" customFormat="false" ht="12.8" hidden="false" customHeight="false" outlineLevel="0" collapsed="false"/>
    <row r="1031995" customFormat="false" ht="12.8" hidden="false" customHeight="false" outlineLevel="0" collapsed="false"/>
    <row r="1031996" customFormat="false" ht="12.8" hidden="false" customHeight="false" outlineLevel="0" collapsed="false"/>
    <row r="1031997" customFormat="false" ht="12.8" hidden="false" customHeight="false" outlineLevel="0" collapsed="false"/>
    <row r="1031998" customFormat="false" ht="12.8" hidden="false" customHeight="false" outlineLevel="0" collapsed="false"/>
    <row r="1031999" customFormat="false" ht="12.8" hidden="false" customHeight="false" outlineLevel="0" collapsed="false"/>
    <row r="1032000" customFormat="false" ht="12.8" hidden="false" customHeight="false" outlineLevel="0" collapsed="false"/>
    <row r="1032001" customFormat="false" ht="12.8" hidden="false" customHeight="false" outlineLevel="0" collapsed="false"/>
    <row r="1032002" customFormat="false" ht="12.8" hidden="false" customHeight="false" outlineLevel="0" collapsed="false"/>
    <row r="1032003" customFormat="false" ht="12.8" hidden="false" customHeight="false" outlineLevel="0" collapsed="false"/>
    <row r="1032004" customFormat="false" ht="12.8" hidden="false" customHeight="false" outlineLevel="0" collapsed="false"/>
    <row r="1032005" customFormat="false" ht="12.8" hidden="false" customHeight="false" outlineLevel="0" collapsed="false"/>
    <row r="1032006" customFormat="false" ht="12.8" hidden="false" customHeight="false" outlineLevel="0" collapsed="false"/>
    <row r="1032007" customFormat="false" ht="12.8" hidden="false" customHeight="false" outlineLevel="0" collapsed="false"/>
    <row r="1032008" customFormat="false" ht="12.8" hidden="false" customHeight="false" outlineLevel="0" collapsed="false"/>
    <row r="1032009" customFormat="false" ht="12.8" hidden="false" customHeight="false" outlineLevel="0" collapsed="false"/>
    <row r="1032010" customFormat="false" ht="12.8" hidden="false" customHeight="false" outlineLevel="0" collapsed="false"/>
    <row r="1032011" customFormat="false" ht="12.8" hidden="false" customHeight="false" outlineLevel="0" collapsed="false"/>
    <row r="1032012" customFormat="false" ht="12.8" hidden="false" customHeight="false" outlineLevel="0" collapsed="false"/>
    <row r="1032013" customFormat="false" ht="12.8" hidden="false" customHeight="false" outlineLevel="0" collapsed="false"/>
    <row r="1032014" customFormat="false" ht="12.8" hidden="false" customHeight="false" outlineLevel="0" collapsed="false"/>
    <row r="1032015" customFormat="false" ht="12.8" hidden="false" customHeight="false" outlineLevel="0" collapsed="false"/>
    <row r="1032016" customFormat="false" ht="12.8" hidden="false" customHeight="false" outlineLevel="0" collapsed="false"/>
    <row r="1032017" customFormat="false" ht="12.8" hidden="false" customHeight="false" outlineLevel="0" collapsed="false"/>
    <row r="1032018" customFormat="false" ht="12.8" hidden="false" customHeight="false" outlineLevel="0" collapsed="false"/>
    <row r="1032019" customFormat="false" ht="12.8" hidden="false" customHeight="false" outlineLevel="0" collapsed="false"/>
    <row r="1032020" customFormat="false" ht="12.8" hidden="false" customHeight="false" outlineLevel="0" collapsed="false"/>
    <row r="1032021" customFormat="false" ht="12.8" hidden="false" customHeight="false" outlineLevel="0" collapsed="false"/>
    <row r="1032022" customFormat="false" ht="12.8" hidden="false" customHeight="false" outlineLevel="0" collapsed="false"/>
    <row r="1032023" customFormat="false" ht="12.8" hidden="false" customHeight="false" outlineLevel="0" collapsed="false"/>
    <row r="1032024" customFormat="false" ht="12.8" hidden="false" customHeight="false" outlineLevel="0" collapsed="false"/>
    <row r="1032025" customFormat="false" ht="12.8" hidden="false" customHeight="false" outlineLevel="0" collapsed="false"/>
    <row r="1032026" customFormat="false" ht="12.8" hidden="false" customHeight="false" outlineLevel="0" collapsed="false"/>
    <row r="1032027" customFormat="false" ht="12.8" hidden="false" customHeight="false" outlineLevel="0" collapsed="false"/>
    <row r="1032028" customFormat="false" ht="12.8" hidden="false" customHeight="false" outlineLevel="0" collapsed="false"/>
    <row r="1032029" customFormat="false" ht="12.8" hidden="false" customHeight="false" outlineLevel="0" collapsed="false"/>
    <row r="1032030" customFormat="false" ht="12.8" hidden="false" customHeight="false" outlineLevel="0" collapsed="false"/>
    <row r="1032031" customFormat="false" ht="12.8" hidden="false" customHeight="false" outlineLevel="0" collapsed="false"/>
    <row r="1032032" customFormat="false" ht="12.8" hidden="false" customHeight="false" outlineLevel="0" collapsed="false"/>
    <row r="1032033" customFormat="false" ht="12.8" hidden="false" customHeight="false" outlineLevel="0" collapsed="false"/>
    <row r="1032034" customFormat="false" ht="12.8" hidden="false" customHeight="false" outlineLevel="0" collapsed="false"/>
    <row r="1032035" customFormat="false" ht="12.8" hidden="false" customHeight="false" outlineLevel="0" collapsed="false"/>
    <row r="1032036" customFormat="false" ht="12.8" hidden="false" customHeight="false" outlineLevel="0" collapsed="false"/>
    <row r="1032037" customFormat="false" ht="12.8" hidden="false" customHeight="false" outlineLevel="0" collapsed="false"/>
    <row r="1032038" customFormat="false" ht="12.8" hidden="false" customHeight="false" outlineLevel="0" collapsed="false"/>
    <row r="1032039" customFormat="false" ht="12.8" hidden="false" customHeight="false" outlineLevel="0" collapsed="false"/>
    <row r="1032040" customFormat="false" ht="12.8" hidden="false" customHeight="false" outlineLevel="0" collapsed="false"/>
    <row r="1032041" customFormat="false" ht="12.8" hidden="false" customHeight="false" outlineLevel="0" collapsed="false"/>
    <row r="1032042" customFormat="false" ht="12.8" hidden="false" customHeight="false" outlineLevel="0" collapsed="false"/>
    <row r="1032043" customFormat="false" ht="12.8" hidden="false" customHeight="false" outlineLevel="0" collapsed="false"/>
    <row r="1032044" customFormat="false" ht="12.8" hidden="false" customHeight="false" outlineLevel="0" collapsed="false"/>
    <row r="1032045" customFormat="false" ht="12.8" hidden="false" customHeight="false" outlineLevel="0" collapsed="false"/>
    <row r="1032046" customFormat="false" ht="12.8" hidden="false" customHeight="false" outlineLevel="0" collapsed="false"/>
    <row r="1032047" customFormat="false" ht="12.8" hidden="false" customHeight="false" outlineLevel="0" collapsed="false"/>
    <row r="1032048" customFormat="false" ht="12.8" hidden="false" customHeight="false" outlineLevel="0" collapsed="false"/>
    <row r="1032049" customFormat="false" ht="12.8" hidden="false" customHeight="false" outlineLevel="0" collapsed="false"/>
    <row r="1032050" customFormat="false" ht="12.8" hidden="false" customHeight="false" outlineLevel="0" collapsed="false"/>
    <row r="1032051" customFormat="false" ht="12.8" hidden="false" customHeight="false" outlineLevel="0" collapsed="false"/>
    <row r="1032052" customFormat="false" ht="12.8" hidden="false" customHeight="false" outlineLevel="0" collapsed="false"/>
    <row r="1032053" customFormat="false" ht="12.8" hidden="false" customHeight="false" outlineLevel="0" collapsed="false"/>
    <row r="1032054" customFormat="false" ht="12.8" hidden="false" customHeight="false" outlineLevel="0" collapsed="false"/>
    <row r="1032055" customFormat="false" ht="12.8" hidden="false" customHeight="false" outlineLevel="0" collapsed="false"/>
    <row r="1032056" customFormat="false" ht="12.8" hidden="false" customHeight="false" outlineLevel="0" collapsed="false"/>
    <row r="1032057" customFormat="false" ht="12.8" hidden="false" customHeight="false" outlineLevel="0" collapsed="false"/>
    <row r="1032058" customFormat="false" ht="12.8" hidden="false" customHeight="false" outlineLevel="0" collapsed="false"/>
    <row r="1032059" customFormat="false" ht="12.8" hidden="false" customHeight="false" outlineLevel="0" collapsed="false"/>
    <row r="1032060" customFormat="false" ht="12.8" hidden="false" customHeight="false" outlineLevel="0" collapsed="false"/>
    <row r="1032061" customFormat="false" ht="12.8" hidden="false" customHeight="false" outlineLevel="0" collapsed="false"/>
    <row r="1032062" customFormat="false" ht="12.8" hidden="false" customHeight="false" outlineLevel="0" collapsed="false"/>
    <row r="1032063" customFormat="false" ht="12.8" hidden="false" customHeight="false" outlineLevel="0" collapsed="false"/>
    <row r="1032064" customFormat="false" ht="12.8" hidden="false" customHeight="false" outlineLevel="0" collapsed="false"/>
    <row r="1032065" customFormat="false" ht="12.8" hidden="false" customHeight="false" outlineLevel="0" collapsed="false"/>
    <row r="1032066" customFormat="false" ht="12.8" hidden="false" customHeight="false" outlineLevel="0" collapsed="false"/>
    <row r="1032067" customFormat="false" ht="12.8" hidden="false" customHeight="false" outlineLevel="0" collapsed="false"/>
    <row r="1032068" customFormat="false" ht="12.8" hidden="false" customHeight="false" outlineLevel="0" collapsed="false"/>
    <row r="1032069" customFormat="false" ht="12.8" hidden="false" customHeight="false" outlineLevel="0" collapsed="false"/>
    <row r="1032070" customFormat="false" ht="12.8" hidden="false" customHeight="false" outlineLevel="0" collapsed="false"/>
    <row r="1032071" customFormat="false" ht="12.8" hidden="false" customHeight="false" outlineLevel="0" collapsed="false"/>
    <row r="1032072" customFormat="false" ht="12.8" hidden="false" customHeight="false" outlineLevel="0" collapsed="false"/>
    <row r="1032073" customFormat="false" ht="12.8" hidden="false" customHeight="false" outlineLevel="0" collapsed="false"/>
    <row r="1032074" customFormat="false" ht="12.8" hidden="false" customHeight="false" outlineLevel="0" collapsed="false"/>
    <row r="1032075" customFormat="false" ht="12.8" hidden="false" customHeight="false" outlineLevel="0" collapsed="false"/>
    <row r="1032076" customFormat="false" ht="12.8" hidden="false" customHeight="false" outlineLevel="0" collapsed="false"/>
    <row r="1032077" customFormat="false" ht="12.8" hidden="false" customHeight="false" outlineLevel="0" collapsed="false"/>
    <row r="1032078" customFormat="false" ht="12.8" hidden="false" customHeight="false" outlineLevel="0" collapsed="false"/>
    <row r="1032079" customFormat="false" ht="12.8" hidden="false" customHeight="false" outlineLevel="0" collapsed="false"/>
    <row r="1032080" customFormat="false" ht="12.8" hidden="false" customHeight="false" outlineLevel="0" collapsed="false"/>
    <row r="1032081" customFormat="false" ht="12.8" hidden="false" customHeight="false" outlineLevel="0" collapsed="false"/>
    <row r="1032082" customFormat="false" ht="12.8" hidden="false" customHeight="false" outlineLevel="0" collapsed="false"/>
    <row r="1032083" customFormat="false" ht="12.8" hidden="false" customHeight="false" outlineLevel="0" collapsed="false"/>
    <row r="1032084" customFormat="false" ht="12.8" hidden="false" customHeight="false" outlineLevel="0" collapsed="false"/>
    <row r="1032085" customFormat="false" ht="12.8" hidden="false" customHeight="false" outlineLevel="0" collapsed="false"/>
    <row r="1032086" customFormat="false" ht="12.8" hidden="false" customHeight="false" outlineLevel="0" collapsed="false"/>
    <row r="1032087" customFormat="false" ht="12.8" hidden="false" customHeight="false" outlineLevel="0" collapsed="false"/>
    <row r="1032088" customFormat="false" ht="12.8" hidden="false" customHeight="false" outlineLevel="0" collapsed="false"/>
    <row r="1032089" customFormat="false" ht="12.8" hidden="false" customHeight="false" outlineLevel="0" collapsed="false"/>
    <row r="1032090" customFormat="false" ht="12.8" hidden="false" customHeight="false" outlineLevel="0" collapsed="false"/>
    <row r="1032091" customFormat="false" ht="12.8" hidden="false" customHeight="false" outlineLevel="0" collapsed="false"/>
    <row r="1032092" customFormat="false" ht="12.8" hidden="false" customHeight="false" outlineLevel="0" collapsed="false"/>
    <row r="1032093" customFormat="false" ht="12.8" hidden="false" customHeight="false" outlineLevel="0" collapsed="false"/>
    <row r="1032094" customFormat="false" ht="12.8" hidden="false" customHeight="false" outlineLevel="0" collapsed="false"/>
    <row r="1032095" customFormat="false" ht="12.8" hidden="false" customHeight="false" outlineLevel="0" collapsed="false"/>
    <row r="1032096" customFormat="false" ht="12.8" hidden="false" customHeight="false" outlineLevel="0" collapsed="false"/>
    <row r="1032097" customFormat="false" ht="12.8" hidden="false" customHeight="false" outlineLevel="0" collapsed="false"/>
    <row r="1032098" customFormat="false" ht="12.8" hidden="false" customHeight="false" outlineLevel="0" collapsed="false"/>
    <row r="1032099" customFormat="false" ht="12.8" hidden="false" customHeight="false" outlineLevel="0" collapsed="false"/>
    <row r="1032100" customFormat="false" ht="12.8" hidden="false" customHeight="false" outlineLevel="0" collapsed="false"/>
    <row r="1032101" customFormat="false" ht="12.8" hidden="false" customHeight="false" outlineLevel="0" collapsed="false"/>
    <row r="1032102" customFormat="false" ht="12.8" hidden="false" customHeight="false" outlineLevel="0" collapsed="false"/>
    <row r="1032103" customFormat="false" ht="12.8" hidden="false" customHeight="false" outlineLevel="0" collapsed="false"/>
    <row r="1032104" customFormat="false" ht="12.8" hidden="false" customHeight="false" outlineLevel="0" collapsed="false"/>
    <row r="1032105" customFormat="false" ht="12.8" hidden="false" customHeight="false" outlineLevel="0" collapsed="false"/>
    <row r="1032106" customFormat="false" ht="12.8" hidden="false" customHeight="false" outlineLevel="0" collapsed="false"/>
    <row r="1032107" customFormat="false" ht="12.8" hidden="false" customHeight="false" outlineLevel="0" collapsed="false"/>
    <row r="1032108" customFormat="false" ht="12.8" hidden="false" customHeight="false" outlineLevel="0" collapsed="false"/>
    <row r="1032109" customFormat="false" ht="12.8" hidden="false" customHeight="false" outlineLevel="0" collapsed="false"/>
    <row r="1032110" customFormat="false" ht="12.8" hidden="false" customHeight="false" outlineLevel="0" collapsed="false"/>
    <row r="1032111" customFormat="false" ht="12.8" hidden="false" customHeight="false" outlineLevel="0" collapsed="false"/>
    <row r="1032112" customFormat="false" ht="12.8" hidden="false" customHeight="false" outlineLevel="0" collapsed="false"/>
    <row r="1032113" customFormat="false" ht="12.8" hidden="false" customHeight="false" outlineLevel="0" collapsed="false"/>
    <row r="1032114" customFormat="false" ht="12.8" hidden="false" customHeight="false" outlineLevel="0" collapsed="false"/>
    <row r="1032115" customFormat="false" ht="12.8" hidden="false" customHeight="false" outlineLevel="0" collapsed="false"/>
    <row r="1032116" customFormat="false" ht="12.8" hidden="false" customHeight="false" outlineLevel="0" collapsed="false"/>
    <row r="1032117" customFormat="false" ht="12.8" hidden="false" customHeight="false" outlineLevel="0" collapsed="false"/>
    <row r="1032118" customFormat="false" ht="12.8" hidden="false" customHeight="false" outlineLevel="0" collapsed="false"/>
    <row r="1032119" customFormat="false" ht="12.8" hidden="false" customHeight="false" outlineLevel="0" collapsed="false"/>
    <row r="1032120" customFormat="false" ht="12.8" hidden="false" customHeight="false" outlineLevel="0" collapsed="false"/>
    <row r="1032121" customFormat="false" ht="12.8" hidden="false" customHeight="false" outlineLevel="0" collapsed="false"/>
    <row r="1032122" customFormat="false" ht="12.8" hidden="false" customHeight="false" outlineLevel="0" collapsed="false"/>
    <row r="1032123" customFormat="false" ht="12.8" hidden="false" customHeight="false" outlineLevel="0" collapsed="false"/>
    <row r="1032124" customFormat="false" ht="12.8" hidden="false" customHeight="false" outlineLevel="0" collapsed="false"/>
    <row r="1032125" customFormat="false" ht="12.8" hidden="false" customHeight="false" outlineLevel="0" collapsed="false"/>
    <row r="1032126" customFormat="false" ht="12.8" hidden="false" customHeight="false" outlineLevel="0" collapsed="false"/>
    <row r="1032127" customFormat="false" ht="12.8" hidden="false" customHeight="false" outlineLevel="0" collapsed="false"/>
    <row r="1032128" customFormat="false" ht="12.8" hidden="false" customHeight="false" outlineLevel="0" collapsed="false"/>
    <row r="1032129" customFormat="false" ht="12.8" hidden="false" customHeight="false" outlineLevel="0" collapsed="false"/>
    <row r="1032130" customFormat="false" ht="12.8" hidden="false" customHeight="false" outlineLevel="0" collapsed="false"/>
    <row r="1032131" customFormat="false" ht="12.8" hidden="false" customHeight="false" outlineLevel="0" collapsed="false"/>
    <row r="1032132" customFormat="false" ht="12.8" hidden="false" customHeight="false" outlineLevel="0" collapsed="false"/>
    <row r="1032133" customFormat="false" ht="12.8" hidden="false" customHeight="false" outlineLevel="0" collapsed="false"/>
    <row r="1032134" customFormat="false" ht="12.8" hidden="false" customHeight="false" outlineLevel="0" collapsed="false"/>
    <row r="1032135" customFormat="false" ht="12.8" hidden="false" customHeight="false" outlineLevel="0" collapsed="false"/>
    <row r="1032136" customFormat="false" ht="12.8" hidden="false" customHeight="false" outlineLevel="0" collapsed="false"/>
    <row r="1032137" customFormat="false" ht="12.8" hidden="false" customHeight="false" outlineLevel="0" collapsed="false"/>
    <row r="1032138" customFormat="false" ht="12.8" hidden="false" customHeight="false" outlineLevel="0" collapsed="false"/>
    <row r="1032139" customFormat="false" ht="12.8" hidden="false" customHeight="false" outlineLevel="0" collapsed="false"/>
    <row r="1032140" customFormat="false" ht="12.8" hidden="false" customHeight="false" outlineLevel="0" collapsed="false"/>
    <row r="1032141" customFormat="false" ht="12.8" hidden="false" customHeight="false" outlineLevel="0" collapsed="false"/>
    <row r="1032142" customFormat="false" ht="12.8" hidden="false" customHeight="false" outlineLevel="0" collapsed="false"/>
    <row r="1032143" customFormat="false" ht="12.8" hidden="false" customHeight="false" outlineLevel="0" collapsed="false"/>
    <row r="1032144" customFormat="false" ht="12.8" hidden="false" customHeight="false" outlineLevel="0" collapsed="false"/>
    <row r="1032145" customFormat="false" ht="12.8" hidden="false" customHeight="false" outlineLevel="0" collapsed="false"/>
    <row r="1032146" customFormat="false" ht="12.8" hidden="false" customHeight="false" outlineLevel="0" collapsed="false"/>
    <row r="1032147" customFormat="false" ht="12.8" hidden="false" customHeight="false" outlineLevel="0" collapsed="false"/>
    <row r="1032148" customFormat="false" ht="12.8" hidden="false" customHeight="false" outlineLevel="0" collapsed="false"/>
    <row r="1032149" customFormat="false" ht="12.8" hidden="false" customHeight="false" outlineLevel="0" collapsed="false"/>
    <row r="1032150" customFormat="false" ht="12.8" hidden="false" customHeight="false" outlineLevel="0" collapsed="false"/>
    <row r="1032151" customFormat="false" ht="12.8" hidden="false" customHeight="false" outlineLevel="0" collapsed="false"/>
    <row r="1032152" customFormat="false" ht="12.8" hidden="false" customHeight="false" outlineLevel="0" collapsed="false"/>
    <row r="1032153" customFormat="false" ht="12.8" hidden="false" customHeight="false" outlineLevel="0" collapsed="false"/>
    <row r="1032154" customFormat="false" ht="12.8" hidden="false" customHeight="false" outlineLevel="0" collapsed="false"/>
    <row r="1032155" customFormat="false" ht="12.8" hidden="false" customHeight="false" outlineLevel="0" collapsed="false"/>
    <row r="1032156" customFormat="false" ht="12.8" hidden="false" customHeight="false" outlineLevel="0" collapsed="false"/>
    <row r="1032157" customFormat="false" ht="12.8" hidden="false" customHeight="false" outlineLevel="0" collapsed="false"/>
    <row r="1032158" customFormat="false" ht="12.8" hidden="false" customHeight="false" outlineLevel="0" collapsed="false"/>
    <row r="1032159" customFormat="false" ht="12.8" hidden="false" customHeight="false" outlineLevel="0" collapsed="false"/>
    <row r="1032160" customFormat="false" ht="12.8" hidden="false" customHeight="false" outlineLevel="0" collapsed="false"/>
    <row r="1032161" customFormat="false" ht="12.8" hidden="false" customHeight="false" outlineLevel="0" collapsed="false"/>
    <row r="1032162" customFormat="false" ht="12.8" hidden="false" customHeight="false" outlineLevel="0" collapsed="false"/>
    <row r="1032163" customFormat="false" ht="12.8" hidden="false" customHeight="false" outlineLevel="0" collapsed="false"/>
    <row r="1032164" customFormat="false" ht="12.8" hidden="false" customHeight="false" outlineLevel="0" collapsed="false"/>
    <row r="1032165" customFormat="false" ht="12.8" hidden="false" customHeight="false" outlineLevel="0" collapsed="false"/>
    <row r="1032166" customFormat="false" ht="12.8" hidden="false" customHeight="false" outlineLevel="0" collapsed="false"/>
    <row r="1032167" customFormat="false" ht="12.8" hidden="false" customHeight="false" outlineLevel="0" collapsed="false"/>
    <row r="1032168" customFormat="false" ht="12.8" hidden="false" customHeight="false" outlineLevel="0" collapsed="false"/>
    <row r="1032169" customFormat="false" ht="12.8" hidden="false" customHeight="false" outlineLevel="0" collapsed="false"/>
    <row r="1032170" customFormat="false" ht="12.8" hidden="false" customHeight="false" outlineLevel="0" collapsed="false"/>
    <row r="1032171" customFormat="false" ht="12.8" hidden="false" customHeight="false" outlineLevel="0" collapsed="false"/>
    <row r="1032172" customFormat="false" ht="12.8" hidden="false" customHeight="false" outlineLevel="0" collapsed="false"/>
    <row r="1032173" customFormat="false" ht="12.8" hidden="false" customHeight="false" outlineLevel="0" collapsed="false"/>
    <row r="1032174" customFormat="false" ht="12.8" hidden="false" customHeight="false" outlineLevel="0" collapsed="false"/>
    <row r="1032175" customFormat="false" ht="12.8" hidden="false" customHeight="false" outlineLevel="0" collapsed="false"/>
    <row r="1032176" customFormat="false" ht="12.8" hidden="false" customHeight="false" outlineLevel="0" collapsed="false"/>
    <row r="1032177" customFormat="false" ht="12.8" hidden="false" customHeight="false" outlineLevel="0" collapsed="false"/>
    <row r="1032178" customFormat="false" ht="12.8" hidden="false" customHeight="false" outlineLevel="0" collapsed="false"/>
    <row r="1032179" customFormat="false" ht="12.8" hidden="false" customHeight="false" outlineLevel="0" collapsed="false"/>
    <row r="1032180" customFormat="false" ht="12.8" hidden="false" customHeight="false" outlineLevel="0" collapsed="false"/>
    <row r="1032181" customFormat="false" ht="12.8" hidden="false" customHeight="false" outlineLevel="0" collapsed="false"/>
    <row r="1032182" customFormat="false" ht="12.8" hidden="false" customHeight="false" outlineLevel="0" collapsed="false"/>
    <row r="1032183" customFormat="false" ht="12.8" hidden="false" customHeight="false" outlineLevel="0" collapsed="false"/>
    <row r="1032184" customFormat="false" ht="12.8" hidden="false" customHeight="false" outlineLevel="0" collapsed="false"/>
    <row r="1032185" customFormat="false" ht="12.8" hidden="false" customHeight="false" outlineLevel="0" collapsed="false"/>
    <row r="1032186" customFormat="false" ht="12.8" hidden="false" customHeight="false" outlineLevel="0" collapsed="false"/>
    <row r="1032187" customFormat="false" ht="12.8" hidden="false" customHeight="false" outlineLevel="0" collapsed="false"/>
    <row r="1032188" customFormat="false" ht="12.8" hidden="false" customHeight="false" outlineLevel="0" collapsed="false"/>
    <row r="1032189" customFormat="false" ht="12.8" hidden="false" customHeight="false" outlineLevel="0" collapsed="false"/>
    <row r="1032190" customFormat="false" ht="12.8" hidden="false" customHeight="false" outlineLevel="0" collapsed="false"/>
    <row r="1032191" customFormat="false" ht="12.8" hidden="false" customHeight="false" outlineLevel="0" collapsed="false"/>
    <row r="1032192" customFormat="false" ht="12.8" hidden="false" customHeight="false" outlineLevel="0" collapsed="false"/>
    <row r="1032193" customFormat="false" ht="12.8" hidden="false" customHeight="false" outlineLevel="0" collapsed="false"/>
    <row r="1032194" customFormat="false" ht="12.8" hidden="false" customHeight="false" outlineLevel="0" collapsed="false"/>
    <row r="1032195" customFormat="false" ht="12.8" hidden="false" customHeight="false" outlineLevel="0" collapsed="false"/>
    <row r="1032196" customFormat="false" ht="12.8" hidden="false" customHeight="false" outlineLevel="0" collapsed="false"/>
    <row r="1032197" customFormat="false" ht="12.8" hidden="false" customHeight="false" outlineLevel="0" collapsed="false"/>
    <row r="1032198" customFormat="false" ht="12.8" hidden="false" customHeight="false" outlineLevel="0" collapsed="false"/>
    <row r="1032199" customFormat="false" ht="12.8" hidden="false" customHeight="false" outlineLevel="0" collapsed="false"/>
    <row r="1032200" customFormat="false" ht="12.8" hidden="false" customHeight="false" outlineLevel="0" collapsed="false"/>
    <row r="1032201" customFormat="false" ht="12.8" hidden="false" customHeight="false" outlineLevel="0" collapsed="false"/>
    <row r="1032202" customFormat="false" ht="12.8" hidden="false" customHeight="false" outlineLevel="0" collapsed="false"/>
    <row r="1032203" customFormat="false" ht="12.8" hidden="false" customHeight="false" outlineLevel="0" collapsed="false"/>
    <row r="1032204" customFormat="false" ht="12.8" hidden="false" customHeight="false" outlineLevel="0" collapsed="false"/>
    <row r="1032205" customFormat="false" ht="12.8" hidden="false" customHeight="false" outlineLevel="0" collapsed="false"/>
    <row r="1032206" customFormat="false" ht="12.8" hidden="false" customHeight="false" outlineLevel="0" collapsed="false"/>
    <row r="1032207" customFormat="false" ht="12.8" hidden="false" customHeight="false" outlineLevel="0" collapsed="false"/>
    <row r="1032208" customFormat="false" ht="12.8" hidden="false" customHeight="false" outlineLevel="0" collapsed="false"/>
    <row r="1032209" customFormat="false" ht="12.8" hidden="false" customHeight="false" outlineLevel="0" collapsed="false"/>
    <row r="1032210" customFormat="false" ht="12.8" hidden="false" customHeight="false" outlineLevel="0" collapsed="false"/>
    <row r="1032211" customFormat="false" ht="12.8" hidden="false" customHeight="false" outlineLevel="0" collapsed="false"/>
    <row r="1032212" customFormat="false" ht="12.8" hidden="false" customHeight="false" outlineLevel="0" collapsed="false"/>
    <row r="1032213" customFormat="false" ht="12.8" hidden="false" customHeight="false" outlineLevel="0" collapsed="false"/>
    <row r="1032214" customFormat="false" ht="12.8" hidden="false" customHeight="false" outlineLevel="0" collapsed="false"/>
    <row r="1032215" customFormat="false" ht="12.8" hidden="false" customHeight="false" outlineLevel="0" collapsed="false"/>
    <row r="1032216" customFormat="false" ht="12.8" hidden="false" customHeight="false" outlineLevel="0" collapsed="false"/>
    <row r="1032217" customFormat="false" ht="12.8" hidden="false" customHeight="false" outlineLevel="0" collapsed="false"/>
    <row r="1032218" customFormat="false" ht="12.8" hidden="false" customHeight="false" outlineLevel="0" collapsed="false"/>
    <row r="1032219" customFormat="false" ht="12.8" hidden="false" customHeight="false" outlineLevel="0" collapsed="false"/>
    <row r="1032220" customFormat="false" ht="12.8" hidden="false" customHeight="false" outlineLevel="0" collapsed="false"/>
    <row r="1032221" customFormat="false" ht="12.8" hidden="false" customHeight="false" outlineLevel="0" collapsed="false"/>
    <row r="1032222" customFormat="false" ht="12.8" hidden="false" customHeight="false" outlineLevel="0" collapsed="false"/>
    <row r="1032223" customFormat="false" ht="12.8" hidden="false" customHeight="false" outlineLevel="0" collapsed="false"/>
    <row r="1032224" customFormat="false" ht="12.8" hidden="false" customHeight="false" outlineLevel="0" collapsed="false"/>
    <row r="1032225" customFormat="false" ht="12.8" hidden="false" customHeight="false" outlineLevel="0" collapsed="false"/>
    <row r="1032226" customFormat="false" ht="12.8" hidden="false" customHeight="false" outlineLevel="0" collapsed="false"/>
    <row r="1032227" customFormat="false" ht="12.8" hidden="false" customHeight="false" outlineLevel="0" collapsed="false"/>
    <row r="1032228" customFormat="false" ht="12.8" hidden="false" customHeight="false" outlineLevel="0" collapsed="false"/>
    <row r="1032229" customFormat="false" ht="12.8" hidden="false" customHeight="false" outlineLevel="0" collapsed="false"/>
    <row r="1032230" customFormat="false" ht="12.8" hidden="false" customHeight="false" outlineLevel="0" collapsed="false"/>
    <row r="1032231" customFormat="false" ht="12.8" hidden="false" customHeight="false" outlineLevel="0" collapsed="false"/>
    <row r="1032232" customFormat="false" ht="12.8" hidden="false" customHeight="false" outlineLevel="0" collapsed="false"/>
    <row r="1032233" customFormat="false" ht="12.8" hidden="false" customHeight="false" outlineLevel="0" collapsed="false"/>
    <row r="1032234" customFormat="false" ht="12.8" hidden="false" customHeight="false" outlineLevel="0" collapsed="false"/>
    <row r="1032235" customFormat="false" ht="12.8" hidden="false" customHeight="false" outlineLevel="0" collapsed="false"/>
    <row r="1032236" customFormat="false" ht="12.8" hidden="false" customHeight="false" outlineLevel="0" collapsed="false"/>
    <row r="1032237" customFormat="false" ht="12.8" hidden="false" customHeight="false" outlineLevel="0" collapsed="false"/>
    <row r="1032238" customFormat="false" ht="12.8" hidden="false" customHeight="false" outlineLevel="0" collapsed="false"/>
    <row r="1032239" customFormat="false" ht="12.8" hidden="false" customHeight="false" outlineLevel="0" collapsed="false"/>
    <row r="1032240" customFormat="false" ht="12.8" hidden="false" customHeight="false" outlineLevel="0" collapsed="false"/>
    <row r="1032241" customFormat="false" ht="12.8" hidden="false" customHeight="false" outlineLevel="0" collapsed="false"/>
    <row r="1032242" customFormat="false" ht="12.8" hidden="false" customHeight="false" outlineLevel="0" collapsed="false"/>
    <row r="1032243" customFormat="false" ht="12.8" hidden="false" customHeight="false" outlineLevel="0" collapsed="false"/>
    <row r="1032244" customFormat="false" ht="12.8" hidden="false" customHeight="false" outlineLevel="0" collapsed="false"/>
    <row r="1032245" customFormat="false" ht="12.8" hidden="false" customHeight="false" outlineLevel="0" collapsed="false"/>
    <row r="1032246" customFormat="false" ht="12.8" hidden="false" customHeight="false" outlineLevel="0" collapsed="false"/>
    <row r="1032247" customFormat="false" ht="12.8" hidden="false" customHeight="false" outlineLevel="0" collapsed="false"/>
    <row r="1032248" customFormat="false" ht="12.8" hidden="false" customHeight="false" outlineLevel="0" collapsed="false"/>
    <row r="1032249" customFormat="false" ht="12.8" hidden="false" customHeight="false" outlineLevel="0" collapsed="false"/>
    <row r="1032250" customFormat="false" ht="12.8" hidden="false" customHeight="false" outlineLevel="0" collapsed="false"/>
    <row r="1032251" customFormat="false" ht="12.8" hidden="false" customHeight="false" outlineLevel="0" collapsed="false"/>
    <row r="1032252" customFormat="false" ht="12.8" hidden="false" customHeight="false" outlineLevel="0" collapsed="false"/>
    <row r="1032253" customFormat="false" ht="12.8" hidden="false" customHeight="false" outlineLevel="0" collapsed="false"/>
    <row r="1032254" customFormat="false" ht="12.8" hidden="false" customHeight="false" outlineLevel="0" collapsed="false"/>
    <row r="1032255" customFormat="false" ht="12.8" hidden="false" customHeight="false" outlineLevel="0" collapsed="false"/>
    <row r="1032256" customFormat="false" ht="12.8" hidden="false" customHeight="false" outlineLevel="0" collapsed="false"/>
    <row r="1032257" customFormat="false" ht="12.8" hidden="false" customHeight="false" outlineLevel="0" collapsed="false"/>
    <row r="1032258" customFormat="false" ht="12.8" hidden="false" customHeight="false" outlineLevel="0" collapsed="false"/>
    <row r="1032259" customFormat="false" ht="12.8" hidden="false" customHeight="false" outlineLevel="0" collapsed="false"/>
    <row r="1032260" customFormat="false" ht="12.8" hidden="false" customHeight="false" outlineLevel="0" collapsed="false"/>
    <row r="1032261" customFormat="false" ht="12.8" hidden="false" customHeight="false" outlineLevel="0" collapsed="false"/>
    <row r="1032262" customFormat="false" ht="12.8" hidden="false" customHeight="false" outlineLevel="0" collapsed="false"/>
    <row r="1032263" customFormat="false" ht="12.8" hidden="false" customHeight="false" outlineLevel="0" collapsed="false"/>
    <row r="1032264" customFormat="false" ht="12.8" hidden="false" customHeight="false" outlineLevel="0" collapsed="false"/>
    <row r="1032265" customFormat="false" ht="12.8" hidden="false" customHeight="false" outlineLevel="0" collapsed="false"/>
    <row r="1032266" customFormat="false" ht="12.8" hidden="false" customHeight="false" outlineLevel="0" collapsed="false"/>
    <row r="1032267" customFormat="false" ht="12.8" hidden="false" customHeight="false" outlineLevel="0" collapsed="false"/>
    <row r="1032268" customFormat="false" ht="12.8" hidden="false" customHeight="false" outlineLevel="0" collapsed="false"/>
    <row r="1032269" customFormat="false" ht="12.8" hidden="false" customHeight="false" outlineLevel="0" collapsed="false"/>
    <row r="1032270" customFormat="false" ht="12.8" hidden="false" customHeight="false" outlineLevel="0" collapsed="false"/>
    <row r="1032271" customFormat="false" ht="12.8" hidden="false" customHeight="false" outlineLevel="0" collapsed="false"/>
    <row r="1032272" customFormat="false" ht="12.8" hidden="false" customHeight="false" outlineLevel="0" collapsed="false"/>
    <row r="1032273" customFormat="false" ht="12.8" hidden="false" customHeight="false" outlineLevel="0" collapsed="false"/>
    <row r="1032274" customFormat="false" ht="12.8" hidden="false" customHeight="false" outlineLevel="0" collapsed="false"/>
    <row r="1032275" customFormat="false" ht="12.8" hidden="false" customHeight="false" outlineLevel="0" collapsed="false"/>
    <row r="1032276" customFormat="false" ht="12.8" hidden="false" customHeight="false" outlineLevel="0" collapsed="false"/>
    <row r="1032277" customFormat="false" ht="12.8" hidden="false" customHeight="false" outlineLevel="0" collapsed="false"/>
    <row r="1032278" customFormat="false" ht="12.8" hidden="false" customHeight="false" outlineLevel="0" collapsed="false"/>
    <row r="1032279" customFormat="false" ht="12.8" hidden="false" customHeight="false" outlineLevel="0" collapsed="false"/>
    <row r="1032280" customFormat="false" ht="12.8" hidden="false" customHeight="false" outlineLevel="0" collapsed="false"/>
    <row r="1032281" customFormat="false" ht="12.8" hidden="false" customHeight="false" outlineLevel="0" collapsed="false"/>
    <row r="1032282" customFormat="false" ht="12.8" hidden="false" customHeight="false" outlineLevel="0" collapsed="false"/>
    <row r="1032283" customFormat="false" ht="12.8" hidden="false" customHeight="false" outlineLevel="0" collapsed="false"/>
    <row r="1032284" customFormat="false" ht="12.8" hidden="false" customHeight="false" outlineLevel="0" collapsed="false"/>
    <row r="1032285" customFormat="false" ht="12.8" hidden="false" customHeight="false" outlineLevel="0" collapsed="false"/>
    <row r="1032286" customFormat="false" ht="12.8" hidden="false" customHeight="false" outlineLevel="0" collapsed="false"/>
    <row r="1032287" customFormat="false" ht="12.8" hidden="false" customHeight="false" outlineLevel="0" collapsed="false"/>
    <row r="1032288" customFormat="false" ht="12.8" hidden="false" customHeight="false" outlineLevel="0" collapsed="false"/>
    <row r="1032289" customFormat="false" ht="12.8" hidden="false" customHeight="false" outlineLevel="0" collapsed="false"/>
    <row r="1032290" customFormat="false" ht="12.8" hidden="false" customHeight="false" outlineLevel="0" collapsed="false"/>
    <row r="1032291" customFormat="false" ht="12.8" hidden="false" customHeight="false" outlineLevel="0" collapsed="false"/>
    <row r="1032292" customFormat="false" ht="12.8" hidden="false" customHeight="false" outlineLevel="0" collapsed="false"/>
    <row r="1032293" customFormat="false" ht="12.8" hidden="false" customHeight="false" outlineLevel="0" collapsed="false"/>
    <row r="1032294" customFormat="false" ht="12.8" hidden="false" customHeight="false" outlineLevel="0" collapsed="false"/>
    <row r="1032295" customFormat="false" ht="12.8" hidden="false" customHeight="false" outlineLevel="0" collapsed="false"/>
    <row r="1032296" customFormat="false" ht="12.8" hidden="false" customHeight="false" outlineLevel="0" collapsed="false"/>
    <row r="1032297" customFormat="false" ht="12.8" hidden="false" customHeight="false" outlineLevel="0" collapsed="false"/>
    <row r="1032298" customFormat="false" ht="12.8" hidden="false" customHeight="false" outlineLevel="0" collapsed="false"/>
    <row r="1032299" customFormat="false" ht="12.8" hidden="false" customHeight="false" outlineLevel="0" collapsed="false"/>
    <row r="1032300" customFormat="false" ht="12.8" hidden="false" customHeight="false" outlineLevel="0" collapsed="false"/>
    <row r="1032301" customFormat="false" ht="12.8" hidden="false" customHeight="false" outlineLevel="0" collapsed="false"/>
    <row r="1032302" customFormat="false" ht="12.8" hidden="false" customHeight="false" outlineLevel="0" collapsed="false"/>
    <row r="1032303" customFormat="false" ht="12.8" hidden="false" customHeight="false" outlineLevel="0" collapsed="false"/>
    <row r="1032304" customFormat="false" ht="12.8" hidden="false" customHeight="false" outlineLevel="0" collapsed="false"/>
    <row r="1032305" customFormat="false" ht="12.8" hidden="false" customHeight="false" outlineLevel="0" collapsed="false"/>
    <row r="1032306" customFormat="false" ht="12.8" hidden="false" customHeight="false" outlineLevel="0" collapsed="false"/>
    <row r="1032307" customFormat="false" ht="12.8" hidden="false" customHeight="false" outlineLevel="0" collapsed="false"/>
    <row r="1032308" customFormat="false" ht="12.8" hidden="false" customHeight="false" outlineLevel="0" collapsed="false"/>
    <row r="1032309" customFormat="false" ht="12.8" hidden="false" customHeight="false" outlineLevel="0" collapsed="false"/>
    <row r="1032310" customFormat="false" ht="12.8" hidden="false" customHeight="false" outlineLevel="0" collapsed="false"/>
    <row r="1032311" customFormat="false" ht="12.8" hidden="false" customHeight="false" outlineLevel="0" collapsed="false"/>
    <row r="1032312" customFormat="false" ht="12.8" hidden="false" customHeight="false" outlineLevel="0" collapsed="false"/>
    <row r="1032313" customFormat="false" ht="12.8" hidden="false" customHeight="false" outlineLevel="0" collapsed="false"/>
    <row r="1032314" customFormat="false" ht="12.8" hidden="false" customHeight="false" outlineLevel="0" collapsed="false"/>
    <row r="1032315" customFormat="false" ht="12.8" hidden="false" customHeight="false" outlineLevel="0" collapsed="false"/>
    <row r="1032316" customFormat="false" ht="12.8" hidden="false" customHeight="false" outlineLevel="0" collapsed="false"/>
    <row r="1032317" customFormat="false" ht="12.8" hidden="false" customHeight="false" outlineLevel="0" collapsed="false"/>
    <row r="1032318" customFormat="false" ht="12.8" hidden="false" customHeight="false" outlineLevel="0" collapsed="false"/>
    <row r="1032319" customFormat="false" ht="12.8" hidden="false" customHeight="false" outlineLevel="0" collapsed="false"/>
    <row r="1032320" customFormat="false" ht="12.8" hidden="false" customHeight="false" outlineLevel="0" collapsed="false"/>
    <row r="1032321" customFormat="false" ht="12.8" hidden="false" customHeight="false" outlineLevel="0" collapsed="false"/>
    <row r="1032322" customFormat="false" ht="12.8" hidden="false" customHeight="false" outlineLevel="0" collapsed="false"/>
    <row r="1032323" customFormat="false" ht="12.8" hidden="false" customHeight="false" outlineLevel="0" collapsed="false"/>
    <row r="1032324" customFormat="false" ht="12.8" hidden="false" customHeight="false" outlineLevel="0" collapsed="false"/>
    <row r="1032325" customFormat="false" ht="12.8" hidden="false" customHeight="false" outlineLevel="0" collapsed="false"/>
    <row r="1032326" customFormat="false" ht="12.8" hidden="false" customHeight="false" outlineLevel="0" collapsed="false"/>
    <row r="1032327" customFormat="false" ht="12.8" hidden="false" customHeight="false" outlineLevel="0" collapsed="false"/>
    <row r="1032328" customFormat="false" ht="12.8" hidden="false" customHeight="false" outlineLevel="0" collapsed="false"/>
    <row r="1032329" customFormat="false" ht="12.8" hidden="false" customHeight="false" outlineLevel="0" collapsed="false"/>
    <row r="1032330" customFormat="false" ht="12.8" hidden="false" customHeight="false" outlineLevel="0" collapsed="false"/>
    <row r="1032331" customFormat="false" ht="12.8" hidden="false" customHeight="false" outlineLevel="0" collapsed="false"/>
    <row r="1032332" customFormat="false" ht="12.8" hidden="false" customHeight="false" outlineLevel="0" collapsed="false"/>
    <row r="1032333" customFormat="false" ht="12.8" hidden="false" customHeight="false" outlineLevel="0" collapsed="false"/>
    <row r="1032334" customFormat="false" ht="12.8" hidden="false" customHeight="false" outlineLevel="0" collapsed="false"/>
    <row r="1032335" customFormat="false" ht="12.8" hidden="false" customHeight="false" outlineLevel="0" collapsed="false"/>
    <row r="1032336" customFormat="false" ht="12.8" hidden="false" customHeight="false" outlineLevel="0" collapsed="false"/>
    <row r="1032337" customFormat="false" ht="12.8" hidden="false" customHeight="false" outlineLevel="0" collapsed="false"/>
    <row r="1032338" customFormat="false" ht="12.8" hidden="false" customHeight="false" outlineLevel="0" collapsed="false"/>
    <row r="1032339" customFormat="false" ht="12.8" hidden="false" customHeight="false" outlineLevel="0" collapsed="false"/>
    <row r="1032340" customFormat="false" ht="12.8" hidden="false" customHeight="false" outlineLevel="0" collapsed="false"/>
    <row r="1032341" customFormat="false" ht="12.8" hidden="false" customHeight="false" outlineLevel="0" collapsed="false"/>
    <row r="1032342" customFormat="false" ht="12.8" hidden="false" customHeight="false" outlineLevel="0" collapsed="false"/>
    <row r="1032343" customFormat="false" ht="12.8" hidden="false" customHeight="false" outlineLevel="0" collapsed="false"/>
    <row r="1032344" customFormat="false" ht="12.8" hidden="false" customHeight="false" outlineLevel="0" collapsed="false"/>
    <row r="1032345" customFormat="false" ht="12.8" hidden="false" customHeight="false" outlineLevel="0" collapsed="false"/>
    <row r="1032346" customFormat="false" ht="12.8" hidden="false" customHeight="false" outlineLevel="0" collapsed="false"/>
    <row r="1032347" customFormat="false" ht="12.8" hidden="false" customHeight="false" outlineLevel="0" collapsed="false"/>
    <row r="1032348" customFormat="false" ht="12.8" hidden="false" customHeight="false" outlineLevel="0" collapsed="false"/>
    <row r="1032349" customFormat="false" ht="12.8" hidden="false" customHeight="false" outlineLevel="0" collapsed="false"/>
    <row r="1032350" customFormat="false" ht="12.8" hidden="false" customHeight="false" outlineLevel="0" collapsed="false"/>
    <row r="1032351" customFormat="false" ht="12.8" hidden="false" customHeight="false" outlineLevel="0" collapsed="false"/>
    <row r="1032352" customFormat="false" ht="12.8" hidden="false" customHeight="false" outlineLevel="0" collapsed="false"/>
    <row r="1032353" customFormat="false" ht="12.8" hidden="false" customHeight="false" outlineLevel="0" collapsed="false"/>
    <row r="1032354" customFormat="false" ht="12.8" hidden="false" customHeight="false" outlineLevel="0" collapsed="false"/>
    <row r="1032355" customFormat="false" ht="12.8" hidden="false" customHeight="false" outlineLevel="0" collapsed="false"/>
    <row r="1032356" customFormat="false" ht="12.8" hidden="false" customHeight="false" outlineLevel="0" collapsed="false"/>
    <row r="1032357" customFormat="false" ht="12.8" hidden="false" customHeight="false" outlineLevel="0" collapsed="false"/>
    <row r="1032358" customFormat="false" ht="12.8" hidden="false" customHeight="false" outlineLevel="0" collapsed="false"/>
    <row r="1032359" customFormat="false" ht="12.8" hidden="false" customHeight="false" outlineLevel="0" collapsed="false"/>
    <row r="1032360" customFormat="false" ht="12.8" hidden="false" customHeight="false" outlineLevel="0" collapsed="false"/>
    <row r="1032361" customFormat="false" ht="12.8" hidden="false" customHeight="false" outlineLevel="0" collapsed="false"/>
    <row r="1032362" customFormat="false" ht="12.8" hidden="false" customHeight="false" outlineLevel="0" collapsed="false"/>
    <row r="1032363" customFormat="false" ht="12.8" hidden="false" customHeight="false" outlineLevel="0" collapsed="false"/>
    <row r="1032364" customFormat="false" ht="12.8" hidden="false" customHeight="false" outlineLevel="0" collapsed="false"/>
    <row r="1032365" customFormat="false" ht="12.8" hidden="false" customHeight="false" outlineLevel="0" collapsed="false"/>
    <row r="1032366" customFormat="false" ht="12.8" hidden="false" customHeight="false" outlineLevel="0" collapsed="false"/>
    <row r="1032367" customFormat="false" ht="12.8" hidden="false" customHeight="false" outlineLevel="0" collapsed="false"/>
    <row r="1032368" customFormat="false" ht="12.8" hidden="false" customHeight="false" outlineLevel="0" collapsed="false"/>
    <row r="1032369" customFormat="false" ht="12.8" hidden="false" customHeight="false" outlineLevel="0" collapsed="false"/>
    <row r="1032370" customFormat="false" ht="12.8" hidden="false" customHeight="false" outlineLevel="0" collapsed="false"/>
    <row r="1032371" customFormat="false" ht="12.8" hidden="false" customHeight="false" outlineLevel="0" collapsed="false"/>
    <row r="1032372" customFormat="false" ht="12.8" hidden="false" customHeight="false" outlineLevel="0" collapsed="false"/>
    <row r="1032373" customFormat="false" ht="12.8" hidden="false" customHeight="false" outlineLevel="0" collapsed="false"/>
    <row r="1032374" customFormat="false" ht="12.8" hidden="false" customHeight="false" outlineLevel="0" collapsed="false"/>
    <row r="1032375" customFormat="false" ht="12.8" hidden="false" customHeight="false" outlineLevel="0" collapsed="false"/>
    <row r="1032376" customFormat="false" ht="12.8" hidden="false" customHeight="false" outlineLevel="0" collapsed="false"/>
    <row r="1032377" customFormat="false" ht="12.8" hidden="false" customHeight="false" outlineLevel="0" collapsed="false"/>
    <row r="1032378" customFormat="false" ht="12.8" hidden="false" customHeight="false" outlineLevel="0" collapsed="false"/>
    <row r="1032379" customFormat="false" ht="12.8" hidden="false" customHeight="false" outlineLevel="0" collapsed="false"/>
    <row r="1032380" customFormat="false" ht="12.8" hidden="false" customHeight="false" outlineLevel="0" collapsed="false"/>
    <row r="1032381" customFormat="false" ht="12.8" hidden="false" customHeight="false" outlineLevel="0" collapsed="false"/>
    <row r="1032382" customFormat="false" ht="12.8" hidden="false" customHeight="false" outlineLevel="0" collapsed="false"/>
    <row r="1032383" customFormat="false" ht="12.8" hidden="false" customHeight="false" outlineLevel="0" collapsed="false"/>
    <row r="1032384" customFormat="false" ht="12.8" hidden="false" customHeight="false" outlineLevel="0" collapsed="false"/>
    <row r="1032385" customFormat="false" ht="12.8" hidden="false" customHeight="false" outlineLevel="0" collapsed="false"/>
    <row r="1032386" customFormat="false" ht="12.8" hidden="false" customHeight="false" outlineLevel="0" collapsed="false"/>
    <row r="1032387" customFormat="false" ht="12.8" hidden="false" customHeight="false" outlineLevel="0" collapsed="false"/>
    <row r="1032388" customFormat="false" ht="12.8" hidden="false" customHeight="false" outlineLevel="0" collapsed="false"/>
    <row r="1032389" customFormat="false" ht="12.8" hidden="false" customHeight="false" outlineLevel="0" collapsed="false"/>
    <row r="1032390" customFormat="false" ht="12.8" hidden="false" customHeight="false" outlineLevel="0" collapsed="false"/>
    <row r="1032391" customFormat="false" ht="12.8" hidden="false" customHeight="false" outlineLevel="0" collapsed="false"/>
    <row r="1032392" customFormat="false" ht="12.8" hidden="false" customHeight="false" outlineLevel="0" collapsed="false"/>
    <row r="1032393" customFormat="false" ht="12.8" hidden="false" customHeight="false" outlineLevel="0" collapsed="false"/>
    <row r="1032394" customFormat="false" ht="12.8" hidden="false" customHeight="false" outlineLevel="0" collapsed="false"/>
    <row r="1032395" customFormat="false" ht="12.8" hidden="false" customHeight="false" outlineLevel="0" collapsed="false"/>
    <row r="1032396" customFormat="false" ht="12.8" hidden="false" customHeight="false" outlineLevel="0" collapsed="false"/>
    <row r="1032397" customFormat="false" ht="12.8" hidden="false" customHeight="false" outlineLevel="0" collapsed="false"/>
    <row r="1032398" customFormat="false" ht="12.8" hidden="false" customHeight="false" outlineLevel="0" collapsed="false"/>
    <row r="1032399" customFormat="false" ht="12.8" hidden="false" customHeight="false" outlineLevel="0" collapsed="false"/>
    <row r="1032400" customFormat="false" ht="12.8" hidden="false" customHeight="false" outlineLevel="0" collapsed="false"/>
    <row r="1032401" customFormat="false" ht="12.8" hidden="false" customHeight="false" outlineLevel="0" collapsed="false"/>
    <row r="1032402" customFormat="false" ht="12.8" hidden="false" customHeight="false" outlineLevel="0" collapsed="false"/>
    <row r="1032403" customFormat="false" ht="12.8" hidden="false" customHeight="false" outlineLevel="0" collapsed="false"/>
    <row r="1032404" customFormat="false" ht="12.8" hidden="false" customHeight="false" outlineLevel="0" collapsed="false"/>
    <row r="1032405" customFormat="false" ht="12.8" hidden="false" customHeight="false" outlineLevel="0" collapsed="false"/>
    <row r="1032406" customFormat="false" ht="12.8" hidden="false" customHeight="false" outlineLevel="0" collapsed="false"/>
    <row r="1032407" customFormat="false" ht="12.8" hidden="false" customHeight="false" outlineLevel="0" collapsed="false"/>
    <row r="1032408" customFormat="false" ht="12.8" hidden="false" customHeight="false" outlineLevel="0" collapsed="false"/>
    <row r="1032409" customFormat="false" ht="12.8" hidden="false" customHeight="false" outlineLevel="0" collapsed="false"/>
    <row r="1032410" customFormat="false" ht="12.8" hidden="false" customHeight="false" outlineLevel="0" collapsed="false"/>
    <row r="1032411" customFormat="false" ht="12.8" hidden="false" customHeight="false" outlineLevel="0" collapsed="false"/>
    <row r="1032412" customFormat="false" ht="12.8" hidden="false" customHeight="false" outlineLevel="0" collapsed="false"/>
    <row r="1032413" customFormat="false" ht="12.8" hidden="false" customHeight="false" outlineLevel="0" collapsed="false"/>
    <row r="1032414" customFormat="false" ht="12.8" hidden="false" customHeight="false" outlineLevel="0" collapsed="false"/>
    <row r="1032415" customFormat="false" ht="12.8" hidden="false" customHeight="false" outlineLevel="0" collapsed="false"/>
    <row r="1032416" customFormat="false" ht="12.8" hidden="false" customHeight="false" outlineLevel="0" collapsed="false"/>
    <row r="1032417" customFormat="false" ht="12.8" hidden="false" customHeight="false" outlineLevel="0" collapsed="false"/>
    <row r="1032418" customFormat="false" ht="12.8" hidden="false" customHeight="false" outlineLevel="0" collapsed="false"/>
    <row r="1032419" customFormat="false" ht="12.8" hidden="false" customHeight="false" outlineLevel="0" collapsed="false"/>
    <row r="1032420" customFormat="false" ht="12.8" hidden="false" customHeight="false" outlineLevel="0" collapsed="false"/>
    <row r="1032421" customFormat="false" ht="12.8" hidden="false" customHeight="false" outlineLevel="0" collapsed="false"/>
    <row r="1032422" customFormat="false" ht="12.8" hidden="false" customHeight="false" outlineLevel="0" collapsed="false"/>
    <row r="1032423" customFormat="false" ht="12.8" hidden="false" customHeight="false" outlineLevel="0" collapsed="false"/>
    <row r="1032424" customFormat="false" ht="12.8" hidden="false" customHeight="false" outlineLevel="0" collapsed="false"/>
    <row r="1032425" customFormat="false" ht="12.8" hidden="false" customHeight="false" outlineLevel="0" collapsed="false"/>
    <row r="1032426" customFormat="false" ht="12.8" hidden="false" customHeight="false" outlineLevel="0" collapsed="false"/>
    <row r="1032427" customFormat="false" ht="12.8" hidden="false" customHeight="false" outlineLevel="0" collapsed="false"/>
    <row r="1032428" customFormat="false" ht="12.8" hidden="false" customHeight="false" outlineLevel="0" collapsed="false"/>
    <row r="1032429" customFormat="false" ht="12.8" hidden="false" customHeight="false" outlineLevel="0" collapsed="false"/>
    <row r="1032430" customFormat="false" ht="12.8" hidden="false" customHeight="false" outlineLevel="0" collapsed="false"/>
    <row r="1032431" customFormat="false" ht="12.8" hidden="false" customHeight="false" outlineLevel="0" collapsed="false"/>
    <row r="1032432" customFormat="false" ht="12.8" hidden="false" customHeight="false" outlineLevel="0" collapsed="false"/>
    <row r="1032433" customFormat="false" ht="12.8" hidden="false" customHeight="false" outlineLevel="0" collapsed="false"/>
    <row r="1032434" customFormat="false" ht="12.8" hidden="false" customHeight="false" outlineLevel="0" collapsed="false"/>
    <row r="1032435" customFormat="false" ht="12.8" hidden="false" customHeight="false" outlineLevel="0" collapsed="false"/>
    <row r="1032436" customFormat="false" ht="12.8" hidden="false" customHeight="false" outlineLevel="0" collapsed="false"/>
    <row r="1032437" customFormat="false" ht="12.8" hidden="false" customHeight="false" outlineLevel="0" collapsed="false"/>
    <row r="1032438" customFormat="false" ht="12.8" hidden="false" customHeight="false" outlineLevel="0" collapsed="false"/>
    <row r="1032439" customFormat="false" ht="12.8" hidden="false" customHeight="false" outlineLevel="0" collapsed="false"/>
    <row r="1032440" customFormat="false" ht="12.8" hidden="false" customHeight="false" outlineLevel="0" collapsed="false"/>
    <row r="1032441" customFormat="false" ht="12.8" hidden="false" customHeight="false" outlineLevel="0" collapsed="false"/>
    <row r="1032442" customFormat="false" ht="12.8" hidden="false" customHeight="false" outlineLevel="0" collapsed="false"/>
    <row r="1032443" customFormat="false" ht="12.8" hidden="false" customHeight="false" outlineLevel="0" collapsed="false"/>
    <row r="1032444" customFormat="false" ht="12.8" hidden="false" customHeight="false" outlineLevel="0" collapsed="false"/>
    <row r="1032445" customFormat="false" ht="12.8" hidden="false" customHeight="false" outlineLevel="0" collapsed="false"/>
    <row r="1032446" customFormat="false" ht="12.8" hidden="false" customHeight="false" outlineLevel="0" collapsed="false"/>
    <row r="1032447" customFormat="false" ht="12.8" hidden="false" customHeight="false" outlineLevel="0" collapsed="false"/>
    <row r="1032448" customFormat="false" ht="12.8" hidden="false" customHeight="false" outlineLevel="0" collapsed="false"/>
    <row r="1032449" customFormat="false" ht="12.8" hidden="false" customHeight="false" outlineLevel="0" collapsed="false"/>
    <row r="1032450" customFormat="false" ht="12.8" hidden="false" customHeight="false" outlineLevel="0" collapsed="false"/>
    <row r="1032451" customFormat="false" ht="12.8" hidden="false" customHeight="false" outlineLevel="0" collapsed="false"/>
    <row r="1032452" customFormat="false" ht="12.8" hidden="false" customHeight="false" outlineLevel="0" collapsed="false"/>
    <row r="1032453" customFormat="false" ht="12.8" hidden="false" customHeight="false" outlineLevel="0" collapsed="false"/>
    <row r="1032454" customFormat="false" ht="12.8" hidden="false" customHeight="false" outlineLevel="0" collapsed="false"/>
    <row r="1032455" customFormat="false" ht="12.8" hidden="false" customHeight="false" outlineLevel="0" collapsed="false"/>
    <row r="1032456" customFormat="false" ht="12.8" hidden="false" customHeight="false" outlineLevel="0" collapsed="false"/>
    <row r="1032457" customFormat="false" ht="12.8" hidden="false" customHeight="false" outlineLevel="0" collapsed="false"/>
    <row r="1032458" customFormat="false" ht="12.8" hidden="false" customHeight="false" outlineLevel="0" collapsed="false"/>
    <row r="1032459" customFormat="false" ht="12.8" hidden="false" customHeight="false" outlineLevel="0" collapsed="false"/>
    <row r="1032460" customFormat="false" ht="12.8" hidden="false" customHeight="false" outlineLevel="0" collapsed="false"/>
    <row r="1032461" customFormat="false" ht="12.8" hidden="false" customHeight="false" outlineLevel="0" collapsed="false"/>
    <row r="1032462" customFormat="false" ht="12.8" hidden="false" customHeight="false" outlineLevel="0" collapsed="false"/>
    <row r="1032463" customFormat="false" ht="12.8" hidden="false" customHeight="false" outlineLevel="0" collapsed="false"/>
    <row r="1032464" customFormat="false" ht="12.8" hidden="false" customHeight="false" outlineLevel="0" collapsed="false"/>
    <row r="1032465" customFormat="false" ht="12.8" hidden="false" customHeight="false" outlineLevel="0" collapsed="false"/>
    <row r="1032466" customFormat="false" ht="12.8" hidden="false" customHeight="false" outlineLevel="0" collapsed="false"/>
    <row r="1032467" customFormat="false" ht="12.8" hidden="false" customHeight="false" outlineLevel="0" collapsed="false"/>
    <row r="1032468" customFormat="false" ht="12.8" hidden="false" customHeight="false" outlineLevel="0" collapsed="false"/>
    <row r="1032469" customFormat="false" ht="12.8" hidden="false" customHeight="false" outlineLevel="0" collapsed="false"/>
    <row r="1032470" customFormat="false" ht="12.8" hidden="false" customHeight="false" outlineLevel="0" collapsed="false"/>
    <row r="1032471" customFormat="false" ht="12.8" hidden="false" customHeight="false" outlineLevel="0" collapsed="false"/>
    <row r="1032472" customFormat="false" ht="12.8" hidden="false" customHeight="false" outlineLevel="0" collapsed="false"/>
    <row r="1032473" customFormat="false" ht="12.8" hidden="false" customHeight="false" outlineLevel="0" collapsed="false"/>
    <row r="1032474" customFormat="false" ht="12.8" hidden="false" customHeight="false" outlineLevel="0" collapsed="false"/>
    <row r="1032475" customFormat="false" ht="12.8" hidden="false" customHeight="false" outlineLevel="0" collapsed="false"/>
    <row r="1032476" customFormat="false" ht="12.8" hidden="false" customHeight="false" outlineLevel="0" collapsed="false"/>
    <row r="1032477" customFormat="false" ht="12.8" hidden="false" customHeight="false" outlineLevel="0" collapsed="false"/>
    <row r="1032478" customFormat="false" ht="12.8" hidden="false" customHeight="false" outlineLevel="0" collapsed="false"/>
    <row r="1032479" customFormat="false" ht="12.8" hidden="false" customHeight="false" outlineLevel="0" collapsed="false"/>
    <row r="1032480" customFormat="false" ht="12.8" hidden="false" customHeight="false" outlineLevel="0" collapsed="false"/>
    <row r="1032481" customFormat="false" ht="12.8" hidden="false" customHeight="false" outlineLevel="0" collapsed="false"/>
    <row r="1032482" customFormat="false" ht="12.8" hidden="false" customHeight="false" outlineLevel="0" collapsed="false"/>
    <row r="1032483" customFormat="false" ht="12.8" hidden="false" customHeight="false" outlineLevel="0" collapsed="false"/>
    <row r="1032484" customFormat="false" ht="12.8" hidden="false" customHeight="false" outlineLevel="0" collapsed="false"/>
    <row r="1032485" customFormat="false" ht="12.8" hidden="false" customHeight="false" outlineLevel="0" collapsed="false"/>
    <row r="1032486" customFormat="false" ht="12.8" hidden="false" customHeight="false" outlineLevel="0" collapsed="false"/>
    <row r="1032487" customFormat="false" ht="12.8" hidden="false" customHeight="false" outlineLevel="0" collapsed="false"/>
    <row r="1032488" customFormat="false" ht="12.8" hidden="false" customHeight="false" outlineLevel="0" collapsed="false"/>
    <row r="1032489" customFormat="false" ht="12.8" hidden="false" customHeight="false" outlineLevel="0" collapsed="false"/>
    <row r="1032490" customFormat="false" ht="12.8" hidden="false" customHeight="false" outlineLevel="0" collapsed="false"/>
    <row r="1032491" customFormat="false" ht="12.8" hidden="false" customHeight="false" outlineLevel="0" collapsed="false"/>
    <row r="1032492" customFormat="false" ht="12.8" hidden="false" customHeight="false" outlineLevel="0" collapsed="false"/>
    <row r="1032493" customFormat="false" ht="12.8" hidden="false" customHeight="false" outlineLevel="0" collapsed="false"/>
    <row r="1032494" customFormat="false" ht="12.8" hidden="false" customHeight="false" outlineLevel="0" collapsed="false"/>
    <row r="1032495" customFormat="false" ht="12.8" hidden="false" customHeight="false" outlineLevel="0" collapsed="false"/>
    <row r="1032496" customFormat="false" ht="12.8" hidden="false" customHeight="false" outlineLevel="0" collapsed="false"/>
    <row r="1032497" customFormat="false" ht="12.8" hidden="false" customHeight="false" outlineLevel="0" collapsed="false"/>
    <row r="1032498" customFormat="false" ht="12.8" hidden="false" customHeight="false" outlineLevel="0" collapsed="false"/>
    <row r="1032499" customFormat="false" ht="12.8" hidden="false" customHeight="false" outlineLevel="0" collapsed="false"/>
    <row r="1032500" customFormat="false" ht="12.8" hidden="false" customHeight="false" outlineLevel="0" collapsed="false"/>
    <row r="1032501" customFormat="false" ht="12.8" hidden="false" customHeight="false" outlineLevel="0" collapsed="false"/>
    <row r="1032502" customFormat="false" ht="12.8" hidden="false" customHeight="false" outlineLevel="0" collapsed="false"/>
    <row r="1032503" customFormat="false" ht="12.8" hidden="false" customHeight="false" outlineLevel="0" collapsed="false"/>
    <row r="1032504" customFormat="false" ht="12.8" hidden="false" customHeight="false" outlineLevel="0" collapsed="false"/>
    <row r="1032505" customFormat="false" ht="12.8" hidden="false" customHeight="false" outlineLevel="0" collapsed="false"/>
    <row r="1032506" customFormat="false" ht="12.8" hidden="false" customHeight="false" outlineLevel="0" collapsed="false"/>
    <row r="1032507" customFormat="false" ht="12.8" hidden="false" customHeight="false" outlineLevel="0" collapsed="false"/>
    <row r="1032508" customFormat="false" ht="12.8" hidden="false" customHeight="false" outlineLevel="0" collapsed="false"/>
    <row r="1032509" customFormat="false" ht="12.8" hidden="false" customHeight="false" outlineLevel="0" collapsed="false"/>
    <row r="1032510" customFormat="false" ht="12.8" hidden="false" customHeight="false" outlineLevel="0" collapsed="false"/>
    <row r="1032511" customFormat="false" ht="12.8" hidden="false" customHeight="false" outlineLevel="0" collapsed="false"/>
    <row r="1032512" customFormat="false" ht="12.8" hidden="false" customHeight="false" outlineLevel="0" collapsed="false"/>
    <row r="1032513" customFormat="false" ht="12.8" hidden="false" customHeight="false" outlineLevel="0" collapsed="false"/>
    <row r="1032514" customFormat="false" ht="12.8" hidden="false" customHeight="false" outlineLevel="0" collapsed="false"/>
    <row r="1032515" customFormat="false" ht="12.8" hidden="false" customHeight="false" outlineLevel="0" collapsed="false"/>
    <row r="1032516" customFormat="false" ht="12.8" hidden="false" customHeight="false" outlineLevel="0" collapsed="false"/>
    <row r="1032517" customFormat="false" ht="12.8" hidden="false" customHeight="false" outlineLevel="0" collapsed="false"/>
    <row r="1032518" customFormat="false" ht="12.8" hidden="false" customHeight="false" outlineLevel="0" collapsed="false"/>
    <row r="1032519" customFormat="false" ht="12.8" hidden="false" customHeight="false" outlineLevel="0" collapsed="false"/>
    <row r="1032520" customFormat="false" ht="12.8" hidden="false" customHeight="false" outlineLevel="0" collapsed="false"/>
    <row r="1032521" customFormat="false" ht="12.8" hidden="false" customHeight="false" outlineLevel="0" collapsed="false"/>
    <row r="1032522" customFormat="false" ht="12.8" hidden="false" customHeight="false" outlineLevel="0" collapsed="false"/>
    <row r="1032523" customFormat="false" ht="12.8" hidden="false" customHeight="false" outlineLevel="0" collapsed="false"/>
    <row r="1032524" customFormat="false" ht="12.8" hidden="false" customHeight="false" outlineLevel="0" collapsed="false"/>
    <row r="1032525" customFormat="false" ht="12.8" hidden="false" customHeight="false" outlineLevel="0" collapsed="false"/>
    <row r="1032526" customFormat="false" ht="12.8" hidden="false" customHeight="false" outlineLevel="0" collapsed="false"/>
    <row r="1032527" customFormat="false" ht="12.8" hidden="false" customHeight="false" outlineLevel="0" collapsed="false"/>
    <row r="1032528" customFormat="false" ht="12.8" hidden="false" customHeight="false" outlineLevel="0" collapsed="false"/>
    <row r="1032529" customFormat="false" ht="12.8" hidden="false" customHeight="false" outlineLevel="0" collapsed="false"/>
    <row r="1032530" customFormat="false" ht="12.8" hidden="false" customHeight="false" outlineLevel="0" collapsed="false"/>
    <row r="1032531" customFormat="false" ht="12.8" hidden="false" customHeight="false" outlineLevel="0" collapsed="false"/>
    <row r="1032532" customFormat="false" ht="12.8" hidden="false" customHeight="false" outlineLevel="0" collapsed="false"/>
    <row r="1032533" customFormat="false" ht="12.8" hidden="false" customHeight="false" outlineLevel="0" collapsed="false"/>
    <row r="1032534" customFormat="false" ht="12.8" hidden="false" customHeight="false" outlineLevel="0" collapsed="false"/>
    <row r="1032535" customFormat="false" ht="12.8" hidden="false" customHeight="false" outlineLevel="0" collapsed="false"/>
    <row r="1032536" customFormat="false" ht="12.8" hidden="false" customHeight="false" outlineLevel="0" collapsed="false"/>
    <row r="1032537" customFormat="false" ht="12.8" hidden="false" customHeight="false" outlineLevel="0" collapsed="false"/>
    <row r="1032538" customFormat="false" ht="12.8" hidden="false" customHeight="false" outlineLevel="0" collapsed="false"/>
    <row r="1032539" customFormat="false" ht="12.8" hidden="false" customHeight="false" outlineLevel="0" collapsed="false"/>
    <row r="1032540" customFormat="false" ht="12.8" hidden="false" customHeight="false" outlineLevel="0" collapsed="false"/>
    <row r="1032541" customFormat="false" ht="12.8" hidden="false" customHeight="false" outlineLevel="0" collapsed="false"/>
    <row r="1032542" customFormat="false" ht="12.8" hidden="false" customHeight="false" outlineLevel="0" collapsed="false"/>
    <row r="1032543" customFormat="false" ht="12.8" hidden="false" customHeight="false" outlineLevel="0" collapsed="false"/>
    <row r="1032544" customFormat="false" ht="12.8" hidden="false" customHeight="false" outlineLevel="0" collapsed="false"/>
    <row r="1032545" customFormat="false" ht="12.8" hidden="false" customHeight="false" outlineLevel="0" collapsed="false"/>
    <row r="1032546" customFormat="false" ht="12.8" hidden="false" customHeight="false" outlineLevel="0" collapsed="false"/>
    <row r="1032547" customFormat="false" ht="12.8" hidden="false" customHeight="false" outlineLevel="0" collapsed="false"/>
    <row r="1032548" customFormat="false" ht="12.8" hidden="false" customHeight="false" outlineLevel="0" collapsed="false"/>
    <row r="1032549" customFormat="false" ht="12.8" hidden="false" customHeight="false" outlineLevel="0" collapsed="false"/>
    <row r="1032550" customFormat="false" ht="12.8" hidden="false" customHeight="false" outlineLevel="0" collapsed="false"/>
    <row r="1032551" customFormat="false" ht="12.8" hidden="false" customHeight="false" outlineLevel="0" collapsed="false"/>
    <row r="1032552" customFormat="false" ht="12.8" hidden="false" customHeight="false" outlineLevel="0" collapsed="false"/>
    <row r="1032553" customFormat="false" ht="12.8" hidden="false" customHeight="false" outlineLevel="0" collapsed="false"/>
    <row r="1032554" customFormat="false" ht="12.8" hidden="false" customHeight="false" outlineLevel="0" collapsed="false"/>
    <row r="1032555" customFormat="false" ht="12.8" hidden="false" customHeight="false" outlineLevel="0" collapsed="false"/>
    <row r="1032556" customFormat="false" ht="12.8" hidden="false" customHeight="false" outlineLevel="0" collapsed="false"/>
    <row r="1032557" customFormat="false" ht="12.8" hidden="false" customHeight="false" outlineLevel="0" collapsed="false"/>
    <row r="1032558" customFormat="false" ht="12.8" hidden="false" customHeight="false" outlineLevel="0" collapsed="false"/>
    <row r="1032559" customFormat="false" ht="12.8" hidden="false" customHeight="false" outlineLevel="0" collapsed="false"/>
    <row r="1032560" customFormat="false" ht="12.8" hidden="false" customHeight="false" outlineLevel="0" collapsed="false"/>
    <row r="1032561" customFormat="false" ht="12.8" hidden="false" customHeight="false" outlineLevel="0" collapsed="false"/>
    <row r="1032562" customFormat="false" ht="12.8" hidden="false" customHeight="false" outlineLevel="0" collapsed="false"/>
    <row r="1032563" customFormat="false" ht="12.8" hidden="false" customHeight="false" outlineLevel="0" collapsed="false"/>
    <row r="1032564" customFormat="false" ht="12.8" hidden="false" customHeight="false" outlineLevel="0" collapsed="false"/>
    <row r="1032565" customFormat="false" ht="12.8" hidden="false" customHeight="false" outlineLevel="0" collapsed="false"/>
    <row r="1032566" customFormat="false" ht="12.8" hidden="false" customHeight="false" outlineLevel="0" collapsed="false"/>
    <row r="1032567" customFormat="false" ht="12.8" hidden="false" customHeight="false" outlineLevel="0" collapsed="false"/>
    <row r="1032568" customFormat="false" ht="12.8" hidden="false" customHeight="false" outlineLevel="0" collapsed="false"/>
    <row r="1032569" customFormat="false" ht="12.8" hidden="false" customHeight="false" outlineLevel="0" collapsed="false"/>
    <row r="1032570" customFormat="false" ht="12.8" hidden="false" customHeight="false" outlineLevel="0" collapsed="false"/>
    <row r="1032571" customFormat="false" ht="12.8" hidden="false" customHeight="false" outlineLevel="0" collapsed="false"/>
    <row r="1032572" customFormat="false" ht="12.8" hidden="false" customHeight="false" outlineLevel="0" collapsed="false"/>
    <row r="1032573" customFormat="false" ht="12.8" hidden="false" customHeight="false" outlineLevel="0" collapsed="false"/>
    <row r="1032574" customFormat="false" ht="12.8" hidden="false" customHeight="false" outlineLevel="0" collapsed="false"/>
    <row r="1032575" customFormat="false" ht="12.8" hidden="false" customHeight="false" outlineLevel="0" collapsed="false"/>
    <row r="1032576" customFormat="false" ht="12.8" hidden="false" customHeight="false" outlineLevel="0" collapsed="false"/>
    <row r="1032577" customFormat="false" ht="12.8" hidden="false" customHeight="false" outlineLevel="0" collapsed="false"/>
    <row r="1032578" customFormat="false" ht="12.8" hidden="false" customHeight="false" outlineLevel="0" collapsed="false"/>
    <row r="1032579" customFormat="false" ht="12.8" hidden="false" customHeight="false" outlineLevel="0" collapsed="false"/>
    <row r="1032580" customFormat="false" ht="12.8" hidden="false" customHeight="false" outlineLevel="0" collapsed="false"/>
    <row r="1032581" customFormat="false" ht="12.8" hidden="false" customHeight="false" outlineLevel="0" collapsed="false"/>
    <row r="1032582" customFormat="false" ht="12.8" hidden="false" customHeight="false" outlineLevel="0" collapsed="false"/>
    <row r="1032583" customFormat="false" ht="12.8" hidden="false" customHeight="false" outlineLevel="0" collapsed="false"/>
    <row r="1032584" customFormat="false" ht="12.8" hidden="false" customHeight="false" outlineLevel="0" collapsed="false"/>
    <row r="1032585" customFormat="false" ht="12.8" hidden="false" customHeight="false" outlineLevel="0" collapsed="false"/>
    <row r="1032586" customFormat="false" ht="12.8" hidden="false" customHeight="false" outlineLevel="0" collapsed="false"/>
    <row r="1032587" customFormat="false" ht="12.8" hidden="false" customHeight="false" outlineLevel="0" collapsed="false"/>
    <row r="1032588" customFormat="false" ht="12.8" hidden="false" customHeight="false" outlineLevel="0" collapsed="false"/>
    <row r="1032589" customFormat="false" ht="12.8" hidden="false" customHeight="false" outlineLevel="0" collapsed="false"/>
    <row r="1032590" customFormat="false" ht="12.8" hidden="false" customHeight="false" outlineLevel="0" collapsed="false"/>
    <row r="1032591" customFormat="false" ht="12.8" hidden="false" customHeight="false" outlineLevel="0" collapsed="false"/>
    <row r="1032592" customFormat="false" ht="12.8" hidden="false" customHeight="false" outlineLevel="0" collapsed="false"/>
    <row r="1032593" customFormat="false" ht="12.8" hidden="false" customHeight="false" outlineLevel="0" collapsed="false"/>
    <row r="1032594" customFormat="false" ht="12.8" hidden="false" customHeight="false" outlineLevel="0" collapsed="false"/>
    <row r="1032595" customFormat="false" ht="12.8" hidden="false" customHeight="false" outlineLevel="0" collapsed="false"/>
    <row r="1032596" customFormat="false" ht="12.8" hidden="false" customHeight="false" outlineLevel="0" collapsed="false"/>
    <row r="1032597" customFormat="false" ht="12.8" hidden="false" customHeight="false" outlineLevel="0" collapsed="false"/>
    <row r="1032598" customFormat="false" ht="12.8" hidden="false" customHeight="false" outlineLevel="0" collapsed="false"/>
    <row r="1032599" customFormat="false" ht="12.8" hidden="false" customHeight="false" outlineLevel="0" collapsed="false"/>
    <row r="1032600" customFormat="false" ht="12.8" hidden="false" customHeight="false" outlineLevel="0" collapsed="false"/>
    <row r="1032601" customFormat="false" ht="12.8" hidden="false" customHeight="false" outlineLevel="0" collapsed="false"/>
    <row r="1032602" customFormat="false" ht="12.8" hidden="false" customHeight="false" outlineLevel="0" collapsed="false"/>
    <row r="1032603" customFormat="false" ht="12.8" hidden="false" customHeight="false" outlineLevel="0" collapsed="false"/>
    <row r="1032604" customFormat="false" ht="12.8" hidden="false" customHeight="false" outlineLevel="0" collapsed="false"/>
    <row r="1032605" customFormat="false" ht="12.8" hidden="false" customHeight="false" outlineLevel="0" collapsed="false"/>
    <row r="1032606" customFormat="false" ht="12.8" hidden="false" customHeight="false" outlineLevel="0" collapsed="false"/>
    <row r="1032607" customFormat="false" ht="12.8" hidden="false" customHeight="false" outlineLevel="0" collapsed="false"/>
    <row r="1032608" customFormat="false" ht="12.8" hidden="false" customHeight="false" outlineLevel="0" collapsed="false"/>
    <row r="1032609" customFormat="false" ht="12.8" hidden="false" customHeight="false" outlineLevel="0" collapsed="false"/>
    <row r="1032610" customFormat="false" ht="12.8" hidden="false" customHeight="false" outlineLevel="0" collapsed="false"/>
    <row r="1032611" customFormat="false" ht="12.8" hidden="false" customHeight="false" outlineLevel="0" collapsed="false"/>
    <row r="1032612" customFormat="false" ht="12.8" hidden="false" customHeight="false" outlineLevel="0" collapsed="false"/>
    <row r="1032613" customFormat="false" ht="12.8" hidden="false" customHeight="false" outlineLevel="0" collapsed="false"/>
    <row r="1032614" customFormat="false" ht="12.8" hidden="false" customHeight="false" outlineLevel="0" collapsed="false"/>
    <row r="1032615" customFormat="false" ht="12.8" hidden="false" customHeight="false" outlineLevel="0" collapsed="false"/>
    <row r="1032616" customFormat="false" ht="12.8" hidden="false" customHeight="false" outlineLevel="0" collapsed="false"/>
    <row r="1032617" customFormat="false" ht="12.8" hidden="false" customHeight="false" outlineLevel="0" collapsed="false"/>
    <row r="1032618" customFormat="false" ht="12.8" hidden="false" customHeight="false" outlineLevel="0" collapsed="false"/>
    <row r="1032619" customFormat="false" ht="12.8" hidden="false" customHeight="false" outlineLevel="0" collapsed="false"/>
    <row r="1032620" customFormat="false" ht="12.8" hidden="false" customHeight="false" outlineLevel="0" collapsed="false"/>
    <row r="1032621" customFormat="false" ht="12.8" hidden="false" customHeight="false" outlineLevel="0" collapsed="false"/>
    <row r="1032622" customFormat="false" ht="12.8" hidden="false" customHeight="false" outlineLevel="0" collapsed="false"/>
    <row r="1032623" customFormat="false" ht="12.8" hidden="false" customHeight="false" outlineLevel="0" collapsed="false"/>
    <row r="1032624" customFormat="false" ht="12.8" hidden="false" customHeight="false" outlineLevel="0" collapsed="false"/>
    <row r="1032625" customFormat="false" ht="12.8" hidden="false" customHeight="false" outlineLevel="0" collapsed="false"/>
    <row r="1032626" customFormat="false" ht="12.8" hidden="false" customHeight="false" outlineLevel="0" collapsed="false"/>
    <row r="1032627" customFormat="false" ht="12.8" hidden="false" customHeight="false" outlineLevel="0" collapsed="false"/>
    <row r="1032628" customFormat="false" ht="12.8" hidden="false" customHeight="false" outlineLevel="0" collapsed="false"/>
    <row r="1032629" customFormat="false" ht="12.8" hidden="false" customHeight="false" outlineLevel="0" collapsed="false"/>
    <row r="1032630" customFormat="false" ht="12.8" hidden="false" customHeight="false" outlineLevel="0" collapsed="false"/>
    <row r="1032631" customFormat="false" ht="12.8" hidden="false" customHeight="false" outlineLevel="0" collapsed="false"/>
    <row r="1032632" customFormat="false" ht="12.8" hidden="false" customHeight="false" outlineLevel="0" collapsed="false"/>
    <row r="1032633" customFormat="false" ht="12.8" hidden="false" customHeight="false" outlineLevel="0" collapsed="false"/>
    <row r="1032634" customFormat="false" ht="12.8" hidden="false" customHeight="false" outlineLevel="0" collapsed="false"/>
    <row r="1032635" customFormat="false" ht="12.8" hidden="false" customHeight="false" outlineLevel="0" collapsed="false"/>
    <row r="1032636" customFormat="false" ht="12.8" hidden="false" customHeight="false" outlineLevel="0" collapsed="false"/>
    <row r="1032637" customFormat="false" ht="12.8" hidden="false" customHeight="false" outlineLevel="0" collapsed="false"/>
    <row r="1032638" customFormat="false" ht="12.8" hidden="false" customHeight="false" outlineLevel="0" collapsed="false"/>
    <row r="1032639" customFormat="false" ht="12.8" hidden="false" customHeight="false" outlineLevel="0" collapsed="false"/>
    <row r="1032640" customFormat="false" ht="12.8" hidden="false" customHeight="false" outlineLevel="0" collapsed="false"/>
    <row r="1032641" customFormat="false" ht="12.8" hidden="false" customHeight="false" outlineLevel="0" collapsed="false"/>
    <row r="1032642" customFormat="false" ht="12.8" hidden="false" customHeight="false" outlineLevel="0" collapsed="false"/>
    <row r="1032643" customFormat="false" ht="12.8" hidden="false" customHeight="false" outlineLevel="0" collapsed="false"/>
    <row r="1032644" customFormat="false" ht="12.8" hidden="false" customHeight="false" outlineLevel="0" collapsed="false"/>
    <row r="1032645" customFormat="false" ht="12.8" hidden="false" customHeight="false" outlineLevel="0" collapsed="false"/>
    <row r="1032646" customFormat="false" ht="12.8" hidden="false" customHeight="false" outlineLevel="0" collapsed="false"/>
    <row r="1032647" customFormat="false" ht="12.8" hidden="false" customHeight="false" outlineLevel="0" collapsed="false"/>
    <row r="1032648" customFormat="false" ht="12.8" hidden="false" customHeight="false" outlineLevel="0" collapsed="false"/>
    <row r="1032649" customFormat="false" ht="12.8" hidden="false" customHeight="false" outlineLevel="0" collapsed="false"/>
    <row r="1032650" customFormat="false" ht="12.8" hidden="false" customHeight="false" outlineLevel="0" collapsed="false"/>
    <row r="1032651" customFormat="false" ht="12.8" hidden="false" customHeight="false" outlineLevel="0" collapsed="false"/>
    <row r="1032652" customFormat="false" ht="12.8" hidden="false" customHeight="false" outlineLevel="0" collapsed="false"/>
    <row r="1032653" customFormat="false" ht="12.8" hidden="false" customHeight="false" outlineLevel="0" collapsed="false"/>
    <row r="1032654" customFormat="false" ht="12.8" hidden="false" customHeight="false" outlineLevel="0" collapsed="false"/>
    <row r="1032655" customFormat="false" ht="12.8" hidden="false" customHeight="false" outlineLevel="0" collapsed="false"/>
    <row r="1032656" customFormat="false" ht="12.8" hidden="false" customHeight="false" outlineLevel="0" collapsed="false"/>
    <row r="1032657" customFormat="false" ht="12.8" hidden="false" customHeight="false" outlineLevel="0" collapsed="false"/>
    <row r="1032658" customFormat="false" ht="12.8" hidden="false" customHeight="false" outlineLevel="0" collapsed="false"/>
    <row r="1032659" customFormat="false" ht="12.8" hidden="false" customHeight="false" outlineLevel="0" collapsed="false"/>
    <row r="1032660" customFormat="false" ht="12.8" hidden="false" customHeight="false" outlineLevel="0" collapsed="false"/>
    <row r="1032661" customFormat="false" ht="12.8" hidden="false" customHeight="false" outlineLevel="0" collapsed="false"/>
    <row r="1032662" customFormat="false" ht="12.8" hidden="false" customHeight="false" outlineLevel="0" collapsed="false"/>
    <row r="1032663" customFormat="false" ht="12.8" hidden="false" customHeight="false" outlineLevel="0" collapsed="false"/>
    <row r="1032664" customFormat="false" ht="12.8" hidden="false" customHeight="false" outlineLevel="0" collapsed="false"/>
    <row r="1032665" customFormat="false" ht="12.8" hidden="false" customHeight="false" outlineLevel="0" collapsed="false"/>
    <row r="1032666" customFormat="false" ht="12.8" hidden="false" customHeight="false" outlineLevel="0" collapsed="false"/>
    <row r="1032667" customFormat="false" ht="12.8" hidden="false" customHeight="false" outlineLevel="0" collapsed="false"/>
    <row r="1032668" customFormat="false" ht="12.8" hidden="false" customHeight="false" outlineLevel="0" collapsed="false"/>
    <row r="1032669" customFormat="false" ht="12.8" hidden="false" customHeight="false" outlineLevel="0" collapsed="false"/>
    <row r="1032670" customFormat="false" ht="12.8" hidden="false" customHeight="false" outlineLevel="0" collapsed="false"/>
    <row r="1032671" customFormat="false" ht="12.8" hidden="false" customHeight="false" outlineLevel="0" collapsed="false"/>
    <row r="1032672" customFormat="false" ht="12.8" hidden="false" customHeight="false" outlineLevel="0" collapsed="false"/>
    <row r="1032673" customFormat="false" ht="12.8" hidden="false" customHeight="false" outlineLevel="0" collapsed="false"/>
    <row r="1032674" customFormat="false" ht="12.8" hidden="false" customHeight="false" outlineLevel="0" collapsed="false"/>
    <row r="1032675" customFormat="false" ht="12.8" hidden="false" customHeight="false" outlineLevel="0" collapsed="false"/>
    <row r="1032676" customFormat="false" ht="12.8" hidden="false" customHeight="false" outlineLevel="0" collapsed="false"/>
    <row r="1032677" customFormat="false" ht="12.8" hidden="false" customHeight="false" outlineLevel="0" collapsed="false"/>
    <row r="1032678" customFormat="false" ht="12.8" hidden="false" customHeight="false" outlineLevel="0" collapsed="false"/>
    <row r="1032679" customFormat="false" ht="12.8" hidden="false" customHeight="false" outlineLevel="0" collapsed="false"/>
    <row r="1032680" customFormat="false" ht="12.8" hidden="false" customHeight="false" outlineLevel="0" collapsed="false"/>
    <row r="1032681" customFormat="false" ht="12.8" hidden="false" customHeight="false" outlineLevel="0" collapsed="false"/>
    <row r="1032682" customFormat="false" ht="12.8" hidden="false" customHeight="false" outlineLevel="0" collapsed="false"/>
    <row r="1032683" customFormat="false" ht="12.8" hidden="false" customHeight="false" outlineLevel="0" collapsed="false"/>
    <row r="1032684" customFormat="false" ht="12.8" hidden="false" customHeight="false" outlineLevel="0" collapsed="false"/>
    <row r="1032685" customFormat="false" ht="12.8" hidden="false" customHeight="false" outlineLevel="0" collapsed="false"/>
    <row r="1032686" customFormat="false" ht="12.8" hidden="false" customHeight="false" outlineLevel="0" collapsed="false"/>
    <row r="1032687" customFormat="false" ht="12.8" hidden="false" customHeight="false" outlineLevel="0" collapsed="false"/>
    <row r="1032688" customFormat="false" ht="12.8" hidden="false" customHeight="false" outlineLevel="0" collapsed="false"/>
    <row r="1032689" customFormat="false" ht="12.8" hidden="false" customHeight="false" outlineLevel="0" collapsed="false"/>
    <row r="1032690" customFormat="false" ht="12.8" hidden="false" customHeight="false" outlineLevel="0" collapsed="false"/>
    <row r="1032691" customFormat="false" ht="12.8" hidden="false" customHeight="false" outlineLevel="0" collapsed="false"/>
    <row r="1032692" customFormat="false" ht="12.8" hidden="false" customHeight="false" outlineLevel="0" collapsed="false"/>
    <row r="1032693" customFormat="false" ht="12.8" hidden="false" customHeight="false" outlineLevel="0" collapsed="false"/>
    <row r="1032694" customFormat="false" ht="12.8" hidden="false" customHeight="false" outlineLevel="0" collapsed="false"/>
    <row r="1032695" customFormat="false" ht="12.8" hidden="false" customHeight="false" outlineLevel="0" collapsed="false"/>
    <row r="1032696" customFormat="false" ht="12.8" hidden="false" customHeight="false" outlineLevel="0" collapsed="false"/>
    <row r="1032697" customFormat="false" ht="12.8" hidden="false" customHeight="false" outlineLevel="0" collapsed="false"/>
    <row r="1032698" customFormat="false" ht="12.8" hidden="false" customHeight="false" outlineLevel="0" collapsed="false"/>
    <row r="1032699" customFormat="false" ht="12.8" hidden="false" customHeight="false" outlineLevel="0" collapsed="false"/>
    <row r="1032700" customFormat="false" ht="12.8" hidden="false" customHeight="false" outlineLevel="0" collapsed="false"/>
    <row r="1032701" customFormat="false" ht="12.8" hidden="false" customHeight="false" outlineLevel="0" collapsed="false"/>
    <row r="1032702" customFormat="false" ht="12.8" hidden="false" customHeight="false" outlineLevel="0" collapsed="false"/>
    <row r="1032703" customFormat="false" ht="12.8" hidden="false" customHeight="false" outlineLevel="0" collapsed="false"/>
    <row r="1032704" customFormat="false" ht="12.8" hidden="false" customHeight="false" outlineLevel="0" collapsed="false"/>
    <row r="1032705" customFormat="false" ht="12.8" hidden="false" customHeight="false" outlineLevel="0" collapsed="false"/>
    <row r="1032706" customFormat="false" ht="12.8" hidden="false" customHeight="false" outlineLevel="0" collapsed="false"/>
    <row r="1032707" customFormat="false" ht="12.8" hidden="false" customHeight="false" outlineLevel="0" collapsed="false"/>
    <row r="1032708" customFormat="false" ht="12.8" hidden="false" customHeight="false" outlineLevel="0" collapsed="false"/>
    <row r="1032709" customFormat="false" ht="12.8" hidden="false" customHeight="false" outlineLevel="0" collapsed="false"/>
    <row r="1032710" customFormat="false" ht="12.8" hidden="false" customHeight="false" outlineLevel="0" collapsed="false"/>
    <row r="1032711" customFormat="false" ht="12.8" hidden="false" customHeight="false" outlineLevel="0" collapsed="false"/>
    <row r="1032712" customFormat="false" ht="12.8" hidden="false" customHeight="false" outlineLevel="0" collapsed="false"/>
    <row r="1032713" customFormat="false" ht="12.8" hidden="false" customHeight="false" outlineLevel="0" collapsed="false"/>
    <row r="1032714" customFormat="false" ht="12.8" hidden="false" customHeight="false" outlineLevel="0" collapsed="false"/>
    <row r="1032715" customFormat="false" ht="12.8" hidden="false" customHeight="false" outlineLevel="0" collapsed="false"/>
    <row r="1032716" customFormat="false" ht="12.8" hidden="false" customHeight="false" outlineLevel="0" collapsed="false"/>
    <row r="1032717" customFormat="false" ht="12.8" hidden="false" customHeight="false" outlineLevel="0" collapsed="false"/>
    <row r="1032718" customFormat="false" ht="12.8" hidden="false" customHeight="false" outlineLevel="0" collapsed="false"/>
    <row r="1032719" customFormat="false" ht="12.8" hidden="false" customHeight="false" outlineLevel="0" collapsed="false"/>
    <row r="1032720" customFormat="false" ht="12.8" hidden="false" customHeight="false" outlineLevel="0" collapsed="false"/>
    <row r="1032721" customFormat="false" ht="12.8" hidden="false" customHeight="false" outlineLevel="0" collapsed="false"/>
    <row r="1032722" customFormat="false" ht="12.8" hidden="false" customHeight="false" outlineLevel="0" collapsed="false"/>
    <row r="1032723" customFormat="false" ht="12.8" hidden="false" customHeight="false" outlineLevel="0" collapsed="false"/>
    <row r="1032724" customFormat="false" ht="12.8" hidden="false" customHeight="false" outlineLevel="0" collapsed="false"/>
    <row r="1032725" customFormat="false" ht="12.8" hidden="false" customHeight="false" outlineLevel="0" collapsed="false"/>
    <row r="1032726" customFormat="false" ht="12.8" hidden="false" customHeight="false" outlineLevel="0" collapsed="false"/>
    <row r="1032727" customFormat="false" ht="12.8" hidden="false" customHeight="false" outlineLevel="0" collapsed="false"/>
    <row r="1032728" customFormat="false" ht="12.8" hidden="false" customHeight="false" outlineLevel="0" collapsed="false"/>
    <row r="1032729" customFormat="false" ht="12.8" hidden="false" customHeight="false" outlineLevel="0" collapsed="false"/>
    <row r="1032730" customFormat="false" ht="12.8" hidden="false" customHeight="false" outlineLevel="0" collapsed="false"/>
    <row r="1032731" customFormat="false" ht="12.8" hidden="false" customHeight="false" outlineLevel="0" collapsed="false"/>
    <row r="1032732" customFormat="false" ht="12.8" hidden="false" customHeight="false" outlineLevel="0" collapsed="false"/>
    <row r="1032733" customFormat="false" ht="12.8" hidden="false" customHeight="false" outlineLevel="0" collapsed="false"/>
    <row r="1032734" customFormat="false" ht="12.8" hidden="false" customHeight="false" outlineLevel="0" collapsed="false"/>
    <row r="1032735" customFormat="false" ht="12.8" hidden="false" customHeight="false" outlineLevel="0" collapsed="false"/>
    <row r="1032736" customFormat="false" ht="12.8" hidden="false" customHeight="false" outlineLevel="0" collapsed="false"/>
    <row r="1032737" customFormat="false" ht="12.8" hidden="false" customHeight="false" outlineLevel="0" collapsed="false"/>
    <row r="1032738" customFormat="false" ht="12.8" hidden="false" customHeight="false" outlineLevel="0" collapsed="false"/>
    <row r="1032739" customFormat="false" ht="12.8" hidden="false" customHeight="false" outlineLevel="0" collapsed="false"/>
    <row r="1032740" customFormat="false" ht="12.8" hidden="false" customHeight="false" outlineLevel="0" collapsed="false"/>
    <row r="1032741" customFormat="false" ht="12.8" hidden="false" customHeight="false" outlineLevel="0" collapsed="false"/>
    <row r="1032742" customFormat="false" ht="12.8" hidden="false" customHeight="false" outlineLevel="0" collapsed="false"/>
    <row r="1032743" customFormat="false" ht="12.8" hidden="false" customHeight="false" outlineLevel="0" collapsed="false"/>
    <row r="1032744" customFormat="false" ht="12.8" hidden="false" customHeight="false" outlineLevel="0" collapsed="false"/>
    <row r="1032745" customFormat="false" ht="12.8" hidden="false" customHeight="false" outlineLevel="0" collapsed="false"/>
    <row r="1032746" customFormat="false" ht="12.8" hidden="false" customHeight="false" outlineLevel="0" collapsed="false"/>
    <row r="1032747" customFormat="false" ht="12.8" hidden="false" customHeight="false" outlineLevel="0" collapsed="false"/>
    <row r="1032748" customFormat="false" ht="12.8" hidden="false" customHeight="false" outlineLevel="0" collapsed="false"/>
    <row r="1032749" customFormat="false" ht="12.8" hidden="false" customHeight="false" outlineLevel="0" collapsed="false"/>
    <row r="1032750" customFormat="false" ht="12.8" hidden="false" customHeight="false" outlineLevel="0" collapsed="false"/>
    <row r="1032751" customFormat="false" ht="12.8" hidden="false" customHeight="false" outlineLevel="0" collapsed="false"/>
    <row r="1032752" customFormat="false" ht="12.8" hidden="false" customHeight="false" outlineLevel="0" collapsed="false"/>
    <row r="1032753" customFormat="false" ht="12.8" hidden="false" customHeight="false" outlineLevel="0" collapsed="false"/>
    <row r="1032754" customFormat="false" ht="12.8" hidden="false" customHeight="false" outlineLevel="0" collapsed="false"/>
    <row r="1032755" customFormat="false" ht="12.8" hidden="false" customHeight="false" outlineLevel="0" collapsed="false"/>
    <row r="1032756" customFormat="false" ht="12.8" hidden="false" customHeight="false" outlineLevel="0" collapsed="false"/>
    <row r="1032757" customFormat="false" ht="12.8" hidden="false" customHeight="false" outlineLevel="0" collapsed="false"/>
    <row r="1032758" customFormat="false" ht="12.8" hidden="false" customHeight="false" outlineLevel="0" collapsed="false"/>
    <row r="1032759" customFormat="false" ht="12.8" hidden="false" customHeight="false" outlineLevel="0" collapsed="false"/>
    <row r="1032760" customFormat="false" ht="12.8" hidden="false" customHeight="false" outlineLevel="0" collapsed="false"/>
    <row r="1032761" customFormat="false" ht="12.8" hidden="false" customHeight="false" outlineLevel="0" collapsed="false"/>
    <row r="1032762" customFormat="false" ht="12.8" hidden="false" customHeight="false" outlineLevel="0" collapsed="false"/>
    <row r="1032763" customFormat="false" ht="12.8" hidden="false" customHeight="false" outlineLevel="0" collapsed="false"/>
    <row r="1032764" customFormat="false" ht="12.8" hidden="false" customHeight="false" outlineLevel="0" collapsed="false"/>
    <row r="1032765" customFormat="false" ht="12.8" hidden="false" customHeight="false" outlineLevel="0" collapsed="false"/>
    <row r="1032766" customFormat="false" ht="12.8" hidden="false" customHeight="false" outlineLevel="0" collapsed="false"/>
    <row r="1032767" customFormat="false" ht="12.8" hidden="false" customHeight="false" outlineLevel="0" collapsed="false"/>
    <row r="1032768" customFormat="false" ht="12.8" hidden="false" customHeight="false" outlineLevel="0" collapsed="false"/>
    <row r="1032769" customFormat="false" ht="12.8" hidden="false" customHeight="false" outlineLevel="0" collapsed="false"/>
    <row r="1032770" customFormat="false" ht="12.8" hidden="false" customHeight="false" outlineLevel="0" collapsed="false"/>
    <row r="1032771" customFormat="false" ht="12.8" hidden="false" customHeight="false" outlineLevel="0" collapsed="false"/>
    <row r="1032772" customFormat="false" ht="12.8" hidden="false" customHeight="false" outlineLevel="0" collapsed="false"/>
    <row r="1032773" customFormat="false" ht="12.8" hidden="false" customHeight="false" outlineLevel="0" collapsed="false"/>
    <row r="1032774" customFormat="false" ht="12.8" hidden="false" customHeight="false" outlineLevel="0" collapsed="false"/>
    <row r="1032775" customFormat="false" ht="12.8" hidden="false" customHeight="false" outlineLevel="0" collapsed="false"/>
    <row r="1032776" customFormat="false" ht="12.8" hidden="false" customHeight="false" outlineLevel="0" collapsed="false"/>
    <row r="1032777" customFormat="false" ht="12.8" hidden="false" customHeight="false" outlineLevel="0" collapsed="false"/>
    <row r="1032778" customFormat="false" ht="12.8" hidden="false" customHeight="false" outlineLevel="0" collapsed="false"/>
    <row r="1032779" customFormat="false" ht="12.8" hidden="false" customHeight="false" outlineLevel="0" collapsed="false"/>
    <row r="1032780" customFormat="false" ht="12.8" hidden="false" customHeight="false" outlineLevel="0" collapsed="false"/>
    <row r="1032781" customFormat="false" ht="12.8" hidden="false" customHeight="false" outlineLevel="0" collapsed="false"/>
    <row r="1032782" customFormat="false" ht="12.8" hidden="false" customHeight="false" outlineLevel="0" collapsed="false"/>
    <row r="1032783" customFormat="false" ht="12.8" hidden="false" customHeight="false" outlineLevel="0" collapsed="false"/>
    <row r="1032784" customFormat="false" ht="12.8" hidden="false" customHeight="false" outlineLevel="0" collapsed="false"/>
    <row r="1032785" customFormat="false" ht="12.8" hidden="false" customHeight="false" outlineLevel="0" collapsed="false"/>
    <row r="1032786" customFormat="false" ht="12.8" hidden="false" customHeight="false" outlineLevel="0" collapsed="false"/>
    <row r="1032787" customFormat="false" ht="12.8" hidden="false" customHeight="false" outlineLevel="0" collapsed="false"/>
    <row r="1032788" customFormat="false" ht="12.8" hidden="false" customHeight="false" outlineLevel="0" collapsed="false"/>
    <row r="1032789" customFormat="false" ht="12.8" hidden="false" customHeight="false" outlineLevel="0" collapsed="false"/>
    <row r="1032790" customFormat="false" ht="12.8" hidden="false" customHeight="false" outlineLevel="0" collapsed="false"/>
    <row r="1032791" customFormat="false" ht="12.8" hidden="false" customHeight="false" outlineLevel="0" collapsed="false"/>
    <row r="1032792" customFormat="false" ht="12.8" hidden="false" customHeight="false" outlineLevel="0" collapsed="false"/>
    <row r="1032793" customFormat="false" ht="12.8" hidden="false" customHeight="false" outlineLevel="0" collapsed="false"/>
    <row r="1032794" customFormat="false" ht="12.8" hidden="false" customHeight="false" outlineLevel="0" collapsed="false"/>
    <row r="1032795" customFormat="false" ht="12.8" hidden="false" customHeight="false" outlineLevel="0" collapsed="false"/>
    <row r="1032796" customFormat="false" ht="12.8" hidden="false" customHeight="false" outlineLevel="0" collapsed="false"/>
    <row r="1032797" customFormat="false" ht="12.8" hidden="false" customHeight="false" outlineLevel="0" collapsed="false"/>
    <row r="1032798" customFormat="false" ht="12.8" hidden="false" customHeight="false" outlineLevel="0" collapsed="false"/>
    <row r="1032799" customFormat="false" ht="12.8" hidden="false" customHeight="false" outlineLevel="0" collapsed="false"/>
    <row r="1032800" customFormat="false" ht="12.8" hidden="false" customHeight="false" outlineLevel="0" collapsed="false"/>
    <row r="1032801" customFormat="false" ht="12.8" hidden="false" customHeight="false" outlineLevel="0" collapsed="false"/>
    <row r="1032802" customFormat="false" ht="12.8" hidden="false" customHeight="false" outlineLevel="0" collapsed="false"/>
    <row r="1032803" customFormat="false" ht="12.8" hidden="false" customHeight="false" outlineLevel="0" collapsed="false"/>
    <row r="1032804" customFormat="false" ht="12.8" hidden="false" customHeight="false" outlineLevel="0" collapsed="false"/>
    <row r="1032805" customFormat="false" ht="12.8" hidden="false" customHeight="false" outlineLevel="0" collapsed="false"/>
    <row r="1032806" customFormat="false" ht="12.8" hidden="false" customHeight="false" outlineLevel="0" collapsed="false"/>
    <row r="1032807" customFormat="false" ht="12.8" hidden="false" customHeight="false" outlineLevel="0" collapsed="false"/>
    <row r="1032808" customFormat="false" ht="12.8" hidden="false" customHeight="false" outlineLevel="0" collapsed="false"/>
    <row r="1032809" customFormat="false" ht="12.8" hidden="false" customHeight="false" outlineLevel="0" collapsed="false"/>
    <row r="1032810" customFormat="false" ht="12.8" hidden="false" customHeight="false" outlineLevel="0" collapsed="false"/>
    <row r="1032811" customFormat="false" ht="12.8" hidden="false" customHeight="false" outlineLevel="0" collapsed="false"/>
    <row r="1032812" customFormat="false" ht="12.8" hidden="false" customHeight="false" outlineLevel="0" collapsed="false"/>
    <row r="1032813" customFormat="false" ht="12.8" hidden="false" customHeight="false" outlineLevel="0" collapsed="false"/>
    <row r="1032814" customFormat="false" ht="12.8" hidden="false" customHeight="false" outlineLevel="0" collapsed="false"/>
    <row r="1032815" customFormat="false" ht="12.8" hidden="false" customHeight="false" outlineLevel="0" collapsed="false"/>
    <row r="1032816" customFormat="false" ht="12.8" hidden="false" customHeight="false" outlineLevel="0" collapsed="false"/>
    <row r="1032817" customFormat="false" ht="12.8" hidden="false" customHeight="false" outlineLevel="0" collapsed="false"/>
    <row r="1032818" customFormat="false" ht="12.8" hidden="false" customHeight="false" outlineLevel="0" collapsed="false"/>
    <row r="1032819" customFormat="false" ht="12.8" hidden="false" customHeight="false" outlineLevel="0" collapsed="false"/>
    <row r="1032820" customFormat="false" ht="12.8" hidden="false" customHeight="false" outlineLevel="0" collapsed="false"/>
    <row r="1032821" customFormat="false" ht="12.8" hidden="false" customHeight="false" outlineLevel="0" collapsed="false"/>
    <row r="1032822" customFormat="false" ht="12.8" hidden="false" customHeight="false" outlineLevel="0" collapsed="false"/>
    <row r="1032823" customFormat="false" ht="12.8" hidden="false" customHeight="false" outlineLevel="0" collapsed="false"/>
    <row r="1032824" customFormat="false" ht="12.8" hidden="false" customHeight="false" outlineLevel="0" collapsed="false"/>
    <row r="1032825" customFormat="false" ht="12.8" hidden="false" customHeight="false" outlineLevel="0" collapsed="false"/>
    <row r="1032826" customFormat="false" ht="12.8" hidden="false" customHeight="false" outlineLevel="0" collapsed="false"/>
    <row r="1032827" customFormat="false" ht="12.8" hidden="false" customHeight="false" outlineLevel="0" collapsed="false"/>
    <row r="1032828" customFormat="false" ht="12.8" hidden="false" customHeight="false" outlineLevel="0" collapsed="false"/>
    <row r="1032829" customFormat="false" ht="12.8" hidden="false" customHeight="false" outlineLevel="0" collapsed="false"/>
    <row r="1032830" customFormat="false" ht="12.8" hidden="false" customHeight="false" outlineLevel="0" collapsed="false"/>
    <row r="1032831" customFormat="false" ht="12.8" hidden="false" customHeight="false" outlineLevel="0" collapsed="false"/>
    <row r="1032832" customFormat="false" ht="12.8" hidden="false" customHeight="false" outlineLevel="0" collapsed="false"/>
    <row r="1032833" customFormat="false" ht="12.8" hidden="false" customHeight="false" outlineLevel="0" collapsed="false"/>
    <row r="1032834" customFormat="false" ht="12.8" hidden="false" customHeight="false" outlineLevel="0" collapsed="false"/>
    <row r="1032835" customFormat="false" ht="12.8" hidden="false" customHeight="false" outlineLevel="0" collapsed="false"/>
    <row r="1032836" customFormat="false" ht="12.8" hidden="false" customHeight="false" outlineLevel="0" collapsed="false"/>
    <row r="1032837" customFormat="false" ht="12.8" hidden="false" customHeight="false" outlineLevel="0" collapsed="false"/>
    <row r="1032838" customFormat="false" ht="12.8" hidden="false" customHeight="false" outlineLevel="0" collapsed="false"/>
    <row r="1032839" customFormat="false" ht="12.8" hidden="false" customHeight="false" outlineLevel="0" collapsed="false"/>
    <row r="1032840" customFormat="false" ht="12.8" hidden="false" customHeight="false" outlineLevel="0" collapsed="false"/>
    <row r="1032841" customFormat="false" ht="12.8" hidden="false" customHeight="false" outlineLevel="0" collapsed="false"/>
    <row r="1032842" customFormat="false" ht="12.8" hidden="false" customHeight="false" outlineLevel="0" collapsed="false"/>
    <row r="1032843" customFormat="false" ht="12.8" hidden="false" customHeight="false" outlineLevel="0" collapsed="false"/>
    <row r="1032844" customFormat="false" ht="12.8" hidden="false" customHeight="false" outlineLevel="0" collapsed="false"/>
    <row r="1032845" customFormat="false" ht="12.8" hidden="false" customHeight="false" outlineLevel="0" collapsed="false"/>
    <row r="1032846" customFormat="false" ht="12.8" hidden="false" customHeight="false" outlineLevel="0" collapsed="false"/>
    <row r="1032847" customFormat="false" ht="12.8" hidden="false" customHeight="false" outlineLevel="0" collapsed="false"/>
    <row r="1032848" customFormat="false" ht="12.8" hidden="false" customHeight="false" outlineLevel="0" collapsed="false"/>
    <row r="1032849" customFormat="false" ht="12.8" hidden="false" customHeight="false" outlineLevel="0" collapsed="false"/>
    <row r="1032850" customFormat="false" ht="12.8" hidden="false" customHeight="false" outlineLevel="0" collapsed="false"/>
    <row r="1032851" customFormat="false" ht="12.8" hidden="false" customHeight="false" outlineLevel="0" collapsed="false"/>
    <row r="1032852" customFormat="false" ht="12.8" hidden="false" customHeight="false" outlineLevel="0" collapsed="false"/>
    <row r="1032853" customFormat="false" ht="12.8" hidden="false" customHeight="false" outlineLevel="0" collapsed="false"/>
    <row r="1032854" customFormat="false" ht="12.8" hidden="false" customHeight="false" outlineLevel="0" collapsed="false"/>
    <row r="1032855" customFormat="false" ht="12.8" hidden="false" customHeight="false" outlineLevel="0" collapsed="false"/>
    <row r="1032856" customFormat="false" ht="12.8" hidden="false" customHeight="false" outlineLevel="0" collapsed="false"/>
    <row r="1032857" customFormat="false" ht="12.8" hidden="false" customHeight="false" outlineLevel="0" collapsed="false"/>
    <row r="1032858" customFormat="false" ht="12.8" hidden="false" customHeight="false" outlineLevel="0" collapsed="false"/>
    <row r="1032859" customFormat="false" ht="12.8" hidden="false" customHeight="false" outlineLevel="0" collapsed="false"/>
    <row r="1032860" customFormat="false" ht="12.8" hidden="false" customHeight="false" outlineLevel="0" collapsed="false"/>
    <row r="1032861" customFormat="false" ht="12.8" hidden="false" customHeight="false" outlineLevel="0" collapsed="false"/>
    <row r="1032862" customFormat="false" ht="12.8" hidden="false" customHeight="false" outlineLevel="0" collapsed="false"/>
    <row r="1032863" customFormat="false" ht="12.8" hidden="false" customHeight="false" outlineLevel="0" collapsed="false"/>
    <row r="1032864" customFormat="false" ht="12.8" hidden="false" customHeight="false" outlineLevel="0" collapsed="false"/>
    <row r="1032865" customFormat="false" ht="12.8" hidden="false" customHeight="false" outlineLevel="0" collapsed="false"/>
    <row r="1032866" customFormat="false" ht="12.8" hidden="false" customHeight="false" outlineLevel="0" collapsed="false"/>
    <row r="1032867" customFormat="false" ht="12.8" hidden="false" customHeight="false" outlineLevel="0" collapsed="false"/>
    <row r="1032868" customFormat="false" ht="12.8" hidden="false" customHeight="false" outlineLevel="0" collapsed="false"/>
    <row r="1032869" customFormat="false" ht="12.8" hidden="false" customHeight="false" outlineLevel="0" collapsed="false"/>
    <row r="1032870" customFormat="false" ht="12.8" hidden="false" customHeight="false" outlineLevel="0" collapsed="false"/>
    <row r="1032871" customFormat="false" ht="12.8" hidden="false" customHeight="false" outlineLevel="0" collapsed="false"/>
    <row r="1032872" customFormat="false" ht="12.8" hidden="false" customHeight="false" outlineLevel="0" collapsed="false"/>
    <row r="1032873" customFormat="false" ht="12.8" hidden="false" customHeight="false" outlineLevel="0" collapsed="false"/>
    <row r="1032874" customFormat="false" ht="12.8" hidden="false" customHeight="false" outlineLevel="0" collapsed="false"/>
    <row r="1032875" customFormat="false" ht="12.8" hidden="false" customHeight="false" outlineLevel="0" collapsed="false"/>
    <row r="1032876" customFormat="false" ht="12.8" hidden="false" customHeight="false" outlineLevel="0" collapsed="false"/>
    <row r="1032877" customFormat="false" ht="12.8" hidden="false" customHeight="false" outlineLevel="0" collapsed="false"/>
    <row r="1032878" customFormat="false" ht="12.8" hidden="false" customHeight="false" outlineLevel="0" collapsed="false"/>
    <row r="1032879" customFormat="false" ht="12.8" hidden="false" customHeight="false" outlineLevel="0" collapsed="false"/>
    <row r="1032880" customFormat="false" ht="12.8" hidden="false" customHeight="false" outlineLevel="0" collapsed="false"/>
    <row r="1032881" customFormat="false" ht="12.8" hidden="false" customHeight="false" outlineLevel="0" collapsed="false"/>
    <row r="1032882" customFormat="false" ht="12.8" hidden="false" customHeight="false" outlineLevel="0" collapsed="false"/>
    <row r="1032883" customFormat="false" ht="12.8" hidden="false" customHeight="false" outlineLevel="0" collapsed="false"/>
    <row r="1032884" customFormat="false" ht="12.8" hidden="false" customHeight="false" outlineLevel="0" collapsed="false"/>
    <row r="1032885" customFormat="false" ht="12.8" hidden="false" customHeight="false" outlineLevel="0" collapsed="false"/>
    <row r="1032886" customFormat="false" ht="12.8" hidden="false" customHeight="false" outlineLevel="0" collapsed="false"/>
    <row r="1032887" customFormat="false" ht="12.8" hidden="false" customHeight="false" outlineLevel="0" collapsed="false"/>
    <row r="1032888" customFormat="false" ht="12.8" hidden="false" customHeight="false" outlineLevel="0" collapsed="false"/>
    <row r="1032889" customFormat="false" ht="12.8" hidden="false" customHeight="false" outlineLevel="0" collapsed="false"/>
    <row r="1032890" customFormat="false" ht="12.8" hidden="false" customHeight="false" outlineLevel="0" collapsed="false"/>
    <row r="1032891" customFormat="false" ht="12.8" hidden="false" customHeight="false" outlineLevel="0" collapsed="false"/>
    <row r="1032892" customFormat="false" ht="12.8" hidden="false" customHeight="false" outlineLevel="0" collapsed="false"/>
    <row r="1032893" customFormat="false" ht="12.8" hidden="false" customHeight="false" outlineLevel="0" collapsed="false"/>
    <row r="1032894" customFormat="false" ht="12.8" hidden="false" customHeight="false" outlineLevel="0" collapsed="false"/>
    <row r="1032895" customFormat="false" ht="12.8" hidden="false" customHeight="false" outlineLevel="0" collapsed="false"/>
    <row r="1032896" customFormat="false" ht="12.8" hidden="false" customHeight="false" outlineLevel="0" collapsed="false"/>
    <row r="1032897" customFormat="false" ht="12.8" hidden="false" customHeight="false" outlineLevel="0" collapsed="false"/>
    <row r="1032898" customFormat="false" ht="12.8" hidden="false" customHeight="false" outlineLevel="0" collapsed="false"/>
    <row r="1032899" customFormat="false" ht="12.8" hidden="false" customHeight="false" outlineLevel="0" collapsed="false"/>
    <row r="1032900" customFormat="false" ht="12.8" hidden="false" customHeight="false" outlineLevel="0" collapsed="false"/>
    <row r="1032901" customFormat="false" ht="12.8" hidden="false" customHeight="false" outlineLevel="0" collapsed="false"/>
    <row r="1032902" customFormat="false" ht="12.8" hidden="false" customHeight="false" outlineLevel="0" collapsed="false"/>
    <row r="1032903" customFormat="false" ht="12.8" hidden="false" customHeight="false" outlineLevel="0" collapsed="false"/>
    <row r="1032904" customFormat="false" ht="12.8" hidden="false" customHeight="false" outlineLevel="0" collapsed="false"/>
    <row r="1032905" customFormat="false" ht="12.8" hidden="false" customHeight="false" outlineLevel="0" collapsed="false"/>
    <row r="1032906" customFormat="false" ht="12.8" hidden="false" customHeight="false" outlineLevel="0" collapsed="false"/>
    <row r="1032907" customFormat="false" ht="12.8" hidden="false" customHeight="false" outlineLevel="0" collapsed="false"/>
    <row r="1032908" customFormat="false" ht="12.8" hidden="false" customHeight="false" outlineLevel="0" collapsed="false"/>
    <row r="1032909" customFormat="false" ht="12.8" hidden="false" customHeight="false" outlineLevel="0" collapsed="false"/>
    <row r="1032910" customFormat="false" ht="12.8" hidden="false" customHeight="false" outlineLevel="0" collapsed="false"/>
    <row r="1032911" customFormat="false" ht="12.8" hidden="false" customHeight="false" outlineLevel="0" collapsed="false"/>
    <row r="1032912" customFormat="false" ht="12.8" hidden="false" customHeight="false" outlineLevel="0" collapsed="false"/>
    <row r="1032913" customFormat="false" ht="12.8" hidden="false" customHeight="false" outlineLevel="0" collapsed="false"/>
    <row r="1032914" customFormat="false" ht="12.8" hidden="false" customHeight="false" outlineLevel="0" collapsed="false"/>
    <row r="1032915" customFormat="false" ht="12.8" hidden="false" customHeight="false" outlineLevel="0" collapsed="false"/>
    <row r="1032916" customFormat="false" ht="12.8" hidden="false" customHeight="false" outlineLevel="0" collapsed="false"/>
    <row r="1032917" customFormat="false" ht="12.8" hidden="false" customHeight="false" outlineLevel="0" collapsed="false"/>
    <row r="1032918" customFormat="false" ht="12.8" hidden="false" customHeight="false" outlineLevel="0" collapsed="false"/>
    <row r="1032919" customFormat="false" ht="12.8" hidden="false" customHeight="false" outlineLevel="0" collapsed="false"/>
    <row r="1032920" customFormat="false" ht="12.8" hidden="false" customHeight="false" outlineLevel="0" collapsed="false"/>
    <row r="1032921" customFormat="false" ht="12.8" hidden="false" customHeight="false" outlineLevel="0" collapsed="false"/>
    <row r="1032922" customFormat="false" ht="12.8" hidden="false" customHeight="false" outlineLevel="0" collapsed="false"/>
    <row r="1032923" customFormat="false" ht="12.8" hidden="false" customHeight="false" outlineLevel="0" collapsed="false"/>
    <row r="1032924" customFormat="false" ht="12.8" hidden="false" customHeight="false" outlineLevel="0" collapsed="false"/>
    <row r="1032925" customFormat="false" ht="12.8" hidden="false" customHeight="false" outlineLevel="0" collapsed="false"/>
    <row r="1032926" customFormat="false" ht="12.8" hidden="false" customHeight="false" outlineLevel="0" collapsed="false"/>
    <row r="1032927" customFormat="false" ht="12.8" hidden="false" customHeight="false" outlineLevel="0" collapsed="false"/>
    <row r="1032928" customFormat="false" ht="12.8" hidden="false" customHeight="false" outlineLevel="0" collapsed="false"/>
    <row r="1032929" customFormat="false" ht="12.8" hidden="false" customHeight="false" outlineLevel="0" collapsed="false"/>
    <row r="1032930" customFormat="false" ht="12.8" hidden="false" customHeight="false" outlineLevel="0" collapsed="false"/>
    <row r="1032931" customFormat="false" ht="12.8" hidden="false" customHeight="false" outlineLevel="0" collapsed="false"/>
    <row r="1032932" customFormat="false" ht="12.8" hidden="false" customHeight="false" outlineLevel="0" collapsed="false"/>
    <row r="1032933" customFormat="false" ht="12.8" hidden="false" customHeight="false" outlineLevel="0" collapsed="false"/>
    <row r="1032934" customFormat="false" ht="12.8" hidden="false" customHeight="false" outlineLevel="0" collapsed="false"/>
    <row r="1032935" customFormat="false" ht="12.8" hidden="false" customHeight="false" outlineLevel="0" collapsed="false"/>
    <row r="1032936" customFormat="false" ht="12.8" hidden="false" customHeight="false" outlineLevel="0" collapsed="false"/>
    <row r="1032937" customFormat="false" ht="12.8" hidden="false" customHeight="false" outlineLevel="0" collapsed="false"/>
    <row r="1032938" customFormat="false" ht="12.8" hidden="false" customHeight="false" outlineLevel="0" collapsed="false"/>
    <row r="1032939" customFormat="false" ht="12.8" hidden="false" customHeight="false" outlineLevel="0" collapsed="false"/>
    <row r="1032940" customFormat="false" ht="12.8" hidden="false" customHeight="false" outlineLevel="0" collapsed="false"/>
    <row r="1032941" customFormat="false" ht="12.8" hidden="false" customHeight="false" outlineLevel="0" collapsed="false"/>
    <row r="1032942" customFormat="false" ht="12.8" hidden="false" customHeight="false" outlineLevel="0" collapsed="false"/>
    <row r="1032943" customFormat="false" ht="12.8" hidden="false" customHeight="false" outlineLevel="0" collapsed="false"/>
    <row r="1032944" customFormat="false" ht="12.8" hidden="false" customHeight="false" outlineLevel="0" collapsed="false"/>
    <row r="1032945" customFormat="false" ht="12.8" hidden="false" customHeight="false" outlineLevel="0" collapsed="false"/>
    <row r="1032946" customFormat="false" ht="12.8" hidden="false" customHeight="false" outlineLevel="0" collapsed="false"/>
    <row r="1032947" customFormat="false" ht="12.8" hidden="false" customHeight="false" outlineLevel="0" collapsed="false"/>
    <row r="1032948" customFormat="false" ht="12.8" hidden="false" customHeight="false" outlineLevel="0" collapsed="false"/>
    <row r="1032949" customFormat="false" ht="12.8" hidden="false" customHeight="false" outlineLevel="0" collapsed="false"/>
    <row r="1032950" customFormat="false" ht="12.8" hidden="false" customHeight="false" outlineLevel="0" collapsed="false"/>
    <row r="1032951" customFormat="false" ht="12.8" hidden="false" customHeight="false" outlineLevel="0" collapsed="false"/>
    <row r="1032952" customFormat="false" ht="12.8" hidden="false" customHeight="false" outlineLevel="0" collapsed="false"/>
    <row r="1032953" customFormat="false" ht="12.8" hidden="false" customHeight="false" outlineLevel="0" collapsed="false"/>
    <row r="1032954" customFormat="false" ht="12.8" hidden="false" customHeight="false" outlineLevel="0" collapsed="false"/>
    <row r="1032955" customFormat="false" ht="12.8" hidden="false" customHeight="false" outlineLevel="0" collapsed="false"/>
    <row r="1032956" customFormat="false" ht="12.8" hidden="false" customHeight="false" outlineLevel="0" collapsed="false"/>
    <row r="1032957" customFormat="false" ht="12.8" hidden="false" customHeight="false" outlineLevel="0" collapsed="false"/>
    <row r="1032958" customFormat="false" ht="12.8" hidden="false" customHeight="false" outlineLevel="0" collapsed="false"/>
    <row r="1032959" customFormat="false" ht="12.8" hidden="false" customHeight="false" outlineLevel="0" collapsed="false"/>
    <row r="1032960" customFormat="false" ht="12.8" hidden="false" customHeight="false" outlineLevel="0" collapsed="false"/>
    <row r="1032961" customFormat="false" ht="12.8" hidden="false" customHeight="false" outlineLevel="0" collapsed="false"/>
    <row r="1032962" customFormat="false" ht="12.8" hidden="false" customHeight="false" outlineLevel="0" collapsed="false"/>
    <row r="1032963" customFormat="false" ht="12.8" hidden="false" customHeight="false" outlineLevel="0" collapsed="false"/>
    <row r="1032964" customFormat="false" ht="12.8" hidden="false" customHeight="false" outlineLevel="0" collapsed="false"/>
    <row r="1032965" customFormat="false" ht="12.8" hidden="false" customHeight="false" outlineLevel="0" collapsed="false"/>
    <row r="1032966" customFormat="false" ht="12.8" hidden="false" customHeight="false" outlineLevel="0" collapsed="false"/>
    <row r="1032967" customFormat="false" ht="12.8" hidden="false" customHeight="false" outlineLevel="0" collapsed="false"/>
    <row r="1032968" customFormat="false" ht="12.8" hidden="false" customHeight="false" outlineLevel="0" collapsed="false"/>
    <row r="1032969" customFormat="false" ht="12.8" hidden="false" customHeight="false" outlineLevel="0" collapsed="false"/>
    <row r="1032970" customFormat="false" ht="12.8" hidden="false" customHeight="false" outlineLevel="0" collapsed="false"/>
    <row r="1032971" customFormat="false" ht="12.8" hidden="false" customHeight="false" outlineLevel="0" collapsed="false"/>
    <row r="1032972" customFormat="false" ht="12.8" hidden="false" customHeight="false" outlineLevel="0" collapsed="false"/>
    <row r="1032973" customFormat="false" ht="12.8" hidden="false" customHeight="false" outlineLevel="0" collapsed="false"/>
    <row r="1032974" customFormat="false" ht="12.8" hidden="false" customHeight="false" outlineLevel="0" collapsed="false"/>
    <row r="1032975" customFormat="false" ht="12.8" hidden="false" customHeight="false" outlineLevel="0" collapsed="false"/>
    <row r="1032976" customFormat="false" ht="12.8" hidden="false" customHeight="false" outlineLevel="0" collapsed="false"/>
    <row r="1032977" customFormat="false" ht="12.8" hidden="false" customHeight="false" outlineLevel="0" collapsed="false"/>
    <row r="1032978" customFormat="false" ht="12.8" hidden="false" customHeight="false" outlineLevel="0" collapsed="false"/>
    <row r="1032979" customFormat="false" ht="12.8" hidden="false" customHeight="false" outlineLevel="0" collapsed="false"/>
    <row r="1032980" customFormat="false" ht="12.8" hidden="false" customHeight="false" outlineLevel="0" collapsed="false"/>
    <row r="1032981" customFormat="false" ht="12.8" hidden="false" customHeight="false" outlineLevel="0" collapsed="false"/>
    <row r="1032982" customFormat="false" ht="12.8" hidden="false" customHeight="false" outlineLevel="0" collapsed="false"/>
    <row r="1032983" customFormat="false" ht="12.8" hidden="false" customHeight="false" outlineLevel="0" collapsed="false"/>
    <row r="1032984" customFormat="false" ht="12.8" hidden="false" customHeight="false" outlineLevel="0" collapsed="false"/>
    <row r="1032985" customFormat="false" ht="12.8" hidden="false" customHeight="false" outlineLevel="0" collapsed="false"/>
    <row r="1032986" customFormat="false" ht="12.8" hidden="false" customHeight="false" outlineLevel="0" collapsed="false"/>
    <row r="1032987" customFormat="false" ht="12.8" hidden="false" customHeight="false" outlineLevel="0" collapsed="false"/>
    <row r="1032988" customFormat="false" ht="12.8" hidden="false" customHeight="false" outlineLevel="0" collapsed="false"/>
    <row r="1032989" customFormat="false" ht="12.8" hidden="false" customHeight="false" outlineLevel="0" collapsed="false"/>
    <row r="1032990" customFormat="false" ht="12.8" hidden="false" customHeight="false" outlineLevel="0" collapsed="false"/>
    <row r="1032991" customFormat="false" ht="12.8" hidden="false" customHeight="false" outlineLevel="0" collapsed="false"/>
    <row r="1032992" customFormat="false" ht="12.8" hidden="false" customHeight="false" outlineLevel="0" collapsed="false"/>
    <row r="1032993" customFormat="false" ht="12.8" hidden="false" customHeight="false" outlineLevel="0" collapsed="false"/>
    <row r="1032994" customFormat="false" ht="12.8" hidden="false" customHeight="false" outlineLevel="0" collapsed="false"/>
    <row r="1032995" customFormat="false" ht="12.8" hidden="false" customHeight="false" outlineLevel="0" collapsed="false"/>
    <row r="1032996" customFormat="false" ht="12.8" hidden="false" customHeight="false" outlineLevel="0" collapsed="false"/>
    <row r="1032997" customFormat="false" ht="12.8" hidden="false" customHeight="false" outlineLevel="0" collapsed="false"/>
    <row r="1032998" customFormat="false" ht="12.8" hidden="false" customHeight="false" outlineLevel="0" collapsed="false"/>
    <row r="1032999" customFormat="false" ht="12.8" hidden="false" customHeight="false" outlineLevel="0" collapsed="false"/>
    <row r="1033000" customFormat="false" ht="12.8" hidden="false" customHeight="false" outlineLevel="0" collapsed="false"/>
    <row r="1033001" customFormat="false" ht="12.8" hidden="false" customHeight="false" outlineLevel="0" collapsed="false"/>
    <row r="1033002" customFormat="false" ht="12.8" hidden="false" customHeight="false" outlineLevel="0" collapsed="false"/>
    <row r="1033003" customFormat="false" ht="12.8" hidden="false" customHeight="false" outlineLevel="0" collapsed="false"/>
    <row r="1033004" customFormat="false" ht="12.8" hidden="false" customHeight="false" outlineLevel="0" collapsed="false"/>
    <row r="1033005" customFormat="false" ht="12.8" hidden="false" customHeight="false" outlineLevel="0" collapsed="false"/>
    <row r="1033006" customFormat="false" ht="12.8" hidden="false" customHeight="false" outlineLevel="0" collapsed="false"/>
    <row r="1033007" customFormat="false" ht="12.8" hidden="false" customHeight="false" outlineLevel="0" collapsed="false"/>
    <row r="1033008" customFormat="false" ht="12.8" hidden="false" customHeight="false" outlineLevel="0" collapsed="false"/>
    <row r="1033009" customFormat="false" ht="12.8" hidden="false" customHeight="false" outlineLevel="0" collapsed="false"/>
    <row r="1033010" customFormat="false" ht="12.8" hidden="false" customHeight="false" outlineLevel="0" collapsed="false"/>
    <row r="1033011" customFormat="false" ht="12.8" hidden="false" customHeight="false" outlineLevel="0" collapsed="false"/>
    <row r="1033012" customFormat="false" ht="12.8" hidden="false" customHeight="false" outlineLevel="0" collapsed="false"/>
    <row r="1033013" customFormat="false" ht="12.8" hidden="false" customHeight="false" outlineLevel="0" collapsed="false"/>
    <row r="1033014" customFormat="false" ht="12.8" hidden="false" customHeight="false" outlineLevel="0" collapsed="false"/>
    <row r="1033015" customFormat="false" ht="12.8" hidden="false" customHeight="false" outlineLevel="0" collapsed="false"/>
    <row r="1033016" customFormat="false" ht="12.8" hidden="false" customHeight="false" outlineLevel="0" collapsed="false"/>
    <row r="1033017" customFormat="false" ht="12.8" hidden="false" customHeight="false" outlineLevel="0" collapsed="false"/>
    <row r="1033018" customFormat="false" ht="12.8" hidden="false" customHeight="false" outlineLevel="0" collapsed="false"/>
    <row r="1033019" customFormat="false" ht="12.8" hidden="false" customHeight="false" outlineLevel="0" collapsed="false"/>
    <row r="1033020" customFormat="false" ht="12.8" hidden="false" customHeight="false" outlineLevel="0" collapsed="false"/>
    <row r="1033021" customFormat="false" ht="12.8" hidden="false" customHeight="false" outlineLevel="0" collapsed="false"/>
    <row r="1033022" customFormat="false" ht="12.8" hidden="false" customHeight="false" outlineLevel="0" collapsed="false"/>
    <row r="1033023" customFormat="false" ht="12.8" hidden="false" customHeight="false" outlineLevel="0" collapsed="false"/>
    <row r="1033024" customFormat="false" ht="12.8" hidden="false" customHeight="false" outlineLevel="0" collapsed="false"/>
    <row r="1033025" customFormat="false" ht="12.8" hidden="false" customHeight="false" outlineLevel="0" collapsed="false"/>
    <row r="1033026" customFormat="false" ht="12.8" hidden="false" customHeight="false" outlineLevel="0" collapsed="false"/>
    <row r="1033027" customFormat="false" ht="12.8" hidden="false" customHeight="false" outlineLevel="0" collapsed="false"/>
    <row r="1033028" customFormat="false" ht="12.8" hidden="false" customHeight="false" outlineLevel="0" collapsed="false"/>
    <row r="1033029" customFormat="false" ht="12.8" hidden="false" customHeight="false" outlineLevel="0" collapsed="false"/>
    <row r="1033030" customFormat="false" ht="12.8" hidden="false" customHeight="false" outlineLevel="0" collapsed="false"/>
    <row r="1033031" customFormat="false" ht="12.8" hidden="false" customHeight="false" outlineLevel="0" collapsed="false"/>
    <row r="1033032" customFormat="false" ht="12.8" hidden="false" customHeight="false" outlineLevel="0" collapsed="false"/>
    <row r="1033033" customFormat="false" ht="12.8" hidden="false" customHeight="false" outlineLevel="0" collapsed="false"/>
    <row r="1033034" customFormat="false" ht="12.8" hidden="false" customHeight="false" outlineLevel="0" collapsed="false"/>
    <row r="1033035" customFormat="false" ht="12.8" hidden="false" customHeight="false" outlineLevel="0" collapsed="false"/>
    <row r="1033036" customFormat="false" ht="12.8" hidden="false" customHeight="false" outlineLevel="0" collapsed="false"/>
    <row r="1033037" customFormat="false" ht="12.8" hidden="false" customHeight="false" outlineLevel="0" collapsed="false"/>
    <row r="1033038" customFormat="false" ht="12.8" hidden="false" customHeight="false" outlineLevel="0" collapsed="false"/>
    <row r="1033039" customFormat="false" ht="12.8" hidden="false" customHeight="false" outlineLevel="0" collapsed="false"/>
    <row r="1033040" customFormat="false" ht="12.8" hidden="false" customHeight="false" outlineLevel="0" collapsed="false"/>
    <row r="1033041" customFormat="false" ht="12.8" hidden="false" customHeight="false" outlineLevel="0" collapsed="false"/>
    <row r="1033042" customFormat="false" ht="12.8" hidden="false" customHeight="false" outlineLevel="0" collapsed="false"/>
    <row r="1033043" customFormat="false" ht="12.8" hidden="false" customHeight="false" outlineLevel="0" collapsed="false"/>
    <row r="1033044" customFormat="false" ht="12.8" hidden="false" customHeight="false" outlineLevel="0" collapsed="false"/>
    <row r="1033045" customFormat="false" ht="12.8" hidden="false" customHeight="false" outlineLevel="0" collapsed="false"/>
    <row r="1033046" customFormat="false" ht="12.8" hidden="false" customHeight="false" outlineLevel="0" collapsed="false"/>
    <row r="1033047" customFormat="false" ht="12.8" hidden="false" customHeight="false" outlineLevel="0" collapsed="false"/>
    <row r="1033048" customFormat="false" ht="12.8" hidden="false" customHeight="false" outlineLevel="0" collapsed="false"/>
    <row r="1033049" customFormat="false" ht="12.8" hidden="false" customHeight="false" outlineLevel="0" collapsed="false"/>
    <row r="1033050" customFormat="false" ht="12.8" hidden="false" customHeight="false" outlineLevel="0" collapsed="false"/>
    <row r="1033051" customFormat="false" ht="12.8" hidden="false" customHeight="false" outlineLevel="0" collapsed="false"/>
    <row r="1033052" customFormat="false" ht="12.8" hidden="false" customHeight="false" outlineLevel="0" collapsed="false"/>
    <row r="1033053" customFormat="false" ht="12.8" hidden="false" customHeight="false" outlineLevel="0" collapsed="false"/>
    <row r="1033054" customFormat="false" ht="12.8" hidden="false" customHeight="false" outlineLevel="0" collapsed="false"/>
    <row r="1033055" customFormat="false" ht="12.8" hidden="false" customHeight="false" outlineLevel="0" collapsed="false"/>
    <row r="1033056" customFormat="false" ht="12.8" hidden="false" customHeight="false" outlineLevel="0" collapsed="false"/>
    <row r="1033057" customFormat="false" ht="12.8" hidden="false" customHeight="false" outlineLevel="0" collapsed="false"/>
    <row r="1033058" customFormat="false" ht="12.8" hidden="false" customHeight="false" outlineLevel="0" collapsed="false"/>
    <row r="1033059" customFormat="false" ht="12.8" hidden="false" customHeight="false" outlineLevel="0" collapsed="false"/>
    <row r="1033060" customFormat="false" ht="12.8" hidden="false" customHeight="false" outlineLevel="0" collapsed="false"/>
    <row r="1033061" customFormat="false" ht="12.8" hidden="false" customHeight="false" outlineLevel="0" collapsed="false"/>
    <row r="1033062" customFormat="false" ht="12.8" hidden="false" customHeight="false" outlineLevel="0" collapsed="false"/>
    <row r="1033063" customFormat="false" ht="12.8" hidden="false" customHeight="false" outlineLevel="0" collapsed="false"/>
    <row r="1033064" customFormat="false" ht="12.8" hidden="false" customHeight="false" outlineLevel="0" collapsed="false"/>
    <row r="1033065" customFormat="false" ht="12.8" hidden="false" customHeight="false" outlineLevel="0" collapsed="false"/>
    <row r="1033066" customFormat="false" ht="12.8" hidden="false" customHeight="false" outlineLevel="0" collapsed="false"/>
    <row r="1033067" customFormat="false" ht="12.8" hidden="false" customHeight="false" outlineLevel="0" collapsed="false"/>
    <row r="1033068" customFormat="false" ht="12.8" hidden="false" customHeight="false" outlineLevel="0" collapsed="false"/>
    <row r="1033069" customFormat="false" ht="12.8" hidden="false" customHeight="false" outlineLevel="0" collapsed="false"/>
    <row r="1033070" customFormat="false" ht="12.8" hidden="false" customHeight="false" outlineLevel="0" collapsed="false"/>
    <row r="1033071" customFormat="false" ht="12.8" hidden="false" customHeight="false" outlineLevel="0" collapsed="false"/>
    <row r="1033072" customFormat="false" ht="12.8" hidden="false" customHeight="false" outlineLevel="0" collapsed="false"/>
    <row r="1033073" customFormat="false" ht="12.8" hidden="false" customHeight="false" outlineLevel="0" collapsed="false"/>
    <row r="1033074" customFormat="false" ht="12.8" hidden="false" customHeight="false" outlineLevel="0" collapsed="false"/>
    <row r="1033075" customFormat="false" ht="12.8" hidden="false" customHeight="false" outlineLevel="0" collapsed="false"/>
    <row r="1033076" customFormat="false" ht="12.8" hidden="false" customHeight="false" outlineLevel="0" collapsed="false"/>
    <row r="1033077" customFormat="false" ht="12.8" hidden="false" customHeight="false" outlineLevel="0" collapsed="false"/>
    <row r="1033078" customFormat="false" ht="12.8" hidden="false" customHeight="false" outlineLevel="0" collapsed="false"/>
    <row r="1033079" customFormat="false" ht="12.8" hidden="false" customHeight="false" outlineLevel="0" collapsed="false"/>
    <row r="1033080" customFormat="false" ht="12.8" hidden="false" customHeight="false" outlineLevel="0" collapsed="false"/>
    <row r="1033081" customFormat="false" ht="12.8" hidden="false" customHeight="false" outlineLevel="0" collapsed="false"/>
    <row r="1033082" customFormat="false" ht="12.8" hidden="false" customHeight="false" outlineLevel="0" collapsed="false"/>
    <row r="1033083" customFormat="false" ht="12.8" hidden="false" customHeight="false" outlineLevel="0" collapsed="false"/>
    <row r="1033084" customFormat="false" ht="12.8" hidden="false" customHeight="false" outlineLevel="0" collapsed="false"/>
    <row r="1033085" customFormat="false" ht="12.8" hidden="false" customHeight="false" outlineLevel="0" collapsed="false"/>
    <row r="1033086" customFormat="false" ht="12.8" hidden="false" customHeight="false" outlineLevel="0" collapsed="false"/>
    <row r="1033087" customFormat="false" ht="12.8" hidden="false" customHeight="false" outlineLevel="0" collapsed="false"/>
    <row r="1033088" customFormat="false" ht="12.8" hidden="false" customHeight="false" outlineLevel="0" collapsed="false"/>
    <row r="1033089" customFormat="false" ht="12.8" hidden="false" customHeight="false" outlineLevel="0" collapsed="false"/>
    <row r="1033090" customFormat="false" ht="12.8" hidden="false" customHeight="false" outlineLevel="0" collapsed="false"/>
    <row r="1033091" customFormat="false" ht="12.8" hidden="false" customHeight="false" outlineLevel="0" collapsed="false"/>
    <row r="1033092" customFormat="false" ht="12.8" hidden="false" customHeight="false" outlineLevel="0" collapsed="false"/>
    <row r="1033093" customFormat="false" ht="12.8" hidden="false" customHeight="false" outlineLevel="0" collapsed="false"/>
    <row r="1033094" customFormat="false" ht="12.8" hidden="false" customHeight="false" outlineLevel="0" collapsed="false"/>
    <row r="1033095" customFormat="false" ht="12.8" hidden="false" customHeight="false" outlineLevel="0" collapsed="false"/>
    <row r="1033096" customFormat="false" ht="12.8" hidden="false" customHeight="false" outlineLevel="0" collapsed="false"/>
    <row r="1033097" customFormat="false" ht="12.8" hidden="false" customHeight="false" outlineLevel="0" collapsed="false"/>
    <row r="1033098" customFormat="false" ht="12.8" hidden="false" customHeight="false" outlineLevel="0" collapsed="false"/>
    <row r="1033099" customFormat="false" ht="12.8" hidden="false" customHeight="false" outlineLevel="0" collapsed="false"/>
    <row r="1033100" customFormat="false" ht="12.8" hidden="false" customHeight="false" outlineLevel="0" collapsed="false"/>
    <row r="1033101" customFormat="false" ht="12.8" hidden="false" customHeight="false" outlineLevel="0" collapsed="false"/>
    <row r="1033102" customFormat="false" ht="12.8" hidden="false" customHeight="false" outlineLevel="0" collapsed="false"/>
    <row r="1033103" customFormat="false" ht="12.8" hidden="false" customHeight="false" outlineLevel="0" collapsed="false"/>
    <row r="1033104" customFormat="false" ht="12.8" hidden="false" customHeight="false" outlineLevel="0" collapsed="false"/>
    <row r="1033105" customFormat="false" ht="12.8" hidden="false" customHeight="false" outlineLevel="0" collapsed="false"/>
    <row r="1033106" customFormat="false" ht="12.8" hidden="false" customHeight="false" outlineLevel="0" collapsed="false"/>
    <row r="1033107" customFormat="false" ht="12.8" hidden="false" customHeight="false" outlineLevel="0" collapsed="false"/>
    <row r="1033108" customFormat="false" ht="12.8" hidden="false" customHeight="false" outlineLevel="0" collapsed="false"/>
    <row r="1033109" customFormat="false" ht="12.8" hidden="false" customHeight="false" outlineLevel="0" collapsed="false"/>
    <row r="1033110" customFormat="false" ht="12.8" hidden="false" customHeight="false" outlineLevel="0" collapsed="false"/>
    <row r="1033111" customFormat="false" ht="12.8" hidden="false" customHeight="false" outlineLevel="0" collapsed="false"/>
    <row r="1033112" customFormat="false" ht="12.8" hidden="false" customHeight="false" outlineLevel="0" collapsed="false"/>
    <row r="1033113" customFormat="false" ht="12.8" hidden="false" customHeight="false" outlineLevel="0" collapsed="false"/>
    <row r="1033114" customFormat="false" ht="12.8" hidden="false" customHeight="false" outlineLevel="0" collapsed="false"/>
    <row r="1033115" customFormat="false" ht="12.8" hidden="false" customHeight="false" outlineLevel="0" collapsed="false"/>
    <row r="1033116" customFormat="false" ht="12.8" hidden="false" customHeight="false" outlineLevel="0" collapsed="false"/>
    <row r="1033117" customFormat="false" ht="12.8" hidden="false" customHeight="false" outlineLevel="0" collapsed="false"/>
    <row r="1033118" customFormat="false" ht="12.8" hidden="false" customHeight="false" outlineLevel="0" collapsed="false"/>
    <row r="1033119" customFormat="false" ht="12.8" hidden="false" customHeight="false" outlineLevel="0" collapsed="false"/>
    <row r="1033120" customFormat="false" ht="12.8" hidden="false" customHeight="false" outlineLevel="0" collapsed="false"/>
    <row r="1033121" customFormat="false" ht="12.8" hidden="false" customHeight="false" outlineLevel="0" collapsed="false"/>
    <row r="1033122" customFormat="false" ht="12.8" hidden="false" customHeight="false" outlineLevel="0" collapsed="false"/>
    <row r="1033123" customFormat="false" ht="12.8" hidden="false" customHeight="false" outlineLevel="0" collapsed="false"/>
    <row r="1033124" customFormat="false" ht="12.8" hidden="false" customHeight="false" outlineLevel="0" collapsed="false"/>
    <row r="1033125" customFormat="false" ht="12.8" hidden="false" customHeight="false" outlineLevel="0" collapsed="false"/>
    <row r="1033126" customFormat="false" ht="12.8" hidden="false" customHeight="false" outlineLevel="0" collapsed="false"/>
    <row r="1033127" customFormat="false" ht="12.8" hidden="false" customHeight="false" outlineLevel="0" collapsed="false"/>
    <row r="1033128" customFormat="false" ht="12.8" hidden="false" customHeight="false" outlineLevel="0" collapsed="false"/>
    <row r="1033129" customFormat="false" ht="12.8" hidden="false" customHeight="false" outlineLevel="0" collapsed="false"/>
    <row r="1033130" customFormat="false" ht="12.8" hidden="false" customHeight="false" outlineLevel="0" collapsed="false"/>
    <row r="1033131" customFormat="false" ht="12.8" hidden="false" customHeight="false" outlineLevel="0" collapsed="false"/>
    <row r="1033132" customFormat="false" ht="12.8" hidden="false" customHeight="false" outlineLevel="0" collapsed="false"/>
    <row r="1033133" customFormat="false" ht="12.8" hidden="false" customHeight="false" outlineLevel="0" collapsed="false"/>
    <row r="1033134" customFormat="false" ht="12.8" hidden="false" customHeight="false" outlineLevel="0" collapsed="false"/>
    <row r="1033135" customFormat="false" ht="12.8" hidden="false" customHeight="false" outlineLevel="0" collapsed="false"/>
    <row r="1033136" customFormat="false" ht="12.8" hidden="false" customHeight="false" outlineLevel="0" collapsed="false"/>
    <row r="1033137" customFormat="false" ht="12.8" hidden="false" customHeight="false" outlineLevel="0" collapsed="false"/>
    <row r="1033138" customFormat="false" ht="12.8" hidden="false" customHeight="false" outlineLevel="0" collapsed="false"/>
    <row r="1033139" customFormat="false" ht="12.8" hidden="false" customHeight="false" outlineLevel="0" collapsed="false"/>
    <row r="1033140" customFormat="false" ht="12.8" hidden="false" customHeight="false" outlineLevel="0" collapsed="false"/>
    <row r="1033141" customFormat="false" ht="12.8" hidden="false" customHeight="false" outlineLevel="0" collapsed="false"/>
    <row r="1033142" customFormat="false" ht="12.8" hidden="false" customHeight="false" outlineLevel="0" collapsed="false"/>
    <row r="1033143" customFormat="false" ht="12.8" hidden="false" customHeight="false" outlineLevel="0" collapsed="false"/>
    <row r="1033144" customFormat="false" ht="12.8" hidden="false" customHeight="false" outlineLevel="0" collapsed="false"/>
    <row r="1033145" customFormat="false" ht="12.8" hidden="false" customHeight="false" outlineLevel="0" collapsed="false"/>
    <row r="1033146" customFormat="false" ht="12.8" hidden="false" customHeight="false" outlineLevel="0" collapsed="false"/>
    <row r="1033147" customFormat="false" ht="12.8" hidden="false" customHeight="false" outlineLevel="0" collapsed="false"/>
    <row r="1033148" customFormat="false" ht="12.8" hidden="false" customHeight="false" outlineLevel="0" collapsed="false"/>
    <row r="1033149" customFormat="false" ht="12.8" hidden="false" customHeight="false" outlineLevel="0" collapsed="false"/>
    <row r="1033150" customFormat="false" ht="12.8" hidden="false" customHeight="false" outlineLevel="0" collapsed="false"/>
    <row r="1033151" customFormat="false" ht="12.8" hidden="false" customHeight="false" outlineLevel="0" collapsed="false"/>
    <row r="1033152" customFormat="false" ht="12.8" hidden="false" customHeight="false" outlineLevel="0" collapsed="false"/>
    <row r="1033153" customFormat="false" ht="12.8" hidden="false" customHeight="false" outlineLevel="0" collapsed="false"/>
    <row r="1033154" customFormat="false" ht="12.8" hidden="false" customHeight="false" outlineLevel="0" collapsed="false"/>
    <row r="1033155" customFormat="false" ht="12.8" hidden="false" customHeight="false" outlineLevel="0" collapsed="false"/>
    <row r="1033156" customFormat="false" ht="12.8" hidden="false" customHeight="false" outlineLevel="0" collapsed="false"/>
    <row r="1033157" customFormat="false" ht="12.8" hidden="false" customHeight="false" outlineLevel="0" collapsed="false"/>
    <row r="1033158" customFormat="false" ht="12.8" hidden="false" customHeight="false" outlineLevel="0" collapsed="false"/>
    <row r="1033159" customFormat="false" ht="12.8" hidden="false" customHeight="false" outlineLevel="0" collapsed="false"/>
    <row r="1033160" customFormat="false" ht="12.8" hidden="false" customHeight="false" outlineLevel="0" collapsed="false"/>
    <row r="1033161" customFormat="false" ht="12.8" hidden="false" customHeight="false" outlineLevel="0" collapsed="false"/>
    <row r="1033162" customFormat="false" ht="12.8" hidden="false" customHeight="false" outlineLevel="0" collapsed="false"/>
    <row r="1033163" customFormat="false" ht="12.8" hidden="false" customHeight="false" outlineLevel="0" collapsed="false"/>
    <row r="1033164" customFormat="false" ht="12.8" hidden="false" customHeight="false" outlineLevel="0" collapsed="false"/>
    <row r="1033165" customFormat="false" ht="12.8" hidden="false" customHeight="false" outlineLevel="0" collapsed="false"/>
    <row r="1033166" customFormat="false" ht="12.8" hidden="false" customHeight="false" outlineLevel="0" collapsed="false"/>
    <row r="1033167" customFormat="false" ht="12.8" hidden="false" customHeight="false" outlineLevel="0" collapsed="false"/>
    <row r="1033168" customFormat="false" ht="12.8" hidden="false" customHeight="false" outlineLevel="0" collapsed="false"/>
    <row r="1033169" customFormat="false" ht="12.8" hidden="false" customHeight="false" outlineLevel="0" collapsed="false"/>
    <row r="1033170" customFormat="false" ht="12.8" hidden="false" customHeight="false" outlineLevel="0" collapsed="false"/>
    <row r="1033171" customFormat="false" ht="12.8" hidden="false" customHeight="false" outlineLevel="0" collapsed="false"/>
    <row r="1033172" customFormat="false" ht="12.8" hidden="false" customHeight="false" outlineLevel="0" collapsed="false"/>
    <row r="1033173" customFormat="false" ht="12.8" hidden="false" customHeight="false" outlineLevel="0" collapsed="false"/>
    <row r="1033174" customFormat="false" ht="12.8" hidden="false" customHeight="false" outlineLevel="0" collapsed="false"/>
    <row r="1033175" customFormat="false" ht="12.8" hidden="false" customHeight="false" outlineLevel="0" collapsed="false"/>
    <row r="1033176" customFormat="false" ht="12.8" hidden="false" customHeight="false" outlineLevel="0" collapsed="false"/>
    <row r="1033177" customFormat="false" ht="12.8" hidden="false" customHeight="false" outlineLevel="0" collapsed="false"/>
    <row r="1033178" customFormat="false" ht="12.8" hidden="false" customHeight="false" outlineLevel="0" collapsed="false"/>
    <row r="1033179" customFormat="false" ht="12.8" hidden="false" customHeight="false" outlineLevel="0" collapsed="false"/>
    <row r="1033180" customFormat="false" ht="12.8" hidden="false" customHeight="false" outlineLevel="0" collapsed="false"/>
    <row r="1033181" customFormat="false" ht="12.8" hidden="false" customHeight="false" outlineLevel="0" collapsed="false"/>
    <row r="1033182" customFormat="false" ht="12.8" hidden="false" customHeight="false" outlineLevel="0" collapsed="false"/>
    <row r="1033183" customFormat="false" ht="12.8" hidden="false" customHeight="false" outlineLevel="0" collapsed="false"/>
    <row r="1033184" customFormat="false" ht="12.8" hidden="false" customHeight="false" outlineLevel="0" collapsed="false"/>
    <row r="1033185" customFormat="false" ht="12.8" hidden="false" customHeight="false" outlineLevel="0" collapsed="false"/>
    <row r="1033186" customFormat="false" ht="12.8" hidden="false" customHeight="false" outlineLevel="0" collapsed="false"/>
    <row r="1033187" customFormat="false" ht="12.8" hidden="false" customHeight="false" outlineLevel="0" collapsed="false"/>
    <row r="1033188" customFormat="false" ht="12.8" hidden="false" customHeight="false" outlineLevel="0" collapsed="false"/>
    <row r="1033189" customFormat="false" ht="12.8" hidden="false" customHeight="false" outlineLevel="0" collapsed="false"/>
    <row r="1033190" customFormat="false" ht="12.8" hidden="false" customHeight="false" outlineLevel="0" collapsed="false"/>
    <row r="1033191" customFormat="false" ht="12.8" hidden="false" customHeight="false" outlineLevel="0" collapsed="false"/>
    <row r="1033192" customFormat="false" ht="12.8" hidden="false" customHeight="false" outlineLevel="0" collapsed="false"/>
    <row r="1033193" customFormat="false" ht="12.8" hidden="false" customHeight="false" outlineLevel="0" collapsed="false"/>
    <row r="1033194" customFormat="false" ht="12.8" hidden="false" customHeight="false" outlineLevel="0" collapsed="false"/>
    <row r="1033195" customFormat="false" ht="12.8" hidden="false" customHeight="false" outlineLevel="0" collapsed="false"/>
    <row r="1033196" customFormat="false" ht="12.8" hidden="false" customHeight="false" outlineLevel="0" collapsed="false"/>
    <row r="1033197" customFormat="false" ht="12.8" hidden="false" customHeight="false" outlineLevel="0" collapsed="false"/>
    <row r="1033198" customFormat="false" ht="12.8" hidden="false" customHeight="false" outlineLevel="0" collapsed="false"/>
    <row r="1033199" customFormat="false" ht="12.8" hidden="false" customHeight="false" outlineLevel="0" collapsed="false"/>
    <row r="1033200" customFormat="false" ht="12.8" hidden="false" customHeight="false" outlineLevel="0" collapsed="false"/>
    <row r="1033201" customFormat="false" ht="12.8" hidden="false" customHeight="false" outlineLevel="0" collapsed="false"/>
    <row r="1033202" customFormat="false" ht="12.8" hidden="false" customHeight="false" outlineLevel="0" collapsed="false"/>
    <row r="1033203" customFormat="false" ht="12.8" hidden="false" customHeight="false" outlineLevel="0" collapsed="false"/>
    <row r="1033204" customFormat="false" ht="12.8" hidden="false" customHeight="false" outlineLevel="0" collapsed="false"/>
    <row r="1033205" customFormat="false" ht="12.8" hidden="false" customHeight="false" outlineLevel="0" collapsed="false"/>
    <row r="1033206" customFormat="false" ht="12.8" hidden="false" customHeight="false" outlineLevel="0" collapsed="false"/>
    <row r="1033207" customFormat="false" ht="12.8" hidden="false" customHeight="false" outlineLevel="0" collapsed="false"/>
    <row r="1033208" customFormat="false" ht="12.8" hidden="false" customHeight="false" outlineLevel="0" collapsed="false"/>
    <row r="1033209" customFormat="false" ht="12.8" hidden="false" customHeight="false" outlineLevel="0" collapsed="false"/>
    <row r="1033210" customFormat="false" ht="12.8" hidden="false" customHeight="false" outlineLevel="0" collapsed="false"/>
    <row r="1033211" customFormat="false" ht="12.8" hidden="false" customHeight="false" outlineLevel="0" collapsed="false"/>
    <row r="1033212" customFormat="false" ht="12.8" hidden="false" customHeight="false" outlineLevel="0" collapsed="false"/>
    <row r="1033213" customFormat="false" ht="12.8" hidden="false" customHeight="false" outlineLevel="0" collapsed="false"/>
    <row r="1033214" customFormat="false" ht="12.8" hidden="false" customHeight="false" outlineLevel="0" collapsed="false"/>
    <row r="1033215" customFormat="false" ht="12.8" hidden="false" customHeight="false" outlineLevel="0" collapsed="false"/>
    <row r="1033216" customFormat="false" ht="12.8" hidden="false" customHeight="false" outlineLevel="0" collapsed="false"/>
    <row r="1033217" customFormat="false" ht="12.8" hidden="false" customHeight="false" outlineLevel="0" collapsed="false"/>
    <row r="1033218" customFormat="false" ht="12.8" hidden="false" customHeight="false" outlineLevel="0" collapsed="false"/>
    <row r="1033219" customFormat="false" ht="12.8" hidden="false" customHeight="false" outlineLevel="0" collapsed="false"/>
    <row r="1033220" customFormat="false" ht="12.8" hidden="false" customHeight="false" outlineLevel="0" collapsed="false"/>
    <row r="1033221" customFormat="false" ht="12.8" hidden="false" customHeight="false" outlineLevel="0" collapsed="false"/>
    <row r="1033222" customFormat="false" ht="12.8" hidden="false" customHeight="false" outlineLevel="0" collapsed="false"/>
    <row r="1033223" customFormat="false" ht="12.8" hidden="false" customHeight="false" outlineLevel="0" collapsed="false"/>
    <row r="1033224" customFormat="false" ht="12.8" hidden="false" customHeight="false" outlineLevel="0" collapsed="false"/>
    <row r="1033225" customFormat="false" ht="12.8" hidden="false" customHeight="false" outlineLevel="0" collapsed="false"/>
    <row r="1033226" customFormat="false" ht="12.8" hidden="false" customHeight="false" outlineLevel="0" collapsed="false"/>
    <row r="1033227" customFormat="false" ht="12.8" hidden="false" customHeight="false" outlineLevel="0" collapsed="false"/>
    <row r="1033228" customFormat="false" ht="12.8" hidden="false" customHeight="false" outlineLevel="0" collapsed="false"/>
    <row r="1033229" customFormat="false" ht="12.8" hidden="false" customHeight="false" outlineLevel="0" collapsed="false"/>
    <row r="1033230" customFormat="false" ht="12.8" hidden="false" customHeight="false" outlineLevel="0" collapsed="false"/>
    <row r="1033231" customFormat="false" ht="12.8" hidden="false" customHeight="false" outlineLevel="0" collapsed="false"/>
    <row r="1033232" customFormat="false" ht="12.8" hidden="false" customHeight="false" outlineLevel="0" collapsed="false"/>
    <row r="1033233" customFormat="false" ht="12.8" hidden="false" customHeight="false" outlineLevel="0" collapsed="false"/>
    <row r="1033234" customFormat="false" ht="12.8" hidden="false" customHeight="false" outlineLevel="0" collapsed="false"/>
    <row r="1033235" customFormat="false" ht="12.8" hidden="false" customHeight="false" outlineLevel="0" collapsed="false"/>
    <row r="1033236" customFormat="false" ht="12.8" hidden="false" customHeight="false" outlineLevel="0" collapsed="false"/>
    <row r="1033237" customFormat="false" ht="12.8" hidden="false" customHeight="false" outlineLevel="0" collapsed="false"/>
    <row r="1033238" customFormat="false" ht="12.8" hidden="false" customHeight="false" outlineLevel="0" collapsed="false"/>
    <row r="1033239" customFormat="false" ht="12.8" hidden="false" customHeight="false" outlineLevel="0" collapsed="false"/>
    <row r="1033240" customFormat="false" ht="12.8" hidden="false" customHeight="false" outlineLevel="0" collapsed="false"/>
    <row r="1033241" customFormat="false" ht="12.8" hidden="false" customHeight="false" outlineLevel="0" collapsed="false"/>
    <row r="1033242" customFormat="false" ht="12.8" hidden="false" customHeight="false" outlineLevel="0" collapsed="false"/>
    <row r="1033243" customFormat="false" ht="12.8" hidden="false" customHeight="false" outlineLevel="0" collapsed="false"/>
    <row r="1033244" customFormat="false" ht="12.8" hidden="false" customHeight="false" outlineLevel="0" collapsed="false"/>
    <row r="1033245" customFormat="false" ht="12.8" hidden="false" customHeight="false" outlineLevel="0" collapsed="false"/>
    <row r="1033246" customFormat="false" ht="12.8" hidden="false" customHeight="false" outlineLevel="0" collapsed="false"/>
    <row r="1033247" customFormat="false" ht="12.8" hidden="false" customHeight="false" outlineLevel="0" collapsed="false"/>
    <row r="1033248" customFormat="false" ht="12.8" hidden="false" customHeight="false" outlineLevel="0" collapsed="false"/>
    <row r="1033249" customFormat="false" ht="12.8" hidden="false" customHeight="false" outlineLevel="0" collapsed="false"/>
    <row r="1033250" customFormat="false" ht="12.8" hidden="false" customHeight="false" outlineLevel="0" collapsed="false"/>
    <row r="1033251" customFormat="false" ht="12.8" hidden="false" customHeight="false" outlineLevel="0" collapsed="false"/>
    <row r="1033252" customFormat="false" ht="12.8" hidden="false" customHeight="false" outlineLevel="0" collapsed="false"/>
    <row r="1033253" customFormat="false" ht="12.8" hidden="false" customHeight="false" outlineLevel="0" collapsed="false"/>
    <row r="1033254" customFormat="false" ht="12.8" hidden="false" customHeight="false" outlineLevel="0" collapsed="false"/>
    <row r="1033255" customFormat="false" ht="12.8" hidden="false" customHeight="false" outlineLevel="0" collapsed="false"/>
    <row r="1033256" customFormat="false" ht="12.8" hidden="false" customHeight="false" outlineLevel="0" collapsed="false"/>
    <row r="1033257" customFormat="false" ht="12.8" hidden="false" customHeight="false" outlineLevel="0" collapsed="false"/>
    <row r="1033258" customFormat="false" ht="12.8" hidden="false" customHeight="false" outlineLevel="0" collapsed="false"/>
    <row r="1033259" customFormat="false" ht="12.8" hidden="false" customHeight="false" outlineLevel="0" collapsed="false"/>
    <row r="1033260" customFormat="false" ht="12.8" hidden="false" customHeight="false" outlineLevel="0" collapsed="false"/>
    <row r="1033261" customFormat="false" ht="12.8" hidden="false" customHeight="false" outlineLevel="0" collapsed="false"/>
    <row r="1033262" customFormat="false" ht="12.8" hidden="false" customHeight="false" outlineLevel="0" collapsed="false"/>
    <row r="1033263" customFormat="false" ht="12.8" hidden="false" customHeight="false" outlineLevel="0" collapsed="false"/>
    <row r="1033264" customFormat="false" ht="12.8" hidden="false" customHeight="false" outlineLevel="0" collapsed="false"/>
    <row r="1033265" customFormat="false" ht="12.8" hidden="false" customHeight="false" outlineLevel="0" collapsed="false"/>
    <row r="1033266" customFormat="false" ht="12.8" hidden="false" customHeight="false" outlineLevel="0" collapsed="false"/>
    <row r="1033267" customFormat="false" ht="12.8" hidden="false" customHeight="false" outlineLevel="0" collapsed="false"/>
    <row r="1033268" customFormat="false" ht="12.8" hidden="false" customHeight="false" outlineLevel="0" collapsed="false"/>
    <row r="1033269" customFormat="false" ht="12.8" hidden="false" customHeight="false" outlineLevel="0" collapsed="false"/>
    <row r="1033270" customFormat="false" ht="12.8" hidden="false" customHeight="false" outlineLevel="0" collapsed="false"/>
    <row r="1033271" customFormat="false" ht="12.8" hidden="false" customHeight="false" outlineLevel="0" collapsed="false"/>
    <row r="1033272" customFormat="false" ht="12.8" hidden="false" customHeight="false" outlineLevel="0" collapsed="false"/>
    <row r="1033273" customFormat="false" ht="12.8" hidden="false" customHeight="false" outlineLevel="0" collapsed="false"/>
    <row r="1033274" customFormat="false" ht="12.8" hidden="false" customHeight="false" outlineLevel="0" collapsed="false"/>
    <row r="1033275" customFormat="false" ht="12.8" hidden="false" customHeight="false" outlineLevel="0" collapsed="false"/>
    <row r="1033276" customFormat="false" ht="12.8" hidden="false" customHeight="false" outlineLevel="0" collapsed="false"/>
    <row r="1033277" customFormat="false" ht="12.8" hidden="false" customHeight="false" outlineLevel="0" collapsed="false"/>
    <row r="1033278" customFormat="false" ht="12.8" hidden="false" customHeight="false" outlineLevel="0" collapsed="false"/>
    <row r="1033279" customFormat="false" ht="12.8" hidden="false" customHeight="false" outlineLevel="0" collapsed="false"/>
    <row r="1033280" customFormat="false" ht="12.8" hidden="false" customHeight="false" outlineLevel="0" collapsed="false"/>
    <row r="1033281" customFormat="false" ht="12.8" hidden="false" customHeight="false" outlineLevel="0" collapsed="false"/>
    <row r="1033282" customFormat="false" ht="12.8" hidden="false" customHeight="false" outlineLevel="0" collapsed="false"/>
    <row r="1033283" customFormat="false" ht="12.8" hidden="false" customHeight="false" outlineLevel="0" collapsed="false"/>
    <row r="1033284" customFormat="false" ht="12.8" hidden="false" customHeight="false" outlineLevel="0" collapsed="false"/>
    <row r="1033285" customFormat="false" ht="12.8" hidden="false" customHeight="false" outlineLevel="0" collapsed="false"/>
    <row r="1033286" customFormat="false" ht="12.8" hidden="false" customHeight="false" outlineLevel="0" collapsed="false"/>
    <row r="1033287" customFormat="false" ht="12.8" hidden="false" customHeight="false" outlineLevel="0" collapsed="false"/>
    <row r="1033288" customFormat="false" ht="12.8" hidden="false" customHeight="false" outlineLevel="0" collapsed="false"/>
    <row r="1033289" customFormat="false" ht="12.8" hidden="false" customHeight="false" outlineLevel="0" collapsed="false"/>
    <row r="1033290" customFormat="false" ht="12.8" hidden="false" customHeight="false" outlineLevel="0" collapsed="false"/>
    <row r="1033291" customFormat="false" ht="12.8" hidden="false" customHeight="false" outlineLevel="0" collapsed="false"/>
    <row r="1033292" customFormat="false" ht="12.8" hidden="false" customHeight="false" outlineLevel="0" collapsed="false"/>
    <row r="1033293" customFormat="false" ht="12.8" hidden="false" customHeight="false" outlineLevel="0" collapsed="false"/>
    <row r="1033294" customFormat="false" ht="12.8" hidden="false" customHeight="false" outlineLevel="0" collapsed="false"/>
    <row r="1033295" customFormat="false" ht="12.8" hidden="false" customHeight="false" outlineLevel="0" collapsed="false"/>
    <row r="1033296" customFormat="false" ht="12.8" hidden="false" customHeight="false" outlineLevel="0" collapsed="false"/>
    <row r="1033297" customFormat="false" ht="12.8" hidden="false" customHeight="false" outlineLevel="0" collapsed="false"/>
    <row r="1033298" customFormat="false" ht="12.8" hidden="false" customHeight="false" outlineLevel="0" collapsed="false"/>
    <row r="1033299" customFormat="false" ht="12.8" hidden="false" customHeight="false" outlineLevel="0" collapsed="false"/>
    <row r="1033300" customFormat="false" ht="12.8" hidden="false" customHeight="false" outlineLevel="0" collapsed="false"/>
    <row r="1033301" customFormat="false" ht="12.8" hidden="false" customHeight="false" outlineLevel="0" collapsed="false"/>
    <row r="1033302" customFormat="false" ht="12.8" hidden="false" customHeight="false" outlineLevel="0" collapsed="false"/>
    <row r="1033303" customFormat="false" ht="12.8" hidden="false" customHeight="false" outlineLevel="0" collapsed="false"/>
    <row r="1033304" customFormat="false" ht="12.8" hidden="false" customHeight="false" outlineLevel="0" collapsed="false"/>
    <row r="1033305" customFormat="false" ht="12.8" hidden="false" customHeight="false" outlineLevel="0" collapsed="false"/>
    <row r="1033306" customFormat="false" ht="12.8" hidden="false" customHeight="false" outlineLevel="0" collapsed="false"/>
    <row r="1033307" customFormat="false" ht="12.8" hidden="false" customHeight="false" outlineLevel="0" collapsed="false"/>
    <row r="1033308" customFormat="false" ht="12.8" hidden="false" customHeight="false" outlineLevel="0" collapsed="false"/>
    <row r="1033309" customFormat="false" ht="12.8" hidden="false" customHeight="false" outlineLevel="0" collapsed="false"/>
    <row r="1033310" customFormat="false" ht="12.8" hidden="false" customHeight="false" outlineLevel="0" collapsed="false"/>
    <row r="1033311" customFormat="false" ht="12.8" hidden="false" customHeight="false" outlineLevel="0" collapsed="false"/>
    <row r="1033312" customFormat="false" ht="12.8" hidden="false" customHeight="false" outlineLevel="0" collapsed="false"/>
    <row r="1033313" customFormat="false" ht="12.8" hidden="false" customHeight="false" outlineLevel="0" collapsed="false"/>
    <row r="1033314" customFormat="false" ht="12.8" hidden="false" customHeight="false" outlineLevel="0" collapsed="false"/>
    <row r="1033315" customFormat="false" ht="12.8" hidden="false" customHeight="false" outlineLevel="0" collapsed="false"/>
    <row r="1033316" customFormat="false" ht="12.8" hidden="false" customHeight="false" outlineLevel="0" collapsed="false"/>
    <row r="1033317" customFormat="false" ht="12.8" hidden="false" customHeight="false" outlineLevel="0" collapsed="false"/>
    <row r="1033318" customFormat="false" ht="12.8" hidden="false" customHeight="false" outlineLevel="0" collapsed="false"/>
    <row r="1033319" customFormat="false" ht="12.8" hidden="false" customHeight="false" outlineLevel="0" collapsed="false"/>
    <row r="1033320" customFormat="false" ht="12.8" hidden="false" customHeight="false" outlineLevel="0" collapsed="false"/>
    <row r="1033321" customFormat="false" ht="12.8" hidden="false" customHeight="false" outlineLevel="0" collapsed="false"/>
    <row r="1033322" customFormat="false" ht="12.8" hidden="false" customHeight="false" outlineLevel="0" collapsed="false"/>
    <row r="1033323" customFormat="false" ht="12.8" hidden="false" customHeight="false" outlineLevel="0" collapsed="false"/>
    <row r="1033324" customFormat="false" ht="12.8" hidden="false" customHeight="false" outlineLevel="0" collapsed="false"/>
    <row r="1033325" customFormat="false" ht="12.8" hidden="false" customHeight="false" outlineLevel="0" collapsed="false"/>
    <row r="1033326" customFormat="false" ht="12.8" hidden="false" customHeight="false" outlineLevel="0" collapsed="false"/>
    <row r="1033327" customFormat="false" ht="12.8" hidden="false" customHeight="false" outlineLevel="0" collapsed="false"/>
    <row r="1033328" customFormat="false" ht="12.8" hidden="false" customHeight="false" outlineLevel="0" collapsed="false"/>
    <row r="1033329" customFormat="false" ht="12.8" hidden="false" customHeight="false" outlineLevel="0" collapsed="false"/>
    <row r="1033330" customFormat="false" ht="12.8" hidden="false" customHeight="false" outlineLevel="0" collapsed="false"/>
    <row r="1033331" customFormat="false" ht="12.8" hidden="false" customHeight="false" outlineLevel="0" collapsed="false"/>
    <row r="1033332" customFormat="false" ht="12.8" hidden="false" customHeight="false" outlineLevel="0" collapsed="false"/>
    <row r="1033333" customFormat="false" ht="12.8" hidden="false" customHeight="false" outlineLevel="0" collapsed="false"/>
    <row r="1033334" customFormat="false" ht="12.8" hidden="false" customHeight="false" outlineLevel="0" collapsed="false"/>
    <row r="1033335" customFormat="false" ht="12.8" hidden="false" customHeight="false" outlineLevel="0" collapsed="false"/>
    <row r="1033336" customFormat="false" ht="12.8" hidden="false" customHeight="false" outlineLevel="0" collapsed="false"/>
    <row r="1033337" customFormat="false" ht="12.8" hidden="false" customHeight="false" outlineLevel="0" collapsed="false"/>
    <row r="1033338" customFormat="false" ht="12.8" hidden="false" customHeight="false" outlineLevel="0" collapsed="false"/>
    <row r="1033339" customFormat="false" ht="12.8" hidden="false" customHeight="false" outlineLevel="0" collapsed="false"/>
    <row r="1033340" customFormat="false" ht="12.8" hidden="false" customHeight="false" outlineLevel="0" collapsed="false"/>
    <row r="1033341" customFormat="false" ht="12.8" hidden="false" customHeight="false" outlineLevel="0" collapsed="false"/>
    <row r="1033342" customFormat="false" ht="12.8" hidden="false" customHeight="false" outlineLevel="0" collapsed="false"/>
    <row r="1033343" customFormat="false" ht="12.8" hidden="false" customHeight="false" outlineLevel="0" collapsed="false"/>
    <row r="1033344" customFormat="false" ht="12.8" hidden="false" customHeight="false" outlineLevel="0" collapsed="false"/>
    <row r="1033345" customFormat="false" ht="12.8" hidden="false" customHeight="false" outlineLevel="0" collapsed="false"/>
    <row r="1033346" customFormat="false" ht="12.8" hidden="false" customHeight="false" outlineLevel="0" collapsed="false"/>
    <row r="1033347" customFormat="false" ht="12.8" hidden="false" customHeight="false" outlineLevel="0" collapsed="false"/>
    <row r="1033348" customFormat="false" ht="12.8" hidden="false" customHeight="false" outlineLevel="0" collapsed="false"/>
    <row r="1033349" customFormat="false" ht="12.8" hidden="false" customHeight="false" outlineLevel="0" collapsed="false"/>
    <row r="1033350" customFormat="false" ht="12.8" hidden="false" customHeight="false" outlineLevel="0" collapsed="false"/>
    <row r="1033351" customFormat="false" ht="12.8" hidden="false" customHeight="false" outlineLevel="0" collapsed="false"/>
    <row r="1033352" customFormat="false" ht="12.8" hidden="false" customHeight="false" outlineLevel="0" collapsed="false"/>
    <row r="1033353" customFormat="false" ht="12.8" hidden="false" customHeight="false" outlineLevel="0" collapsed="false"/>
    <row r="1033354" customFormat="false" ht="12.8" hidden="false" customHeight="false" outlineLevel="0" collapsed="false"/>
    <row r="1033355" customFormat="false" ht="12.8" hidden="false" customHeight="false" outlineLevel="0" collapsed="false"/>
    <row r="1033356" customFormat="false" ht="12.8" hidden="false" customHeight="false" outlineLevel="0" collapsed="false"/>
    <row r="1033357" customFormat="false" ht="12.8" hidden="false" customHeight="false" outlineLevel="0" collapsed="false"/>
    <row r="1033358" customFormat="false" ht="12.8" hidden="false" customHeight="false" outlineLevel="0" collapsed="false"/>
    <row r="1033359" customFormat="false" ht="12.8" hidden="false" customHeight="false" outlineLevel="0" collapsed="false"/>
    <row r="1033360" customFormat="false" ht="12.8" hidden="false" customHeight="false" outlineLevel="0" collapsed="false"/>
    <row r="1033361" customFormat="false" ht="12.8" hidden="false" customHeight="false" outlineLevel="0" collapsed="false"/>
    <row r="1033362" customFormat="false" ht="12.8" hidden="false" customHeight="false" outlineLevel="0" collapsed="false"/>
    <row r="1033363" customFormat="false" ht="12.8" hidden="false" customHeight="false" outlineLevel="0" collapsed="false"/>
    <row r="1033364" customFormat="false" ht="12.8" hidden="false" customHeight="false" outlineLevel="0" collapsed="false"/>
    <row r="1033365" customFormat="false" ht="12.8" hidden="false" customHeight="false" outlineLevel="0" collapsed="false"/>
    <row r="1033366" customFormat="false" ht="12.8" hidden="false" customHeight="false" outlineLevel="0" collapsed="false"/>
    <row r="1033367" customFormat="false" ht="12.8" hidden="false" customHeight="false" outlineLevel="0" collapsed="false"/>
    <row r="1033368" customFormat="false" ht="12.8" hidden="false" customHeight="false" outlineLevel="0" collapsed="false"/>
    <row r="1033369" customFormat="false" ht="12.8" hidden="false" customHeight="false" outlineLevel="0" collapsed="false"/>
    <row r="1033370" customFormat="false" ht="12.8" hidden="false" customHeight="false" outlineLevel="0" collapsed="false"/>
    <row r="1033371" customFormat="false" ht="12.8" hidden="false" customHeight="false" outlineLevel="0" collapsed="false"/>
    <row r="1033372" customFormat="false" ht="12.8" hidden="false" customHeight="false" outlineLevel="0" collapsed="false"/>
    <row r="1033373" customFormat="false" ht="12.8" hidden="false" customHeight="false" outlineLevel="0" collapsed="false"/>
    <row r="1033374" customFormat="false" ht="12.8" hidden="false" customHeight="false" outlineLevel="0" collapsed="false"/>
    <row r="1033375" customFormat="false" ht="12.8" hidden="false" customHeight="false" outlineLevel="0" collapsed="false"/>
    <row r="1033376" customFormat="false" ht="12.8" hidden="false" customHeight="false" outlineLevel="0" collapsed="false"/>
    <row r="1033377" customFormat="false" ht="12.8" hidden="false" customHeight="false" outlineLevel="0" collapsed="false"/>
    <row r="1033378" customFormat="false" ht="12.8" hidden="false" customHeight="false" outlineLevel="0" collapsed="false"/>
    <row r="1033379" customFormat="false" ht="12.8" hidden="false" customHeight="false" outlineLevel="0" collapsed="false"/>
    <row r="1033380" customFormat="false" ht="12.8" hidden="false" customHeight="false" outlineLevel="0" collapsed="false"/>
    <row r="1033381" customFormat="false" ht="12.8" hidden="false" customHeight="false" outlineLevel="0" collapsed="false"/>
    <row r="1033382" customFormat="false" ht="12.8" hidden="false" customHeight="false" outlineLevel="0" collapsed="false"/>
    <row r="1033383" customFormat="false" ht="12.8" hidden="false" customHeight="false" outlineLevel="0" collapsed="false"/>
    <row r="1033384" customFormat="false" ht="12.8" hidden="false" customHeight="false" outlineLevel="0" collapsed="false"/>
    <row r="1033385" customFormat="false" ht="12.8" hidden="false" customHeight="false" outlineLevel="0" collapsed="false"/>
    <row r="1033386" customFormat="false" ht="12.8" hidden="false" customHeight="false" outlineLevel="0" collapsed="false"/>
    <row r="1033387" customFormat="false" ht="12.8" hidden="false" customHeight="false" outlineLevel="0" collapsed="false"/>
    <row r="1033388" customFormat="false" ht="12.8" hidden="false" customHeight="false" outlineLevel="0" collapsed="false"/>
    <row r="1033389" customFormat="false" ht="12.8" hidden="false" customHeight="false" outlineLevel="0" collapsed="false"/>
    <row r="1033390" customFormat="false" ht="12.8" hidden="false" customHeight="false" outlineLevel="0" collapsed="false"/>
    <row r="1033391" customFormat="false" ht="12.8" hidden="false" customHeight="false" outlineLevel="0" collapsed="false"/>
    <row r="1033392" customFormat="false" ht="12.8" hidden="false" customHeight="false" outlineLevel="0" collapsed="false"/>
    <row r="1033393" customFormat="false" ht="12.8" hidden="false" customHeight="false" outlineLevel="0" collapsed="false"/>
    <row r="1033394" customFormat="false" ht="12.8" hidden="false" customHeight="false" outlineLevel="0" collapsed="false"/>
    <row r="1033395" customFormat="false" ht="12.8" hidden="false" customHeight="false" outlineLevel="0" collapsed="false"/>
    <row r="1033396" customFormat="false" ht="12.8" hidden="false" customHeight="false" outlineLevel="0" collapsed="false"/>
    <row r="1033397" customFormat="false" ht="12.8" hidden="false" customHeight="false" outlineLevel="0" collapsed="false"/>
    <row r="1033398" customFormat="false" ht="12.8" hidden="false" customHeight="false" outlineLevel="0" collapsed="false"/>
    <row r="1033399" customFormat="false" ht="12.8" hidden="false" customHeight="false" outlineLevel="0" collapsed="false"/>
    <row r="1033400" customFormat="false" ht="12.8" hidden="false" customHeight="false" outlineLevel="0" collapsed="false"/>
    <row r="1033401" customFormat="false" ht="12.8" hidden="false" customHeight="false" outlineLevel="0" collapsed="false"/>
    <row r="1033402" customFormat="false" ht="12.8" hidden="false" customHeight="false" outlineLevel="0" collapsed="false"/>
    <row r="1033403" customFormat="false" ht="12.8" hidden="false" customHeight="false" outlineLevel="0" collapsed="false"/>
    <row r="1033404" customFormat="false" ht="12.8" hidden="false" customHeight="false" outlineLevel="0" collapsed="false"/>
    <row r="1033405" customFormat="false" ht="12.8" hidden="false" customHeight="false" outlineLevel="0" collapsed="false"/>
    <row r="1033406" customFormat="false" ht="12.8" hidden="false" customHeight="false" outlineLevel="0" collapsed="false"/>
    <row r="1033407" customFormat="false" ht="12.8" hidden="false" customHeight="false" outlineLevel="0" collapsed="false"/>
    <row r="1033408" customFormat="false" ht="12.8" hidden="false" customHeight="false" outlineLevel="0" collapsed="false"/>
    <row r="1033409" customFormat="false" ht="12.8" hidden="false" customHeight="false" outlineLevel="0" collapsed="false"/>
    <row r="1033410" customFormat="false" ht="12.8" hidden="false" customHeight="false" outlineLevel="0" collapsed="false"/>
    <row r="1033411" customFormat="false" ht="12.8" hidden="false" customHeight="false" outlineLevel="0" collapsed="false"/>
    <row r="1033412" customFormat="false" ht="12.8" hidden="false" customHeight="false" outlineLevel="0" collapsed="false"/>
    <row r="1033413" customFormat="false" ht="12.8" hidden="false" customHeight="false" outlineLevel="0" collapsed="false"/>
    <row r="1033414" customFormat="false" ht="12.8" hidden="false" customHeight="false" outlineLevel="0" collapsed="false"/>
    <row r="1033415" customFormat="false" ht="12.8" hidden="false" customHeight="false" outlineLevel="0" collapsed="false"/>
    <row r="1033416" customFormat="false" ht="12.8" hidden="false" customHeight="false" outlineLevel="0" collapsed="false"/>
    <row r="1033417" customFormat="false" ht="12.8" hidden="false" customHeight="false" outlineLevel="0" collapsed="false"/>
    <row r="1033418" customFormat="false" ht="12.8" hidden="false" customHeight="false" outlineLevel="0" collapsed="false"/>
    <row r="1033419" customFormat="false" ht="12.8" hidden="false" customHeight="false" outlineLevel="0" collapsed="false"/>
    <row r="1033420" customFormat="false" ht="12.8" hidden="false" customHeight="false" outlineLevel="0" collapsed="false"/>
    <row r="1033421" customFormat="false" ht="12.8" hidden="false" customHeight="false" outlineLevel="0" collapsed="false"/>
    <row r="1033422" customFormat="false" ht="12.8" hidden="false" customHeight="false" outlineLevel="0" collapsed="false"/>
    <row r="1033423" customFormat="false" ht="12.8" hidden="false" customHeight="false" outlineLevel="0" collapsed="false"/>
    <row r="1033424" customFormat="false" ht="12.8" hidden="false" customHeight="false" outlineLevel="0" collapsed="false"/>
    <row r="1033425" customFormat="false" ht="12.8" hidden="false" customHeight="false" outlineLevel="0" collapsed="false"/>
    <row r="1033426" customFormat="false" ht="12.8" hidden="false" customHeight="false" outlineLevel="0" collapsed="false"/>
    <row r="1033427" customFormat="false" ht="12.8" hidden="false" customHeight="false" outlineLevel="0" collapsed="false"/>
    <row r="1033428" customFormat="false" ht="12.8" hidden="false" customHeight="false" outlineLevel="0" collapsed="false"/>
    <row r="1033429" customFormat="false" ht="12.8" hidden="false" customHeight="false" outlineLevel="0" collapsed="false"/>
    <row r="1033430" customFormat="false" ht="12.8" hidden="false" customHeight="false" outlineLevel="0" collapsed="false"/>
    <row r="1033431" customFormat="false" ht="12.8" hidden="false" customHeight="false" outlineLevel="0" collapsed="false"/>
    <row r="1033432" customFormat="false" ht="12.8" hidden="false" customHeight="false" outlineLevel="0" collapsed="false"/>
    <row r="1033433" customFormat="false" ht="12.8" hidden="false" customHeight="false" outlineLevel="0" collapsed="false"/>
    <row r="1033434" customFormat="false" ht="12.8" hidden="false" customHeight="false" outlineLevel="0" collapsed="false"/>
    <row r="1033435" customFormat="false" ht="12.8" hidden="false" customHeight="false" outlineLevel="0" collapsed="false"/>
    <row r="1033436" customFormat="false" ht="12.8" hidden="false" customHeight="false" outlineLevel="0" collapsed="false"/>
    <row r="1033437" customFormat="false" ht="12.8" hidden="false" customHeight="false" outlineLevel="0" collapsed="false"/>
    <row r="1033438" customFormat="false" ht="12.8" hidden="false" customHeight="false" outlineLevel="0" collapsed="false"/>
    <row r="1033439" customFormat="false" ht="12.8" hidden="false" customHeight="false" outlineLevel="0" collapsed="false"/>
    <row r="1033440" customFormat="false" ht="12.8" hidden="false" customHeight="false" outlineLevel="0" collapsed="false"/>
    <row r="1033441" customFormat="false" ht="12.8" hidden="false" customHeight="false" outlineLevel="0" collapsed="false"/>
    <row r="1033442" customFormat="false" ht="12.8" hidden="false" customHeight="false" outlineLevel="0" collapsed="false"/>
    <row r="1033443" customFormat="false" ht="12.8" hidden="false" customHeight="false" outlineLevel="0" collapsed="false"/>
    <row r="1033444" customFormat="false" ht="12.8" hidden="false" customHeight="false" outlineLevel="0" collapsed="false"/>
    <row r="1033445" customFormat="false" ht="12.8" hidden="false" customHeight="false" outlineLevel="0" collapsed="false"/>
    <row r="1033446" customFormat="false" ht="12.8" hidden="false" customHeight="false" outlineLevel="0" collapsed="false"/>
    <row r="1033447" customFormat="false" ht="12.8" hidden="false" customHeight="false" outlineLevel="0" collapsed="false"/>
    <row r="1033448" customFormat="false" ht="12.8" hidden="false" customHeight="false" outlineLevel="0" collapsed="false"/>
    <row r="1033449" customFormat="false" ht="12.8" hidden="false" customHeight="false" outlineLevel="0" collapsed="false"/>
    <row r="1033450" customFormat="false" ht="12.8" hidden="false" customHeight="false" outlineLevel="0" collapsed="false"/>
    <row r="1033451" customFormat="false" ht="12.8" hidden="false" customHeight="false" outlineLevel="0" collapsed="false"/>
    <row r="1033452" customFormat="false" ht="12.8" hidden="false" customHeight="false" outlineLevel="0" collapsed="false"/>
    <row r="1033453" customFormat="false" ht="12.8" hidden="false" customHeight="false" outlineLevel="0" collapsed="false"/>
    <row r="1033454" customFormat="false" ht="12.8" hidden="false" customHeight="false" outlineLevel="0" collapsed="false"/>
    <row r="1033455" customFormat="false" ht="12.8" hidden="false" customHeight="false" outlineLevel="0" collapsed="false"/>
    <row r="1033456" customFormat="false" ht="12.8" hidden="false" customHeight="false" outlineLevel="0" collapsed="false"/>
    <row r="1033457" customFormat="false" ht="12.8" hidden="false" customHeight="false" outlineLevel="0" collapsed="false"/>
    <row r="1033458" customFormat="false" ht="12.8" hidden="false" customHeight="false" outlineLevel="0" collapsed="false"/>
    <row r="1033459" customFormat="false" ht="12.8" hidden="false" customHeight="false" outlineLevel="0" collapsed="false"/>
    <row r="1033460" customFormat="false" ht="12.8" hidden="false" customHeight="false" outlineLevel="0" collapsed="false"/>
    <row r="1033461" customFormat="false" ht="12.8" hidden="false" customHeight="false" outlineLevel="0" collapsed="false"/>
    <row r="1033462" customFormat="false" ht="12.8" hidden="false" customHeight="false" outlineLevel="0" collapsed="false"/>
    <row r="1033463" customFormat="false" ht="12.8" hidden="false" customHeight="false" outlineLevel="0" collapsed="false"/>
    <row r="1033464" customFormat="false" ht="12.8" hidden="false" customHeight="false" outlineLevel="0" collapsed="false"/>
    <row r="1033465" customFormat="false" ht="12.8" hidden="false" customHeight="false" outlineLevel="0" collapsed="false"/>
    <row r="1033466" customFormat="false" ht="12.8" hidden="false" customHeight="false" outlineLevel="0" collapsed="false"/>
    <row r="1033467" customFormat="false" ht="12.8" hidden="false" customHeight="false" outlineLevel="0" collapsed="false"/>
    <row r="1033468" customFormat="false" ht="12.8" hidden="false" customHeight="false" outlineLevel="0" collapsed="false"/>
    <row r="1033469" customFormat="false" ht="12.8" hidden="false" customHeight="false" outlineLevel="0" collapsed="false"/>
    <row r="1033470" customFormat="false" ht="12.8" hidden="false" customHeight="false" outlineLevel="0" collapsed="false"/>
    <row r="1033471" customFormat="false" ht="12.8" hidden="false" customHeight="false" outlineLevel="0" collapsed="false"/>
    <row r="1033472" customFormat="false" ht="12.8" hidden="false" customHeight="false" outlineLevel="0" collapsed="false"/>
    <row r="1033473" customFormat="false" ht="12.8" hidden="false" customHeight="false" outlineLevel="0" collapsed="false"/>
    <row r="1033474" customFormat="false" ht="12.8" hidden="false" customHeight="false" outlineLevel="0" collapsed="false"/>
    <row r="1033475" customFormat="false" ht="12.8" hidden="false" customHeight="false" outlineLevel="0" collapsed="false"/>
    <row r="1033476" customFormat="false" ht="12.8" hidden="false" customHeight="false" outlineLevel="0" collapsed="false"/>
    <row r="1033477" customFormat="false" ht="12.8" hidden="false" customHeight="false" outlineLevel="0" collapsed="false"/>
    <row r="1033478" customFormat="false" ht="12.8" hidden="false" customHeight="false" outlineLevel="0" collapsed="false"/>
    <row r="1033479" customFormat="false" ht="12.8" hidden="false" customHeight="false" outlineLevel="0" collapsed="false"/>
    <row r="1033480" customFormat="false" ht="12.8" hidden="false" customHeight="false" outlineLevel="0" collapsed="false"/>
    <row r="1033481" customFormat="false" ht="12.8" hidden="false" customHeight="false" outlineLevel="0" collapsed="false"/>
    <row r="1033482" customFormat="false" ht="12.8" hidden="false" customHeight="false" outlineLevel="0" collapsed="false"/>
    <row r="1033483" customFormat="false" ht="12.8" hidden="false" customHeight="false" outlineLevel="0" collapsed="false"/>
    <row r="1033484" customFormat="false" ht="12.8" hidden="false" customHeight="false" outlineLevel="0" collapsed="false"/>
    <row r="1033485" customFormat="false" ht="12.8" hidden="false" customHeight="false" outlineLevel="0" collapsed="false"/>
    <row r="1033486" customFormat="false" ht="12.8" hidden="false" customHeight="false" outlineLevel="0" collapsed="false"/>
    <row r="1033487" customFormat="false" ht="12.8" hidden="false" customHeight="false" outlineLevel="0" collapsed="false"/>
    <row r="1033488" customFormat="false" ht="12.8" hidden="false" customHeight="false" outlineLevel="0" collapsed="false"/>
    <row r="1033489" customFormat="false" ht="12.8" hidden="false" customHeight="false" outlineLevel="0" collapsed="false"/>
    <row r="1033490" customFormat="false" ht="12.8" hidden="false" customHeight="false" outlineLevel="0" collapsed="false"/>
    <row r="1033491" customFormat="false" ht="12.8" hidden="false" customHeight="false" outlineLevel="0" collapsed="false"/>
    <row r="1033492" customFormat="false" ht="12.8" hidden="false" customHeight="false" outlineLevel="0" collapsed="false"/>
    <row r="1033493" customFormat="false" ht="12.8" hidden="false" customHeight="false" outlineLevel="0" collapsed="false"/>
    <row r="1033494" customFormat="false" ht="12.8" hidden="false" customHeight="false" outlineLevel="0" collapsed="false"/>
    <row r="1033495" customFormat="false" ht="12.8" hidden="false" customHeight="false" outlineLevel="0" collapsed="false"/>
    <row r="1033496" customFormat="false" ht="12.8" hidden="false" customHeight="false" outlineLevel="0" collapsed="false"/>
    <row r="1033497" customFormat="false" ht="12.8" hidden="false" customHeight="false" outlineLevel="0" collapsed="false"/>
    <row r="1033498" customFormat="false" ht="12.8" hidden="false" customHeight="false" outlineLevel="0" collapsed="false"/>
    <row r="1033499" customFormat="false" ht="12.8" hidden="false" customHeight="false" outlineLevel="0" collapsed="false"/>
    <row r="1033500" customFormat="false" ht="12.8" hidden="false" customHeight="false" outlineLevel="0" collapsed="false"/>
    <row r="1033501" customFormat="false" ht="12.8" hidden="false" customHeight="false" outlineLevel="0" collapsed="false"/>
    <row r="1033502" customFormat="false" ht="12.8" hidden="false" customHeight="false" outlineLevel="0" collapsed="false"/>
    <row r="1033503" customFormat="false" ht="12.8" hidden="false" customHeight="false" outlineLevel="0" collapsed="false"/>
    <row r="1033504" customFormat="false" ht="12.8" hidden="false" customHeight="false" outlineLevel="0" collapsed="false"/>
    <row r="1033505" customFormat="false" ht="12.8" hidden="false" customHeight="false" outlineLevel="0" collapsed="false"/>
    <row r="1033506" customFormat="false" ht="12.8" hidden="false" customHeight="false" outlineLevel="0" collapsed="false"/>
    <row r="1033507" customFormat="false" ht="12.8" hidden="false" customHeight="false" outlineLevel="0" collapsed="false"/>
    <row r="1033508" customFormat="false" ht="12.8" hidden="false" customHeight="false" outlineLevel="0" collapsed="false"/>
    <row r="1033509" customFormat="false" ht="12.8" hidden="false" customHeight="false" outlineLevel="0" collapsed="false"/>
    <row r="1033510" customFormat="false" ht="12.8" hidden="false" customHeight="false" outlineLevel="0" collapsed="false"/>
    <row r="1033511" customFormat="false" ht="12.8" hidden="false" customHeight="false" outlineLevel="0" collapsed="false"/>
    <row r="1033512" customFormat="false" ht="12.8" hidden="false" customHeight="false" outlineLevel="0" collapsed="false"/>
    <row r="1033513" customFormat="false" ht="12.8" hidden="false" customHeight="false" outlineLevel="0" collapsed="false"/>
    <row r="1033514" customFormat="false" ht="12.8" hidden="false" customHeight="false" outlineLevel="0" collapsed="false"/>
    <row r="1033515" customFormat="false" ht="12.8" hidden="false" customHeight="false" outlineLevel="0" collapsed="false"/>
    <row r="1033516" customFormat="false" ht="12.8" hidden="false" customHeight="false" outlineLevel="0" collapsed="false"/>
    <row r="1033517" customFormat="false" ht="12.8" hidden="false" customHeight="false" outlineLevel="0" collapsed="false"/>
    <row r="1033518" customFormat="false" ht="12.8" hidden="false" customHeight="false" outlineLevel="0" collapsed="false"/>
    <row r="1033519" customFormat="false" ht="12.8" hidden="false" customHeight="false" outlineLevel="0" collapsed="false"/>
    <row r="1033520" customFormat="false" ht="12.8" hidden="false" customHeight="false" outlineLevel="0" collapsed="false"/>
    <row r="1033521" customFormat="false" ht="12.8" hidden="false" customHeight="false" outlineLevel="0" collapsed="false"/>
    <row r="1033522" customFormat="false" ht="12.8" hidden="false" customHeight="false" outlineLevel="0" collapsed="false"/>
    <row r="1033523" customFormat="false" ht="12.8" hidden="false" customHeight="false" outlineLevel="0" collapsed="false"/>
    <row r="1033524" customFormat="false" ht="12.8" hidden="false" customHeight="false" outlineLevel="0" collapsed="false"/>
    <row r="1033525" customFormat="false" ht="12.8" hidden="false" customHeight="false" outlineLevel="0" collapsed="false"/>
    <row r="1033526" customFormat="false" ht="12.8" hidden="false" customHeight="false" outlineLevel="0" collapsed="false"/>
    <row r="1033527" customFormat="false" ht="12.8" hidden="false" customHeight="false" outlineLevel="0" collapsed="false"/>
    <row r="1033528" customFormat="false" ht="12.8" hidden="false" customHeight="false" outlineLevel="0" collapsed="false"/>
    <row r="1033529" customFormat="false" ht="12.8" hidden="false" customHeight="false" outlineLevel="0" collapsed="false"/>
    <row r="1033530" customFormat="false" ht="12.8" hidden="false" customHeight="false" outlineLevel="0" collapsed="false"/>
    <row r="1033531" customFormat="false" ht="12.8" hidden="false" customHeight="false" outlineLevel="0" collapsed="false"/>
    <row r="1033532" customFormat="false" ht="12.8" hidden="false" customHeight="false" outlineLevel="0" collapsed="false"/>
    <row r="1033533" customFormat="false" ht="12.8" hidden="false" customHeight="false" outlineLevel="0" collapsed="false"/>
    <row r="1033534" customFormat="false" ht="12.8" hidden="false" customHeight="false" outlineLevel="0" collapsed="false"/>
    <row r="1033535" customFormat="false" ht="12.8" hidden="false" customHeight="false" outlineLevel="0" collapsed="false"/>
    <row r="1033536" customFormat="false" ht="12.8" hidden="false" customHeight="false" outlineLevel="0" collapsed="false"/>
    <row r="1033537" customFormat="false" ht="12.8" hidden="false" customHeight="false" outlineLevel="0" collapsed="false"/>
    <row r="1033538" customFormat="false" ht="12.8" hidden="false" customHeight="false" outlineLevel="0" collapsed="false"/>
    <row r="1033539" customFormat="false" ht="12.8" hidden="false" customHeight="false" outlineLevel="0" collapsed="false"/>
    <row r="1033540" customFormat="false" ht="12.8" hidden="false" customHeight="false" outlineLevel="0" collapsed="false"/>
    <row r="1033541" customFormat="false" ht="12.8" hidden="false" customHeight="false" outlineLevel="0" collapsed="false"/>
    <row r="1033542" customFormat="false" ht="12.8" hidden="false" customHeight="false" outlineLevel="0" collapsed="false"/>
    <row r="1033543" customFormat="false" ht="12.8" hidden="false" customHeight="false" outlineLevel="0" collapsed="false"/>
    <row r="1033544" customFormat="false" ht="12.8" hidden="false" customHeight="false" outlineLevel="0" collapsed="false"/>
    <row r="1033545" customFormat="false" ht="12.8" hidden="false" customHeight="false" outlineLevel="0" collapsed="false"/>
    <row r="1033546" customFormat="false" ht="12.8" hidden="false" customHeight="false" outlineLevel="0" collapsed="false"/>
    <row r="1033547" customFormat="false" ht="12.8" hidden="false" customHeight="false" outlineLevel="0" collapsed="false"/>
    <row r="1033548" customFormat="false" ht="12.8" hidden="false" customHeight="false" outlineLevel="0" collapsed="false"/>
    <row r="1033549" customFormat="false" ht="12.8" hidden="false" customHeight="false" outlineLevel="0" collapsed="false"/>
    <row r="1033550" customFormat="false" ht="12.8" hidden="false" customHeight="false" outlineLevel="0" collapsed="false"/>
    <row r="1033551" customFormat="false" ht="12.8" hidden="false" customHeight="false" outlineLevel="0" collapsed="false"/>
    <row r="1033552" customFormat="false" ht="12.8" hidden="false" customHeight="false" outlineLevel="0" collapsed="false"/>
    <row r="1033553" customFormat="false" ht="12.8" hidden="false" customHeight="false" outlineLevel="0" collapsed="false"/>
    <row r="1033554" customFormat="false" ht="12.8" hidden="false" customHeight="false" outlineLevel="0" collapsed="false"/>
    <row r="1033555" customFormat="false" ht="12.8" hidden="false" customHeight="false" outlineLevel="0" collapsed="false"/>
    <row r="1033556" customFormat="false" ht="12.8" hidden="false" customHeight="false" outlineLevel="0" collapsed="false"/>
    <row r="1033557" customFormat="false" ht="12.8" hidden="false" customHeight="false" outlineLevel="0" collapsed="false"/>
    <row r="1033558" customFormat="false" ht="12.8" hidden="false" customHeight="false" outlineLevel="0" collapsed="false"/>
    <row r="1033559" customFormat="false" ht="12.8" hidden="false" customHeight="false" outlineLevel="0" collapsed="false"/>
    <row r="1033560" customFormat="false" ht="12.8" hidden="false" customHeight="false" outlineLevel="0" collapsed="false"/>
    <row r="1033561" customFormat="false" ht="12.8" hidden="false" customHeight="false" outlineLevel="0" collapsed="false"/>
    <row r="1033562" customFormat="false" ht="12.8" hidden="false" customHeight="false" outlineLevel="0" collapsed="false"/>
    <row r="1033563" customFormat="false" ht="12.8" hidden="false" customHeight="false" outlineLevel="0" collapsed="false"/>
    <row r="1033564" customFormat="false" ht="12.8" hidden="false" customHeight="false" outlineLevel="0" collapsed="false"/>
    <row r="1033565" customFormat="false" ht="12.8" hidden="false" customHeight="false" outlineLevel="0" collapsed="false"/>
    <row r="1033566" customFormat="false" ht="12.8" hidden="false" customHeight="false" outlineLevel="0" collapsed="false"/>
    <row r="1033567" customFormat="false" ht="12.8" hidden="false" customHeight="false" outlineLevel="0" collapsed="false"/>
    <row r="1033568" customFormat="false" ht="12.8" hidden="false" customHeight="false" outlineLevel="0" collapsed="false"/>
    <row r="1033569" customFormat="false" ht="12.8" hidden="false" customHeight="false" outlineLevel="0" collapsed="false"/>
    <row r="1033570" customFormat="false" ht="12.8" hidden="false" customHeight="false" outlineLevel="0" collapsed="false"/>
    <row r="1033571" customFormat="false" ht="12.8" hidden="false" customHeight="false" outlineLevel="0" collapsed="false"/>
    <row r="1033572" customFormat="false" ht="12.8" hidden="false" customHeight="false" outlineLevel="0" collapsed="false"/>
    <row r="1033573" customFormat="false" ht="12.8" hidden="false" customHeight="false" outlineLevel="0" collapsed="false"/>
    <row r="1033574" customFormat="false" ht="12.8" hidden="false" customHeight="false" outlineLevel="0" collapsed="false"/>
    <row r="1033575" customFormat="false" ht="12.8" hidden="false" customHeight="false" outlineLevel="0" collapsed="false"/>
    <row r="1033576" customFormat="false" ht="12.8" hidden="false" customHeight="false" outlineLevel="0" collapsed="false"/>
    <row r="1033577" customFormat="false" ht="12.8" hidden="false" customHeight="false" outlineLevel="0" collapsed="false"/>
    <row r="1033578" customFormat="false" ht="12.8" hidden="false" customHeight="false" outlineLevel="0" collapsed="false"/>
    <row r="1033579" customFormat="false" ht="12.8" hidden="false" customHeight="false" outlineLevel="0" collapsed="false"/>
    <row r="1033580" customFormat="false" ht="12.8" hidden="false" customHeight="false" outlineLevel="0" collapsed="false"/>
    <row r="1033581" customFormat="false" ht="12.8" hidden="false" customHeight="false" outlineLevel="0" collapsed="false"/>
    <row r="1033582" customFormat="false" ht="12.8" hidden="false" customHeight="false" outlineLevel="0" collapsed="false"/>
    <row r="1033583" customFormat="false" ht="12.8" hidden="false" customHeight="false" outlineLevel="0" collapsed="false"/>
    <row r="1033584" customFormat="false" ht="12.8" hidden="false" customHeight="false" outlineLevel="0" collapsed="false"/>
    <row r="1033585" customFormat="false" ht="12.8" hidden="false" customHeight="false" outlineLevel="0" collapsed="false"/>
    <row r="1033586" customFormat="false" ht="12.8" hidden="false" customHeight="false" outlineLevel="0" collapsed="false"/>
    <row r="1033587" customFormat="false" ht="12.8" hidden="false" customHeight="false" outlineLevel="0" collapsed="false"/>
    <row r="1033588" customFormat="false" ht="12.8" hidden="false" customHeight="false" outlineLevel="0" collapsed="false"/>
    <row r="1033589" customFormat="false" ht="12.8" hidden="false" customHeight="false" outlineLevel="0" collapsed="false"/>
    <row r="1033590" customFormat="false" ht="12.8" hidden="false" customHeight="false" outlineLevel="0" collapsed="false"/>
    <row r="1033591" customFormat="false" ht="12.8" hidden="false" customHeight="false" outlineLevel="0" collapsed="false"/>
    <row r="1033592" customFormat="false" ht="12.8" hidden="false" customHeight="false" outlineLevel="0" collapsed="false"/>
    <row r="1033593" customFormat="false" ht="12.8" hidden="false" customHeight="false" outlineLevel="0" collapsed="false"/>
    <row r="1033594" customFormat="false" ht="12.8" hidden="false" customHeight="false" outlineLevel="0" collapsed="false"/>
    <row r="1033595" customFormat="false" ht="12.8" hidden="false" customHeight="false" outlineLevel="0" collapsed="false"/>
    <row r="1033596" customFormat="false" ht="12.8" hidden="false" customHeight="false" outlineLevel="0" collapsed="false"/>
    <row r="1033597" customFormat="false" ht="12.8" hidden="false" customHeight="false" outlineLevel="0" collapsed="false"/>
    <row r="1033598" customFormat="false" ht="12.8" hidden="false" customHeight="false" outlineLevel="0" collapsed="false"/>
    <row r="1033599" customFormat="false" ht="12.8" hidden="false" customHeight="false" outlineLevel="0" collapsed="false"/>
    <row r="1033600" customFormat="false" ht="12.8" hidden="false" customHeight="false" outlineLevel="0" collapsed="false"/>
    <row r="1033601" customFormat="false" ht="12.8" hidden="false" customHeight="false" outlineLevel="0" collapsed="false"/>
    <row r="1033602" customFormat="false" ht="12.8" hidden="false" customHeight="false" outlineLevel="0" collapsed="false"/>
    <row r="1033603" customFormat="false" ht="12.8" hidden="false" customHeight="false" outlineLevel="0" collapsed="false"/>
    <row r="1033604" customFormat="false" ht="12.8" hidden="false" customHeight="false" outlineLevel="0" collapsed="false"/>
    <row r="1033605" customFormat="false" ht="12.8" hidden="false" customHeight="false" outlineLevel="0" collapsed="false"/>
    <row r="1033606" customFormat="false" ht="12.8" hidden="false" customHeight="false" outlineLevel="0" collapsed="false"/>
    <row r="1033607" customFormat="false" ht="12.8" hidden="false" customHeight="false" outlineLevel="0" collapsed="false"/>
    <row r="1033608" customFormat="false" ht="12.8" hidden="false" customHeight="false" outlineLevel="0" collapsed="false"/>
    <row r="1033609" customFormat="false" ht="12.8" hidden="false" customHeight="false" outlineLevel="0" collapsed="false"/>
    <row r="1033610" customFormat="false" ht="12.8" hidden="false" customHeight="false" outlineLevel="0" collapsed="false"/>
    <row r="1033611" customFormat="false" ht="12.8" hidden="false" customHeight="false" outlineLevel="0" collapsed="false"/>
    <row r="1033612" customFormat="false" ht="12.8" hidden="false" customHeight="false" outlineLevel="0" collapsed="false"/>
    <row r="1033613" customFormat="false" ht="12.8" hidden="false" customHeight="false" outlineLevel="0" collapsed="false"/>
    <row r="1033614" customFormat="false" ht="12.8" hidden="false" customHeight="false" outlineLevel="0" collapsed="false"/>
    <row r="1033615" customFormat="false" ht="12.8" hidden="false" customHeight="false" outlineLevel="0" collapsed="false"/>
    <row r="1033616" customFormat="false" ht="12.8" hidden="false" customHeight="false" outlineLevel="0" collapsed="false"/>
    <row r="1033617" customFormat="false" ht="12.8" hidden="false" customHeight="false" outlineLevel="0" collapsed="false"/>
    <row r="1033618" customFormat="false" ht="12.8" hidden="false" customHeight="false" outlineLevel="0" collapsed="false"/>
    <row r="1033619" customFormat="false" ht="12.8" hidden="false" customHeight="false" outlineLevel="0" collapsed="false"/>
    <row r="1033620" customFormat="false" ht="12.8" hidden="false" customHeight="false" outlineLevel="0" collapsed="false"/>
    <row r="1033621" customFormat="false" ht="12.8" hidden="false" customHeight="false" outlineLevel="0" collapsed="false"/>
    <row r="1033622" customFormat="false" ht="12.8" hidden="false" customHeight="false" outlineLevel="0" collapsed="false"/>
    <row r="1033623" customFormat="false" ht="12.8" hidden="false" customHeight="false" outlineLevel="0" collapsed="false"/>
    <row r="1033624" customFormat="false" ht="12.8" hidden="false" customHeight="false" outlineLevel="0" collapsed="false"/>
    <row r="1033625" customFormat="false" ht="12.8" hidden="false" customHeight="false" outlineLevel="0" collapsed="false"/>
    <row r="1033626" customFormat="false" ht="12.8" hidden="false" customHeight="false" outlineLevel="0" collapsed="false"/>
    <row r="1033627" customFormat="false" ht="12.8" hidden="false" customHeight="false" outlineLevel="0" collapsed="false"/>
    <row r="1033628" customFormat="false" ht="12.8" hidden="false" customHeight="false" outlineLevel="0" collapsed="false"/>
    <row r="1033629" customFormat="false" ht="12.8" hidden="false" customHeight="false" outlineLevel="0" collapsed="false"/>
    <row r="1033630" customFormat="false" ht="12.8" hidden="false" customHeight="false" outlineLevel="0" collapsed="false"/>
    <row r="1033631" customFormat="false" ht="12.8" hidden="false" customHeight="false" outlineLevel="0" collapsed="false"/>
    <row r="1033632" customFormat="false" ht="12.8" hidden="false" customHeight="false" outlineLevel="0" collapsed="false"/>
    <row r="1033633" customFormat="false" ht="12.8" hidden="false" customHeight="false" outlineLevel="0" collapsed="false"/>
    <row r="1033634" customFormat="false" ht="12.8" hidden="false" customHeight="false" outlineLevel="0" collapsed="false"/>
    <row r="1033635" customFormat="false" ht="12.8" hidden="false" customHeight="false" outlineLevel="0" collapsed="false"/>
    <row r="1033636" customFormat="false" ht="12.8" hidden="false" customHeight="false" outlineLevel="0" collapsed="false"/>
    <row r="1033637" customFormat="false" ht="12.8" hidden="false" customHeight="false" outlineLevel="0" collapsed="false"/>
    <row r="1033638" customFormat="false" ht="12.8" hidden="false" customHeight="false" outlineLevel="0" collapsed="false"/>
    <row r="1033639" customFormat="false" ht="12.8" hidden="false" customHeight="false" outlineLevel="0" collapsed="false"/>
    <row r="1033640" customFormat="false" ht="12.8" hidden="false" customHeight="false" outlineLevel="0" collapsed="false"/>
    <row r="1033641" customFormat="false" ht="12.8" hidden="false" customHeight="false" outlineLevel="0" collapsed="false"/>
    <row r="1033642" customFormat="false" ht="12.8" hidden="false" customHeight="false" outlineLevel="0" collapsed="false"/>
    <row r="1033643" customFormat="false" ht="12.8" hidden="false" customHeight="false" outlineLevel="0" collapsed="false"/>
    <row r="1033644" customFormat="false" ht="12.8" hidden="false" customHeight="false" outlineLevel="0" collapsed="false"/>
    <row r="1033645" customFormat="false" ht="12.8" hidden="false" customHeight="false" outlineLevel="0" collapsed="false"/>
    <row r="1033646" customFormat="false" ht="12.8" hidden="false" customHeight="false" outlineLevel="0" collapsed="false"/>
    <row r="1033647" customFormat="false" ht="12.8" hidden="false" customHeight="false" outlineLevel="0" collapsed="false"/>
    <row r="1033648" customFormat="false" ht="12.8" hidden="false" customHeight="false" outlineLevel="0" collapsed="false"/>
    <row r="1033649" customFormat="false" ht="12.8" hidden="false" customHeight="false" outlineLevel="0" collapsed="false"/>
    <row r="1033650" customFormat="false" ht="12.8" hidden="false" customHeight="false" outlineLevel="0" collapsed="false"/>
    <row r="1033651" customFormat="false" ht="12.8" hidden="false" customHeight="false" outlineLevel="0" collapsed="false"/>
    <row r="1033652" customFormat="false" ht="12.8" hidden="false" customHeight="false" outlineLevel="0" collapsed="false"/>
    <row r="1033653" customFormat="false" ht="12.8" hidden="false" customHeight="false" outlineLevel="0" collapsed="false"/>
    <row r="1033654" customFormat="false" ht="12.8" hidden="false" customHeight="false" outlineLevel="0" collapsed="false"/>
    <row r="1033655" customFormat="false" ht="12.8" hidden="false" customHeight="false" outlineLevel="0" collapsed="false"/>
    <row r="1033656" customFormat="false" ht="12.8" hidden="false" customHeight="false" outlineLevel="0" collapsed="false"/>
    <row r="1033657" customFormat="false" ht="12.8" hidden="false" customHeight="false" outlineLevel="0" collapsed="false"/>
    <row r="1033658" customFormat="false" ht="12.8" hidden="false" customHeight="false" outlineLevel="0" collapsed="false"/>
    <row r="1033659" customFormat="false" ht="12.8" hidden="false" customHeight="false" outlineLevel="0" collapsed="false"/>
    <row r="1033660" customFormat="false" ht="12.8" hidden="false" customHeight="false" outlineLevel="0" collapsed="false"/>
    <row r="1033661" customFormat="false" ht="12.8" hidden="false" customHeight="false" outlineLevel="0" collapsed="false"/>
    <row r="1033662" customFormat="false" ht="12.8" hidden="false" customHeight="false" outlineLevel="0" collapsed="false"/>
    <row r="1033663" customFormat="false" ht="12.8" hidden="false" customHeight="false" outlineLevel="0" collapsed="false"/>
    <row r="1033664" customFormat="false" ht="12.8" hidden="false" customHeight="false" outlineLevel="0" collapsed="false"/>
    <row r="1033665" customFormat="false" ht="12.8" hidden="false" customHeight="false" outlineLevel="0" collapsed="false"/>
    <row r="1033666" customFormat="false" ht="12.8" hidden="false" customHeight="false" outlineLevel="0" collapsed="false"/>
    <row r="1033667" customFormat="false" ht="12.8" hidden="false" customHeight="false" outlineLevel="0" collapsed="false"/>
    <row r="1033668" customFormat="false" ht="12.8" hidden="false" customHeight="false" outlineLevel="0" collapsed="false"/>
    <row r="1033669" customFormat="false" ht="12.8" hidden="false" customHeight="false" outlineLevel="0" collapsed="false"/>
    <row r="1033670" customFormat="false" ht="12.8" hidden="false" customHeight="false" outlineLevel="0" collapsed="false"/>
    <row r="1033671" customFormat="false" ht="12.8" hidden="false" customHeight="false" outlineLevel="0" collapsed="false"/>
    <row r="1033672" customFormat="false" ht="12.8" hidden="false" customHeight="false" outlineLevel="0" collapsed="false"/>
    <row r="1033673" customFormat="false" ht="12.8" hidden="false" customHeight="false" outlineLevel="0" collapsed="false"/>
    <row r="1033674" customFormat="false" ht="12.8" hidden="false" customHeight="false" outlineLevel="0" collapsed="false"/>
    <row r="1033675" customFormat="false" ht="12.8" hidden="false" customHeight="false" outlineLevel="0" collapsed="false"/>
    <row r="1033676" customFormat="false" ht="12.8" hidden="false" customHeight="false" outlineLevel="0" collapsed="false"/>
    <row r="1033677" customFormat="false" ht="12.8" hidden="false" customHeight="false" outlineLevel="0" collapsed="false"/>
    <row r="1033678" customFormat="false" ht="12.8" hidden="false" customHeight="false" outlineLevel="0" collapsed="false"/>
    <row r="1033679" customFormat="false" ht="12.8" hidden="false" customHeight="false" outlineLevel="0" collapsed="false"/>
    <row r="1033680" customFormat="false" ht="12.8" hidden="false" customHeight="false" outlineLevel="0" collapsed="false"/>
    <row r="1033681" customFormat="false" ht="12.8" hidden="false" customHeight="false" outlineLevel="0" collapsed="false"/>
    <row r="1033682" customFormat="false" ht="12.8" hidden="false" customHeight="false" outlineLevel="0" collapsed="false"/>
    <row r="1033683" customFormat="false" ht="12.8" hidden="false" customHeight="false" outlineLevel="0" collapsed="false"/>
    <row r="1033684" customFormat="false" ht="12.8" hidden="false" customHeight="false" outlineLevel="0" collapsed="false"/>
    <row r="1033685" customFormat="false" ht="12.8" hidden="false" customHeight="false" outlineLevel="0" collapsed="false"/>
    <row r="1033686" customFormat="false" ht="12.8" hidden="false" customHeight="false" outlineLevel="0" collapsed="false"/>
    <row r="1033687" customFormat="false" ht="12.8" hidden="false" customHeight="false" outlineLevel="0" collapsed="false"/>
    <row r="1033688" customFormat="false" ht="12.8" hidden="false" customHeight="false" outlineLevel="0" collapsed="false"/>
    <row r="1033689" customFormat="false" ht="12.8" hidden="false" customHeight="false" outlineLevel="0" collapsed="false"/>
    <row r="1033690" customFormat="false" ht="12.8" hidden="false" customHeight="false" outlineLevel="0" collapsed="false"/>
    <row r="1033691" customFormat="false" ht="12.8" hidden="false" customHeight="false" outlineLevel="0" collapsed="false"/>
    <row r="1033692" customFormat="false" ht="12.8" hidden="false" customHeight="false" outlineLevel="0" collapsed="false"/>
    <row r="1033693" customFormat="false" ht="12.8" hidden="false" customHeight="false" outlineLevel="0" collapsed="false"/>
    <row r="1033694" customFormat="false" ht="12.8" hidden="false" customHeight="false" outlineLevel="0" collapsed="false"/>
    <row r="1033695" customFormat="false" ht="12.8" hidden="false" customHeight="false" outlineLevel="0" collapsed="false"/>
    <row r="1033696" customFormat="false" ht="12.8" hidden="false" customHeight="false" outlineLevel="0" collapsed="false"/>
    <row r="1033697" customFormat="false" ht="12.8" hidden="false" customHeight="false" outlineLevel="0" collapsed="false"/>
    <row r="1033698" customFormat="false" ht="12.8" hidden="false" customHeight="false" outlineLevel="0" collapsed="false"/>
    <row r="1033699" customFormat="false" ht="12.8" hidden="false" customHeight="false" outlineLevel="0" collapsed="false"/>
    <row r="1033700" customFormat="false" ht="12.8" hidden="false" customHeight="false" outlineLevel="0" collapsed="false"/>
    <row r="1033701" customFormat="false" ht="12.8" hidden="false" customHeight="false" outlineLevel="0" collapsed="false"/>
    <row r="1033702" customFormat="false" ht="12.8" hidden="false" customHeight="false" outlineLevel="0" collapsed="false"/>
    <row r="1033703" customFormat="false" ht="12.8" hidden="false" customHeight="false" outlineLevel="0" collapsed="false"/>
    <row r="1033704" customFormat="false" ht="12.8" hidden="false" customHeight="false" outlineLevel="0" collapsed="false"/>
    <row r="1033705" customFormat="false" ht="12.8" hidden="false" customHeight="false" outlineLevel="0" collapsed="false"/>
    <row r="1033706" customFormat="false" ht="12.8" hidden="false" customHeight="false" outlineLevel="0" collapsed="false"/>
    <row r="1033707" customFormat="false" ht="12.8" hidden="false" customHeight="false" outlineLevel="0" collapsed="false"/>
    <row r="1033708" customFormat="false" ht="12.8" hidden="false" customHeight="false" outlineLevel="0" collapsed="false"/>
    <row r="1033709" customFormat="false" ht="12.8" hidden="false" customHeight="false" outlineLevel="0" collapsed="false"/>
    <row r="1033710" customFormat="false" ht="12.8" hidden="false" customHeight="false" outlineLevel="0" collapsed="false"/>
    <row r="1033711" customFormat="false" ht="12.8" hidden="false" customHeight="false" outlineLevel="0" collapsed="false"/>
    <row r="1033712" customFormat="false" ht="12.8" hidden="false" customHeight="false" outlineLevel="0" collapsed="false"/>
    <row r="1033713" customFormat="false" ht="12.8" hidden="false" customHeight="false" outlineLevel="0" collapsed="false"/>
    <row r="1033714" customFormat="false" ht="12.8" hidden="false" customHeight="false" outlineLevel="0" collapsed="false"/>
    <row r="1033715" customFormat="false" ht="12.8" hidden="false" customHeight="false" outlineLevel="0" collapsed="false"/>
    <row r="1033716" customFormat="false" ht="12.8" hidden="false" customHeight="false" outlineLevel="0" collapsed="false"/>
    <row r="1033717" customFormat="false" ht="12.8" hidden="false" customHeight="false" outlineLevel="0" collapsed="false"/>
    <row r="1033718" customFormat="false" ht="12.8" hidden="false" customHeight="false" outlineLevel="0" collapsed="false"/>
    <row r="1033719" customFormat="false" ht="12.8" hidden="false" customHeight="false" outlineLevel="0" collapsed="false"/>
    <row r="1033720" customFormat="false" ht="12.8" hidden="false" customHeight="false" outlineLevel="0" collapsed="false"/>
    <row r="1033721" customFormat="false" ht="12.8" hidden="false" customHeight="false" outlineLevel="0" collapsed="false"/>
    <row r="1033722" customFormat="false" ht="12.8" hidden="false" customHeight="false" outlineLevel="0" collapsed="false"/>
    <row r="1033723" customFormat="false" ht="12.8" hidden="false" customHeight="false" outlineLevel="0" collapsed="false"/>
    <row r="1033724" customFormat="false" ht="12.8" hidden="false" customHeight="false" outlineLevel="0" collapsed="false"/>
    <row r="1033725" customFormat="false" ht="12.8" hidden="false" customHeight="false" outlineLevel="0" collapsed="false"/>
    <row r="1033726" customFormat="false" ht="12.8" hidden="false" customHeight="false" outlineLevel="0" collapsed="false"/>
    <row r="1033727" customFormat="false" ht="12.8" hidden="false" customHeight="false" outlineLevel="0" collapsed="false"/>
    <row r="1033728" customFormat="false" ht="12.8" hidden="false" customHeight="false" outlineLevel="0" collapsed="false"/>
    <row r="1033729" customFormat="false" ht="12.8" hidden="false" customHeight="false" outlineLevel="0" collapsed="false"/>
    <row r="1033730" customFormat="false" ht="12.8" hidden="false" customHeight="false" outlineLevel="0" collapsed="false"/>
    <row r="1033731" customFormat="false" ht="12.8" hidden="false" customHeight="false" outlineLevel="0" collapsed="false"/>
    <row r="1033732" customFormat="false" ht="12.8" hidden="false" customHeight="false" outlineLevel="0" collapsed="false"/>
    <row r="1033733" customFormat="false" ht="12.8" hidden="false" customHeight="false" outlineLevel="0" collapsed="false"/>
    <row r="1033734" customFormat="false" ht="12.8" hidden="false" customHeight="false" outlineLevel="0" collapsed="false"/>
    <row r="1033735" customFormat="false" ht="12.8" hidden="false" customHeight="false" outlineLevel="0" collapsed="false"/>
    <row r="1033736" customFormat="false" ht="12.8" hidden="false" customHeight="false" outlineLevel="0" collapsed="false"/>
    <row r="1033737" customFormat="false" ht="12.8" hidden="false" customHeight="false" outlineLevel="0" collapsed="false"/>
    <row r="1033738" customFormat="false" ht="12.8" hidden="false" customHeight="false" outlineLevel="0" collapsed="false"/>
    <row r="1033739" customFormat="false" ht="12.8" hidden="false" customHeight="false" outlineLevel="0" collapsed="false"/>
    <row r="1033740" customFormat="false" ht="12.8" hidden="false" customHeight="false" outlineLevel="0" collapsed="false"/>
    <row r="1033741" customFormat="false" ht="12.8" hidden="false" customHeight="false" outlineLevel="0" collapsed="false"/>
    <row r="1033742" customFormat="false" ht="12.8" hidden="false" customHeight="false" outlineLevel="0" collapsed="false"/>
    <row r="1033743" customFormat="false" ht="12.8" hidden="false" customHeight="false" outlineLevel="0" collapsed="false"/>
    <row r="1033744" customFormat="false" ht="12.8" hidden="false" customHeight="false" outlineLevel="0" collapsed="false"/>
    <row r="1033745" customFormat="false" ht="12.8" hidden="false" customHeight="false" outlineLevel="0" collapsed="false"/>
    <row r="1033746" customFormat="false" ht="12.8" hidden="false" customHeight="false" outlineLevel="0" collapsed="false"/>
    <row r="1033747" customFormat="false" ht="12.8" hidden="false" customHeight="false" outlineLevel="0" collapsed="false"/>
    <row r="1033748" customFormat="false" ht="12.8" hidden="false" customHeight="false" outlineLevel="0" collapsed="false"/>
    <row r="1033749" customFormat="false" ht="12.8" hidden="false" customHeight="false" outlineLevel="0" collapsed="false"/>
    <row r="1033750" customFormat="false" ht="12.8" hidden="false" customHeight="false" outlineLevel="0" collapsed="false"/>
    <row r="1033751" customFormat="false" ht="12.8" hidden="false" customHeight="false" outlineLevel="0" collapsed="false"/>
    <row r="1033752" customFormat="false" ht="12.8" hidden="false" customHeight="false" outlineLevel="0" collapsed="false"/>
    <row r="1033753" customFormat="false" ht="12.8" hidden="false" customHeight="false" outlineLevel="0" collapsed="false"/>
    <row r="1033754" customFormat="false" ht="12.8" hidden="false" customHeight="false" outlineLevel="0" collapsed="false"/>
    <row r="1033755" customFormat="false" ht="12.8" hidden="false" customHeight="false" outlineLevel="0" collapsed="false"/>
    <row r="1033756" customFormat="false" ht="12.8" hidden="false" customHeight="false" outlineLevel="0" collapsed="false"/>
    <row r="1033757" customFormat="false" ht="12.8" hidden="false" customHeight="false" outlineLevel="0" collapsed="false"/>
    <row r="1033758" customFormat="false" ht="12.8" hidden="false" customHeight="false" outlineLevel="0" collapsed="false"/>
    <row r="1033759" customFormat="false" ht="12.8" hidden="false" customHeight="false" outlineLevel="0" collapsed="false"/>
    <row r="1033760" customFormat="false" ht="12.8" hidden="false" customHeight="false" outlineLevel="0" collapsed="false"/>
    <row r="1033761" customFormat="false" ht="12.8" hidden="false" customHeight="false" outlineLevel="0" collapsed="false"/>
    <row r="1033762" customFormat="false" ht="12.8" hidden="false" customHeight="false" outlineLevel="0" collapsed="false"/>
    <row r="1033763" customFormat="false" ht="12.8" hidden="false" customHeight="false" outlineLevel="0" collapsed="false"/>
    <row r="1033764" customFormat="false" ht="12.8" hidden="false" customHeight="false" outlineLevel="0" collapsed="false"/>
    <row r="1033765" customFormat="false" ht="12.8" hidden="false" customHeight="false" outlineLevel="0" collapsed="false"/>
    <row r="1033766" customFormat="false" ht="12.8" hidden="false" customHeight="false" outlineLevel="0" collapsed="false"/>
    <row r="1033767" customFormat="false" ht="12.8" hidden="false" customHeight="false" outlineLevel="0" collapsed="false"/>
    <row r="1033768" customFormat="false" ht="12.8" hidden="false" customHeight="false" outlineLevel="0" collapsed="false"/>
    <row r="1033769" customFormat="false" ht="12.8" hidden="false" customHeight="false" outlineLevel="0" collapsed="false"/>
    <row r="1033770" customFormat="false" ht="12.8" hidden="false" customHeight="false" outlineLevel="0" collapsed="false"/>
    <row r="1033771" customFormat="false" ht="12.8" hidden="false" customHeight="false" outlineLevel="0" collapsed="false"/>
    <row r="1033772" customFormat="false" ht="12.8" hidden="false" customHeight="false" outlineLevel="0" collapsed="false"/>
    <row r="1033773" customFormat="false" ht="12.8" hidden="false" customHeight="false" outlineLevel="0" collapsed="false"/>
    <row r="1033774" customFormat="false" ht="12.8" hidden="false" customHeight="false" outlineLevel="0" collapsed="false"/>
    <row r="1033775" customFormat="false" ht="12.8" hidden="false" customHeight="false" outlineLevel="0" collapsed="false"/>
    <row r="1033776" customFormat="false" ht="12.8" hidden="false" customHeight="false" outlineLevel="0" collapsed="false"/>
    <row r="1033777" customFormat="false" ht="12.8" hidden="false" customHeight="false" outlineLevel="0" collapsed="false"/>
    <row r="1033778" customFormat="false" ht="12.8" hidden="false" customHeight="false" outlineLevel="0" collapsed="false"/>
    <row r="1033779" customFormat="false" ht="12.8" hidden="false" customHeight="false" outlineLevel="0" collapsed="false"/>
    <row r="1033780" customFormat="false" ht="12.8" hidden="false" customHeight="false" outlineLevel="0" collapsed="false"/>
    <row r="1033781" customFormat="false" ht="12.8" hidden="false" customHeight="false" outlineLevel="0" collapsed="false"/>
    <row r="1033782" customFormat="false" ht="12.8" hidden="false" customHeight="false" outlineLevel="0" collapsed="false"/>
    <row r="1033783" customFormat="false" ht="12.8" hidden="false" customHeight="false" outlineLevel="0" collapsed="false"/>
    <row r="1033784" customFormat="false" ht="12.8" hidden="false" customHeight="false" outlineLevel="0" collapsed="false"/>
    <row r="1033785" customFormat="false" ht="12.8" hidden="false" customHeight="false" outlineLevel="0" collapsed="false"/>
    <row r="1033786" customFormat="false" ht="12.8" hidden="false" customHeight="false" outlineLevel="0" collapsed="false"/>
    <row r="1033787" customFormat="false" ht="12.8" hidden="false" customHeight="false" outlineLevel="0" collapsed="false"/>
    <row r="1033788" customFormat="false" ht="12.8" hidden="false" customHeight="false" outlineLevel="0" collapsed="false"/>
    <row r="1033789" customFormat="false" ht="12.8" hidden="false" customHeight="false" outlineLevel="0" collapsed="false"/>
    <row r="1033790" customFormat="false" ht="12.8" hidden="false" customHeight="false" outlineLevel="0" collapsed="false"/>
    <row r="1033791" customFormat="false" ht="12.8" hidden="false" customHeight="false" outlineLevel="0" collapsed="false"/>
    <row r="1033792" customFormat="false" ht="12.8" hidden="false" customHeight="false" outlineLevel="0" collapsed="false"/>
    <row r="1033793" customFormat="false" ht="12.8" hidden="false" customHeight="false" outlineLevel="0" collapsed="false"/>
    <row r="1033794" customFormat="false" ht="12.8" hidden="false" customHeight="false" outlineLevel="0" collapsed="false"/>
    <row r="1033795" customFormat="false" ht="12.8" hidden="false" customHeight="false" outlineLevel="0" collapsed="false"/>
    <row r="1033796" customFormat="false" ht="12.8" hidden="false" customHeight="false" outlineLevel="0" collapsed="false"/>
    <row r="1033797" customFormat="false" ht="12.8" hidden="false" customHeight="false" outlineLevel="0" collapsed="false"/>
    <row r="1033798" customFormat="false" ht="12.8" hidden="false" customHeight="false" outlineLevel="0" collapsed="false"/>
    <row r="1033799" customFormat="false" ht="12.8" hidden="false" customHeight="false" outlineLevel="0" collapsed="false"/>
    <row r="1033800" customFormat="false" ht="12.8" hidden="false" customHeight="false" outlineLevel="0" collapsed="false"/>
    <row r="1033801" customFormat="false" ht="12.8" hidden="false" customHeight="false" outlineLevel="0" collapsed="false"/>
    <row r="1033802" customFormat="false" ht="12.8" hidden="false" customHeight="false" outlineLevel="0" collapsed="false"/>
    <row r="1033803" customFormat="false" ht="12.8" hidden="false" customHeight="false" outlineLevel="0" collapsed="false"/>
    <row r="1033804" customFormat="false" ht="12.8" hidden="false" customHeight="false" outlineLevel="0" collapsed="false"/>
    <row r="1033805" customFormat="false" ht="12.8" hidden="false" customHeight="false" outlineLevel="0" collapsed="false"/>
    <row r="1033806" customFormat="false" ht="12.8" hidden="false" customHeight="false" outlineLevel="0" collapsed="false"/>
    <row r="1033807" customFormat="false" ht="12.8" hidden="false" customHeight="false" outlineLevel="0" collapsed="false"/>
    <row r="1033808" customFormat="false" ht="12.8" hidden="false" customHeight="false" outlineLevel="0" collapsed="false"/>
    <row r="1033809" customFormat="false" ht="12.8" hidden="false" customHeight="false" outlineLevel="0" collapsed="false"/>
    <row r="1033810" customFormat="false" ht="12.8" hidden="false" customHeight="false" outlineLevel="0" collapsed="false"/>
    <row r="1033811" customFormat="false" ht="12.8" hidden="false" customHeight="false" outlineLevel="0" collapsed="false"/>
    <row r="1033812" customFormat="false" ht="12.8" hidden="false" customHeight="false" outlineLevel="0" collapsed="false"/>
    <row r="1033813" customFormat="false" ht="12.8" hidden="false" customHeight="false" outlineLevel="0" collapsed="false"/>
    <row r="1033814" customFormat="false" ht="12.8" hidden="false" customHeight="false" outlineLevel="0" collapsed="false"/>
    <row r="1033815" customFormat="false" ht="12.8" hidden="false" customHeight="false" outlineLevel="0" collapsed="false"/>
    <row r="1033816" customFormat="false" ht="12.8" hidden="false" customHeight="false" outlineLevel="0" collapsed="false"/>
    <row r="1033817" customFormat="false" ht="12.8" hidden="false" customHeight="false" outlineLevel="0" collapsed="false"/>
    <row r="1033818" customFormat="false" ht="12.8" hidden="false" customHeight="false" outlineLevel="0" collapsed="false"/>
    <row r="1033819" customFormat="false" ht="12.8" hidden="false" customHeight="false" outlineLevel="0" collapsed="false"/>
    <row r="1033820" customFormat="false" ht="12.8" hidden="false" customHeight="false" outlineLevel="0" collapsed="false"/>
    <row r="1033821" customFormat="false" ht="12.8" hidden="false" customHeight="false" outlineLevel="0" collapsed="false"/>
    <row r="1033822" customFormat="false" ht="12.8" hidden="false" customHeight="false" outlineLevel="0" collapsed="false"/>
    <row r="1033823" customFormat="false" ht="12.8" hidden="false" customHeight="false" outlineLevel="0" collapsed="false"/>
    <row r="1033824" customFormat="false" ht="12.8" hidden="false" customHeight="false" outlineLevel="0" collapsed="false"/>
    <row r="1033825" customFormat="false" ht="12.8" hidden="false" customHeight="false" outlineLevel="0" collapsed="false"/>
    <row r="1033826" customFormat="false" ht="12.8" hidden="false" customHeight="false" outlineLevel="0" collapsed="false"/>
    <row r="1033827" customFormat="false" ht="12.8" hidden="false" customHeight="false" outlineLevel="0" collapsed="false"/>
    <row r="1033828" customFormat="false" ht="12.8" hidden="false" customHeight="false" outlineLevel="0" collapsed="false"/>
    <row r="1033829" customFormat="false" ht="12.8" hidden="false" customHeight="false" outlineLevel="0" collapsed="false"/>
    <row r="1033830" customFormat="false" ht="12.8" hidden="false" customHeight="false" outlineLevel="0" collapsed="false"/>
    <row r="1033831" customFormat="false" ht="12.8" hidden="false" customHeight="false" outlineLevel="0" collapsed="false"/>
    <row r="1033832" customFormat="false" ht="12.8" hidden="false" customHeight="false" outlineLevel="0" collapsed="false"/>
    <row r="1033833" customFormat="false" ht="12.8" hidden="false" customHeight="false" outlineLevel="0" collapsed="false"/>
    <row r="1033834" customFormat="false" ht="12.8" hidden="false" customHeight="false" outlineLevel="0" collapsed="false"/>
    <row r="1033835" customFormat="false" ht="12.8" hidden="false" customHeight="false" outlineLevel="0" collapsed="false"/>
    <row r="1033836" customFormat="false" ht="12.8" hidden="false" customHeight="false" outlineLevel="0" collapsed="false"/>
    <row r="1033837" customFormat="false" ht="12.8" hidden="false" customHeight="false" outlineLevel="0" collapsed="false"/>
    <row r="1033838" customFormat="false" ht="12.8" hidden="false" customHeight="false" outlineLevel="0" collapsed="false"/>
    <row r="1033839" customFormat="false" ht="12.8" hidden="false" customHeight="false" outlineLevel="0" collapsed="false"/>
    <row r="1033840" customFormat="false" ht="12.8" hidden="false" customHeight="false" outlineLevel="0" collapsed="false"/>
    <row r="1033841" customFormat="false" ht="12.8" hidden="false" customHeight="false" outlineLevel="0" collapsed="false"/>
    <row r="1033842" customFormat="false" ht="12.8" hidden="false" customHeight="false" outlineLevel="0" collapsed="false"/>
    <row r="1033843" customFormat="false" ht="12.8" hidden="false" customHeight="false" outlineLevel="0" collapsed="false"/>
    <row r="1033844" customFormat="false" ht="12.8" hidden="false" customHeight="false" outlineLevel="0" collapsed="false"/>
    <row r="1033845" customFormat="false" ht="12.8" hidden="false" customHeight="false" outlineLevel="0" collapsed="false"/>
    <row r="1033846" customFormat="false" ht="12.8" hidden="false" customHeight="false" outlineLevel="0" collapsed="false"/>
    <row r="1033847" customFormat="false" ht="12.8" hidden="false" customHeight="false" outlineLevel="0" collapsed="false"/>
    <row r="1033848" customFormat="false" ht="12.8" hidden="false" customHeight="false" outlineLevel="0" collapsed="false"/>
    <row r="1033849" customFormat="false" ht="12.8" hidden="false" customHeight="false" outlineLevel="0" collapsed="false"/>
    <row r="1033850" customFormat="false" ht="12.8" hidden="false" customHeight="false" outlineLevel="0" collapsed="false"/>
    <row r="1033851" customFormat="false" ht="12.8" hidden="false" customHeight="false" outlineLevel="0" collapsed="false"/>
    <row r="1033852" customFormat="false" ht="12.8" hidden="false" customHeight="false" outlineLevel="0" collapsed="false"/>
    <row r="1033853" customFormat="false" ht="12.8" hidden="false" customHeight="false" outlineLevel="0" collapsed="false"/>
    <row r="1033854" customFormat="false" ht="12.8" hidden="false" customHeight="false" outlineLevel="0" collapsed="false"/>
    <row r="1033855" customFormat="false" ht="12.8" hidden="false" customHeight="false" outlineLevel="0" collapsed="false"/>
    <row r="1033856" customFormat="false" ht="12.8" hidden="false" customHeight="false" outlineLevel="0" collapsed="false"/>
    <row r="1033857" customFormat="false" ht="12.8" hidden="false" customHeight="false" outlineLevel="0" collapsed="false"/>
    <row r="1033858" customFormat="false" ht="12.8" hidden="false" customHeight="false" outlineLevel="0" collapsed="false"/>
    <row r="1033859" customFormat="false" ht="12.8" hidden="false" customHeight="false" outlineLevel="0" collapsed="false"/>
    <row r="1033860" customFormat="false" ht="12.8" hidden="false" customHeight="false" outlineLevel="0" collapsed="false"/>
    <row r="1033861" customFormat="false" ht="12.8" hidden="false" customHeight="false" outlineLevel="0" collapsed="false"/>
    <row r="1033862" customFormat="false" ht="12.8" hidden="false" customHeight="false" outlineLevel="0" collapsed="false"/>
    <row r="1033863" customFormat="false" ht="12.8" hidden="false" customHeight="false" outlineLevel="0" collapsed="false"/>
    <row r="1033864" customFormat="false" ht="12.8" hidden="false" customHeight="false" outlineLevel="0" collapsed="false"/>
    <row r="1033865" customFormat="false" ht="12.8" hidden="false" customHeight="false" outlineLevel="0" collapsed="false"/>
    <row r="1033866" customFormat="false" ht="12.8" hidden="false" customHeight="false" outlineLevel="0" collapsed="false"/>
    <row r="1033867" customFormat="false" ht="12.8" hidden="false" customHeight="false" outlineLevel="0" collapsed="false"/>
    <row r="1033868" customFormat="false" ht="12.8" hidden="false" customHeight="false" outlineLevel="0" collapsed="false"/>
    <row r="1033869" customFormat="false" ht="12.8" hidden="false" customHeight="false" outlineLevel="0" collapsed="false"/>
    <row r="1033870" customFormat="false" ht="12.8" hidden="false" customHeight="false" outlineLevel="0" collapsed="false"/>
    <row r="1033871" customFormat="false" ht="12.8" hidden="false" customHeight="false" outlineLevel="0" collapsed="false"/>
    <row r="1033872" customFormat="false" ht="12.8" hidden="false" customHeight="false" outlineLevel="0" collapsed="false"/>
    <row r="1033873" customFormat="false" ht="12.8" hidden="false" customHeight="false" outlineLevel="0" collapsed="false"/>
    <row r="1033874" customFormat="false" ht="12.8" hidden="false" customHeight="false" outlineLevel="0" collapsed="false"/>
    <row r="1033875" customFormat="false" ht="12.8" hidden="false" customHeight="false" outlineLevel="0" collapsed="false"/>
    <row r="1033876" customFormat="false" ht="12.8" hidden="false" customHeight="false" outlineLevel="0" collapsed="false"/>
    <row r="1033877" customFormat="false" ht="12.8" hidden="false" customHeight="false" outlineLevel="0" collapsed="false"/>
    <row r="1033878" customFormat="false" ht="12.8" hidden="false" customHeight="false" outlineLevel="0" collapsed="false"/>
    <row r="1033879" customFormat="false" ht="12.8" hidden="false" customHeight="false" outlineLevel="0" collapsed="false"/>
    <row r="1033880" customFormat="false" ht="12.8" hidden="false" customHeight="false" outlineLevel="0" collapsed="false"/>
    <row r="1033881" customFormat="false" ht="12.8" hidden="false" customHeight="false" outlineLevel="0" collapsed="false"/>
    <row r="1033882" customFormat="false" ht="12.8" hidden="false" customHeight="false" outlineLevel="0" collapsed="false"/>
    <row r="1033883" customFormat="false" ht="12.8" hidden="false" customHeight="false" outlineLevel="0" collapsed="false"/>
    <row r="1033884" customFormat="false" ht="12.8" hidden="false" customHeight="false" outlineLevel="0" collapsed="false"/>
    <row r="1033885" customFormat="false" ht="12.8" hidden="false" customHeight="false" outlineLevel="0" collapsed="false"/>
    <row r="1033886" customFormat="false" ht="12.8" hidden="false" customHeight="false" outlineLevel="0" collapsed="false"/>
    <row r="1033887" customFormat="false" ht="12.8" hidden="false" customHeight="false" outlineLevel="0" collapsed="false"/>
    <row r="1033888" customFormat="false" ht="12.8" hidden="false" customHeight="false" outlineLevel="0" collapsed="false"/>
    <row r="1033889" customFormat="false" ht="12.8" hidden="false" customHeight="false" outlineLevel="0" collapsed="false"/>
    <row r="1033890" customFormat="false" ht="12.8" hidden="false" customHeight="false" outlineLevel="0" collapsed="false"/>
    <row r="1033891" customFormat="false" ht="12.8" hidden="false" customHeight="false" outlineLevel="0" collapsed="false"/>
    <row r="1033892" customFormat="false" ht="12.8" hidden="false" customHeight="false" outlineLevel="0" collapsed="false"/>
    <row r="1033893" customFormat="false" ht="12.8" hidden="false" customHeight="false" outlineLevel="0" collapsed="false"/>
    <row r="1033894" customFormat="false" ht="12.8" hidden="false" customHeight="false" outlineLevel="0" collapsed="false"/>
    <row r="1033895" customFormat="false" ht="12.8" hidden="false" customHeight="false" outlineLevel="0" collapsed="false"/>
    <row r="1033896" customFormat="false" ht="12.8" hidden="false" customHeight="false" outlineLevel="0" collapsed="false"/>
    <row r="1033897" customFormat="false" ht="12.8" hidden="false" customHeight="false" outlineLevel="0" collapsed="false"/>
    <row r="1033898" customFormat="false" ht="12.8" hidden="false" customHeight="false" outlineLevel="0" collapsed="false"/>
    <row r="1033899" customFormat="false" ht="12.8" hidden="false" customHeight="false" outlineLevel="0" collapsed="false"/>
    <row r="1033900" customFormat="false" ht="12.8" hidden="false" customHeight="false" outlineLevel="0" collapsed="false"/>
    <row r="1033901" customFormat="false" ht="12.8" hidden="false" customHeight="false" outlineLevel="0" collapsed="false"/>
    <row r="1033902" customFormat="false" ht="12.8" hidden="false" customHeight="false" outlineLevel="0" collapsed="false"/>
    <row r="1033903" customFormat="false" ht="12.8" hidden="false" customHeight="false" outlineLevel="0" collapsed="false"/>
    <row r="1033904" customFormat="false" ht="12.8" hidden="false" customHeight="false" outlineLevel="0" collapsed="false"/>
    <row r="1033905" customFormat="false" ht="12.8" hidden="false" customHeight="false" outlineLevel="0" collapsed="false"/>
    <row r="1033906" customFormat="false" ht="12.8" hidden="false" customHeight="false" outlineLevel="0" collapsed="false"/>
    <row r="1033907" customFormat="false" ht="12.8" hidden="false" customHeight="false" outlineLevel="0" collapsed="false"/>
    <row r="1033908" customFormat="false" ht="12.8" hidden="false" customHeight="false" outlineLevel="0" collapsed="false"/>
    <row r="1033909" customFormat="false" ht="12.8" hidden="false" customHeight="false" outlineLevel="0" collapsed="false"/>
    <row r="1033910" customFormat="false" ht="12.8" hidden="false" customHeight="false" outlineLevel="0" collapsed="false"/>
    <row r="1033911" customFormat="false" ht="12.8" hidden="false" customHeight="false" outlineLevel="0" collapsed="false"/>
    <row r="1033912" customFormat="false" ht="12.8" hidden="false" customHeight="false" outlineLevel="0" collapsed="false"/>
    <row r="1033913" customFormat="false" ht="12.8" hidden="false" customHeight="false" outlineLevel="0" collapsed="false"/>
    <row r="1033914" customFormat="false" ht="12.8" hidden="false" customHeight="false" outlineLevel="0" collapsed="false"/>
    <row r="1033915" customFormat="false" ht="12.8" hidden="false" customHeight="false" outlineLevel="0" collapsed="false"/>
    <row r="1033916" customFormat="false" ht="12.8" hidden="false" customHeight="false" outlineLevel="0" collapsed="false"/>
    <row r="1033917" customFormat="false" ht="12.8" hidden="false" customHeight="false" outlineLevel="0" collapsed="false"/>
    <row r="1033918" customFormat="false" ht="12.8" hidden="false" customHeight="false" outlineLevel="0" collapsed="false"/>
    <row r="1033919" customFormat="false" ht="12.8" hidden="false" customHeight="false" outlineLevel="0" collapsed="false"/>
    <row r="1033920" customFormat="false" ht="12.8" hidden="false" customHeight="false" outlineLevel="0" collapsed="false"/>
    <row r="1033921" customFormat="false" ht="12.8" hidden="false" customHeight="false" outlineLevel="0" collapsed="false"/>
    <row r="1033922" customFormat="false" ht="12.8" hidden="false" customHeight="false" outlineLevel="0" collapsed="false"/>
    <row r="1033923" customFormat="false" ht="12.8" hidden="false" customHeight="false" outlineLevel="0" collapsed="false"/>
    <row r="1033924" customFormat="false" ht="12.8" hidden="false" customHeight="false" outlineLevel="0" collapsed="false"/>
    <row r="1033925" customFormat="false" ht="12.8" hidden="false" customHeight="false" outlineLevel="0" collapsed="false"/>
    <row r="1033926" customFormat="false" ht="12.8" hidden="false" customHeight="false" outlineLevel="0" collapsed="false"/>
    <row r="1033927" customFormat="false" ht="12.8" hidden="false" customHeight="false" outlineLevel="0" collapsed="false"/>
    <row r="1033928" customFormat="false" ht="12.8" hidden="false" customHeight="false" outlineLevel="0" collapsed="false"/>
    <row r="1033929" customFormat="false" ht="12.8" hidden="false" customHeight="false" outlineLevel="0" collapsed="false"/>
    <row r="1033930" customFormat="false" ht="12.8" hidden="false" customHeight="false" outlineLevel="0" collapsed="false"/>
    <row r="1033931" customFormat="false" ht="12.8" hidden="false" customHeight="false" outlineLevel="0" collapsed="false"/>
    <row r="1033932" customFormat="false" ht="12.8" hidden="false" customHeight="false" outlineLevel="0" collapsed="false"/>
    <row r="1033933" customFormat="false" ht="12.8" hidden="false" customHeight="false" outlineLevel="0" collapsed="false"/>
    <row r="1033934" customFormat="false" ht="12.8" hidden="false" customHeight="false" outlineLevel="0" collapsed="false"/>
    <row r="1033935" customFormat="false" ht="12.8" hidden="false" customHeight="false" outlineLevel="0" collapsed="false"/>
    <row r="1033936" customFormat="false" ht="12.8" hidden="false" customHeight="false" outlineLevel="0" collapsed="false"/>
    <row r="1033937" customFormat="false" ht="12.8" hidden="false" customHeight="false" outlineLevel="0" collapsed="false"/>
    <row r="1033938" customFormat="false" ht="12.8" hidden="false" customHeight="false" outlineLevel="0" collapsed="false"/>
    <row r="1033939" customFormat="false" ht="12.8" hidden="false" customHeight="false" outlineLevel="0" collapsed="false"/>
    <row r="1033940" customFormat="false" ht="12.8" hidden="false" customHeight="false" outlineLevel="0" collapsed="false"/>
    <row r="1033941" customFormat="false" ht="12.8" hidden="false" customHeight="false" outlineLevel="0" collapsed="false"/>
    <row r="1033942" customFormat="false" ht="12.8" hidden="false" customHeight="false" outlineLevel="0" collapsed="false"/>
    <row r="1033943" customFormat="false" ht="12.8" hidden="false" customHeight="false" outlineLevel="0" collapsed="false"/>
    <row r="1033944" customFormat="false" ht="12.8" hidden="false" customHeight="false" outlineLevel="0" collapsed="false"/>
    <row r="1033945" customFormat="false" ht="12.8" hidden="false" customHeight="false" outlineLevel="0" collapsed="false"/>
    <row r="1033946" customFormat="false" ht="12.8" hidden="false" customHeight="false" outlineLevel="0" collapsed="false"/>
    <row r="1033947" customFormat="false" ht="12.8" hidden="false" customHeight="false" outlineLevel="0" collapsed="false"/>
    <row r="1033948" customFormat="false" ht="12.8" hidden="false" customHeight="false" outlineLevel="0" collapsed="false"/>
    <row r="1033949" customFormat="false" ht="12.8" hidden="false" customHeight="false" outlineLevel="0" collapsed="false"/>
    <row r="1033950" customFormat="false" ht="12.8" hidden="false" customHeight="false" outlineLevel="0" collapsed="false"/>
    <row r="1033951" customFormat="false" ht="12.8" hidden="false" customHeight="false" outlineLevel="0" collapsed="false"/>
    <row r="1033952" customFormat="false" ht="12.8" hidden="false" customHeight="false" outlineLevel="0" collapsed="false"/>
    <row r="1033953" customFormat="false" ht="12.8" hidden="false" customHeight="false" outlineLevel="0" collapsed="false"/>
    <row r="1033954" customFormat="false" ht="12.8" hidden="false" customHeight="false" outlineLevel="0" collapsed="false"/>
    <row r="1033955" customFormat="false" ht="12.8" hidden="false" customHeight="false" outlineLevel="0" collapsed="false"/>
    <row r="1033956" customFormat="false" ht="12.8" hidden="false" customHeight="false" outlineLevel="0" collapsed="false"/>
    <row r="1033957" customFormat="false" ht="12.8" hidden="false" customHeight="false" outlineLevel="0" collapsed="false"/>
    <row r="1033958" customFormat="false" ht="12.8" hidden="false" customHeight="false" outlineLevel="0" collapsed="false"/>
    <row r="1033959" customFormat="false" ht="12.8" hidden="false" customHeight="false" outlineLevel="0" collapsed="false"/>
    <row r="1033960" customFormat="false" ht="12.8" hidden="false" customHeight="false" outlineLevel="0" collapsed="false"/>
    <row r="1033961" customFormat="false" ht="12.8" hidden="false" customHeight="false" outlineLevel="0" collapsed="false"/>
    <row r="1033962" customFormat="false" ht="12.8" hidden="false" customHeight="false" outlineLevel="0" collapsed="false"/>
    <row r="1033963" customFormat="false" ht="12.8" hidden="false" customHeight="false" outlineLevel="0" collapsed="false"/>
    <row r="1033964" customFormat="false" ht="12.8" hidden="false" customHeight="false" outlineLevel="0" collapsed="false"/>
    <row r="1033965" customFormat="false" ht="12.8" hidden="false" customHeight="false" outlineLevel="0" collapsed="false"/>
    <row r="1033966" customFormat="false" ht="12.8" hidden="false" customHeight="false" outlineLevel="0" collapsed="false"/>
    <row r="1033967" customFormat="false" ht="12.8" hidden="false" customHeight="false" outlineLevel="0" collapsed="false"/>
    <row r="1033968" customFormat="false" ht="12.8" hidden="false" customHeight="false" outlineLevel="0" collapsed="false"/>
    <row r="1033969" customFormat="false" ht="12.8" hidden="false" customHeight="false" outlineLevel="0" collapsed="false"/>
    <row r="1033970" customFormat="false" ht="12.8" hidden="false" customHeight="false" outlineLevel="0" collapsed="false"/>
    <row r="1033971" customFormat="false" ht="12.8" hidden="false" customHeight="false" outlineLevel="0" collapsed="false"/>
    <row r="1033972" customFormat="false" ht="12.8" hidden="false" customHeight="false" outlineLevel="0" collapsed="false"/>
    <row r="1033973" customFormat="false" ht="12.8" hidden="false" customHeight="false" outlineLevel="0" collapsed="false"/>
    <row r="1033974" customFormat="false" ht="12.8" hidden="false" customHeight="false" outlineLevel="0" collapsed="false"/>
    <row r="1033975" customFormat="false" ht="12.8" hidden="false" customHeight="false" outlineLevel="0" collapsed="false"/>
    <row r="1033976" customFormat="false" ht="12.8" hidden="false" customHeight="false" outlineLevel="0" collapsed="false"/>
    <row r="1033977" customFormat="false" ht="12.8" hidden="false" customHeight="false" outlineLevel="0" collapsed="false"/>
    <row r="1033978" customFormat="false" ht="12.8" hidden="false" customHeight="false" outlineLevel="0" collapsed="false"/>
    <row r="1033979" customFormat="false" ht="12.8" hidden="false" customHeight="false" outlineLevel="0" collapsed="false"/>
    <row r="1033980" customFormat="false" ht="12.8" hidden="false" customHeight="false" outlineLevel="0" collapsed="false"/>
    <row r="1033981" customFormat="false" ht="12.8" hidden="false" customHeight="false" outlineLevel="0" collapsed="false"/>
    <row r="1033982" customFormat="false" ht="12.8" hidden="false" customHeight="false" outlineLevel="0" collapsed="false"/>
    <row r="1033983" customFormat="false" ht="12.8" hidden="false" customHeight="false" outlineLevel="0" collapsed="false"/>
    <row r="1033984" customFormat="false" ht="12.8" hidden="false" customHeight="false" outlineLevel="0" collapsed="false"/>
    <row r="1033985" customFormat="false" ht="12.8" hidden="false" customHeight="false" outlineLevel="0" collapsed="false"/>
    <row r="1033986" customFormat="false" ht="12.8" hidden="false" customHeight="false" outlineLevel="0" collapsed="false"/>
    <row r="1033987" customFormat="false" ht="12.8" hidden="false" customHeight="false" outlineLevel="0" collapsed="false"/>
    <row r="1033988" customFormat="false" ht="12.8" hidden="false" customHeight="false" outlineLevel="0" collapsed="false"/>
    <row r="1033989" customFormat="false" ht="12.8" hidden="false" customHeight="false" outlineLevel="0" collapsed="false"/>
    <row r="1033990" customFormat="false" ht="12.8" hidden="false" customHeight="false" outlineLevel="0" collapsed="false"/>
    <row r="1033991" customFormat="false" ht="12.8" hidden="false" customHeight="false" outlineLevel="0" collapsed="false"/>
    <row r="1033992" customFormat="false" ht="12.8" hidden="false" customHeight="false" outlineLevel="0" collapsed="false"/>
    <row r="1033993" customFormat="false" ht="12.8" hidden="false" customHeight="false" outlineLevel="0" collapsed="false"/>
    <row r="1033994" customFormat="false" ht="12.8" hidden="false" customHeight="false" outlineLevel="0" collapsed="false"/>
    <row r="1033995" customFormat="false" ht="12.8" hidden="false" customHeight="false" outlineLevel="0" collapsed="false"/>
    <row r="1033996" customFormat="false" ht="12.8" hidden="false" customHeight="false" outlineLevel="0" collapsed="false"/>
    <row r="1033997" customFormat="false" ht="12.8" hidden="false" customHeight="false" outlineLevel="0" collapsed="false"/>
    <row r="1033998" customFormat="false" ht="12.8" hidden="false" customHeight="false" outlineLevel="0" collapsed="false"/>
    <row r="1033999" customFormat="false" ht="12.8" hidden="false" customHeight="false" outlineLevel="0" collapsed="false"/>
    <row r="1034000" customFormat="false" ht="12.8" hidden="false" customHeight="false" outlineLevel="0" collapsed="false"/>
    <row r="1034001" customFormat="false" ht="12.8" hidden="false" customHeight="false" outlineLevel="0" collapsed="false"/>
    <row r="1034002" customFormat="false" ht="12.8" hidden="false" customHeight="false" outlineLevel="0" collapsed="false"/>
    <row r="1034003" customFormat="false" ht="12.8" hidden="false" customHeight="false" outlineLevel="0" collapsed="false"/>
    <row r="1034004" customFormat="false" ht="12.8" hidden="false" customHeight="false" outlineLevel="0" collapsed="false"/>
    <row r="1034005" customFormat="false" ht="12.8" hidden="false" customHeight="false" outlineLevel="0" collapsed="false"/>
    <row r="1034006" customFormat="false" ht="12.8" hidden="false" customHeight="false" outlineLevel="0" collapsed="false"/>
    <row r="1034007" customFormat="false" ht="12.8" hidden="false" customHeight="false" outlineLevel="0" collapsed="false"/>
    <row r="1034008" customFormat="false" ht="12.8" hidden="false" customHeight="false" outlineLevel="0" collapsed="false"/>
    <row r="1034009" customFormat="false" ht="12.8" hidden="false" customHeight="false" outlineLevel="0" collapsed="false"/>
    <row r="1034010" customFormat="false" ht="12.8" hidden="false" customHeight="false" outlineLevel="0" collapsed="false"/>
    <row r="1034011" customFormat="false" ht="12.8" hidden="false" customHeight="false" outlineLevel="0" collapsed="false"/>
    <row r="1034012" customFormat="false" ht="12.8" hidden="false" customHeight="false" outlineLevel="0" collapsed="false"/>
    <row r="1034013" customFormat="false" ht="12.8" hidden="false" customHeight="false" outlineLevel="0" collapsed="false"/>
    <row r="1034014" customFormat="false" ht="12.8" hidden="false" customHeight="false" outlineLevel="0" collapsed="false"/>
    <row r="1034015" customFormat="false" ht="12.8" hidden="false" customHeight="false" outlineLevel="0" collapsed="false"/>
    <row r="1034016" customFormat="false" ht="12.8" hidden="false" customHeight="false" outlineLevel="0" collapsed="false"/>
    <row r="1034017" customFormat="false" ht="12.8" hidden="false" customHeight="false" outlineLevel="0" collapsed="false"/>
    <row r="1034018" customFormat="false" ht="12.8" hidden="false" customHeight="false" outlineLevel="0" collapsed="false"/>
    <row r="1034019" customFormat="false" ht="12.8" hidden="false" customHeight="false" outlineLevel="0" collapsed="false"/>
    <row r="1034020" customFormat="false" ht="12.8" hidden="false" customHeight="false" outlineLevel="0" collapsed="false"/>
    <row r="1034021" customFormat="false" ht="12.8" hidden="false" customHeight="false" outlineLevel="0" collapsed="false"/>
    <row r="1034022" customFormat="false" ht="12.8" hidden="false" customHeight="false" outlineLevel="0" collapsed="false"/>
    <row r="1034023" customFormat="false" ht="12.8" hidden="false" customHeight="false" outlineLevel="0" collapsed="false"/>
    <row r="1034024" customFormat="false" ht="12.8" hidden="false" customHeight="false" outlineLevel="0" collapsed="false"/>
    <row r="1034025" customFormat="false" ht="12.8" hidden="false" customHeight="false" outlineLevel="0" collapsed="false"/>
    <row r="1034026" customFormat="false" ht="12.8" hidden="false" customHeight="false" outlineLevel="0" collapsed="false"/>
    <row r="1034027" customFormat="false" ht="12.8" hidden="false" customHeight="false" outlineLevel="0" collapsed="false"/>
    <row r="1034028" customFormat="false" ht="12.8" hidden="false" customHeight="false" outlineLevel="0" collapsed="false"/>
    <row r="1034029" customFormat="false" ht="12.8" hidden="false" customHeight="false" outlineLevel="0" collapsed="false"/>
    <row r="1034030" customFormat="false" ht="12.8" hidden="false" customHeight="false" outlineLevel="0" collapsed="false"/>
    <row r="1034031" customFormat="false" ht="12.8" hidden="false" customHeight="false" outlineLevel="0" collapsed="false"/>
    <row r="1034032" customFormat="false" ht="12.8" hidden="false" customHeight="false" outlineLevel="0" collapsed="false"/>
    <row r="1034033" customFormat="false" ht="12.8" hidden="false" customHeight="false" outlineLevel="0" collapsed="false"/>
    <row r="1034034" customFormat="false" ht="12.8" hidden="false" customHeight="false" outlineLevel="0" collapsed="false"/>
    <row r="1034035" customFormat="false" ht="12.8" hidden="false" customHeight="false" outlineLevel="0" collapsed="false"/>
    <row r="1034036" customFormat="false" ht="12.8" hidden="false" customHeight="false" outlineLevel="0" collapsed="false"/>
    <row r="1034037" customFormat="false" ht="12.8" hidden="false" customHeight="false" outlineLevel="0" collapsed="false"/>
    <row r="1034038" customFormat="false" ht="12.8" hidden="false" customHeight="false" outlineLevel="0" collapsed="false"/>
    <row r="1034039" customFormat="false" ht="12.8" hidden="false" customHeight="false" outlineLevel="0" collapsed="false"/>
    <row r="1034040" customFormat="false" ht="12.8" hidden="false" customHeight="false" outlineLevel="0" collapsed="false"/>
    <row r="1034041" customFormat="false" ht="12.8" hidden="false" customHeight="false" outlineLevel="0" collapsed="false"/>
    <row r="1034042" customFormat="false" ht="12.8" hidden="false" customHeight="false" outlineLevel="0" collapsed="false"/>
    <row r="1034043" customFormat="false" ht="12.8" hidden="false" customHeight="false" outlineLevel="0" collapsed="false"/>
    <row r="1034044" customFormat="false" ht="12.8" hidden="false" customHeight="false" outlineLevel="0" collapsed="false"/>
    <row r="1034045" customFormat="false" ht="12.8" hidden="false" customHeight="false" outlineLevel="0" collapsed="false"/>
    <row r="1034046" customFormat="false" ht="12.8" hidden="false" customHeight="false" outlineLevel="0" collapsed="false"/>
    <row r="1034047" customFormat="false" ht="12.8" hidden="false" customHeight="false" outlineLevel="0" collapsed="false"/>
    <row r="1034048" customFormat="false" ht="12.8" hidden="false" customHeight="false" outlineLevel="0" collapsed="false"/>
    <row r="1034049" customFormat="false" ht="12.8" hidden="false" customHeight="false" outlineLevel="0" collapsed="false"/>
    <row r="1034050" customFormat="false" ht="12.8" hidden="false" customHeight="false" outlineLevel="0" collapsed="false"/>
    <row r="1034051" customFormat="false" ht="12.8" hidden="false" customHeight="false" outlineLevel="0" collapsed="false"/>
    <row r="1034052" customFormat="false" ht="12.8" hidden="false" customHeight="false" outlineLevel="0" collapsed="false"/>
    <row r="1034053" customFormat="false" ht="12.8" hidden="false" customHeight="false" outlineLevel="0" collapsed="false"/>
    <row r="1034054" customFormat="false" ht="12.8" hidden="false" customHeight="false" outlineLevel="0" collapsed="false"/>
    <row r="1034055" customFormat="false" ht="12.8" hidden="false" customHeight="false" outlineLevel="0" collapsed="false"/>
    <row r="1034056" customFormat="false" ht="12.8" hidden="false" customHeight="false" outlineLevel="0" collapsed="false"/>
    <row r="1034057" customFormat="false" ht="12.8" hidden="false" customHeight="false" outlineLevel="0" collapsed="false"/>
    <row r="1034058" customFormat="false" ht="12.8" hidden="false" customHeight="false" outlineLevel="0" collapsed="false"/>
    <row r="1034059" customFormat="false" ht="12.8" hidden="false" customHeight="false" outlineLevel="0" collapsed="false"/>
    <row r="1034060" customFormat="false" ht="12.8" hidden="false" customHeight="false" outlineLevel="0" collapsed="false"/>
    <row r="1034061" customFormat="false" ht="12.8" hidden="false" customHeight="false" outlineLevel="0" collapsed="false"/>
    <row r="1034062" customFormat="false" ht="12.8" hidden="false" customHeight="false" outlineLevel="0" collapsed="false"/>
    <row r="1034063" customFormat="false" ht="12.8" hidden="false" customHeight="false" outlineLevel="0" collapsed="false"/>
    <row r="1034064" customFormat="false" ht="12.8" hidden="false" customHeight="false" outlineLevel="0" collapsed="false"/>
    <row r="1034065" customFormat="false" ht="12.8" hidden="false" customHeight="false" outlineLevel="0" collapsed="false"/>
    <row r="1034066" customFormat="false" ht="12.8" hidden="false" customHeight="false" outlineLevel="0" collapsed="false"/>
    <row r="1034067" customFormat="false" ht="12.8" hidden="false" customHeight="false" outlineLevel="0" collapsed="false"/>
    <row r="1034068" customFormat="false" ht="12.8" hidden="false" customHeight="false" outlineLevel="0" collapsed="false"/>
    <row r="1034069" customFormat="false" ht="12.8" hidden="false" customHeight="false" outlineLevel="0" collapsed="false"/>
    <row r="1034070" customFormat="false" ht="12.8" hidden="false" customHeight="false" outlineLevel="0" collapsed="false"/>
    <row r="1034071" customFormat="false" ht="12.8" hidden="false" customHeight="false" outlineLevel="0" collapsed="false"/>
    <row r="1034072" customFormat="false" ht="12.8" hidden="false" customHeight="false" outlineLevel="0" collapsed="false"/>
    <row r="1034073" customFormat="false" ht="12.8" hidden="false" customHeight="false" outlineLevel="0" collapsed="false"/>
    <row r="1034074" customFormat="false" ht="12.8" hidden="false" customHeight="false" outlineLevel="0" collapsed="false"/>
    <row r="1034075" customFormat="false" ht="12.8" hidden="false" customHeight="false" outlineLevel="0" collapsed="false"/>
    <row r="1034076" customFormat="false" ht="12.8" hidden="false" customHeight="false" outlineLevel="0" collapsed="false"/>
    <row r="1034077" customFormat="false" ht="12.8" hidden="false" customHeight="false" outlineLevel="0" collapsed="false"/>
    <row r="1034078" customFormat="false" ht="12.8" hidden="false" customHeight="false" outlineLevel="0" collapsed="false"/>
    <row r="1034079" customFormat="false" ht="12.8" hidden="false" customHeight="false" outlineLevel="0" collapsed="false"/>
    <row r="1034080" customFormat="false" ht="12.8" hidden="false" customHeight="false" outlineLevel="0" collapsed="false"/>
    <row r="1034081" customFormat="false" ht="12.8" hidden="false" customHeight="false" outlineLevel="0" collapsed="false"/>
    <row r="1034082" customFormat="false" ht="12.8" hidden="false" customHeight="false" outlineLevel="0" collapsed="false"/>
    <row r="1034083" customFormat="false" ht="12.8" hidden="false" customHeight="false" outlineLevel="0" collapsed="false"/>
    <row r="1034084" customFormat="false" ht="12.8" hidden="false" customHeight="false" outlineLevel="0" collapsed="false"/>
    <row r="1034085" customFormat="false" ht="12.8" hidden="false" customHeight="false" outlineLevel="0" collapsed="false"/>
    <row r="1034086" customFormat="false" ht="12.8" hidden="false" customHeight="false" outlineLevel="0" collapsed="false"/>
    <row r="1034087" customFormat="false" ht="12.8" hidden="false" customHeight="false" outlineLevel="0" collapsed="false"/>
    <row r="1034088" customFormat="false" ht="12.8" hidden="false" customHeight="false" outlineLevel="0" collapsed="false"/>
    <row r="1034089" customFormat="false" ht="12.8" hidden="false" customHeight="false" outlineLevel="0" collapsed="false"/>
    <row r="1034090" customFormat="false" ht="12.8" hidden="false" customHeight="false" outlineLevel="0" collapsed="false"/>
    <row r="1034091" customFormat="false" ht="12.8" hidden="false" customHeight="false" outlineLevel="0" collapsed="false"/>
    <row r="1034092" customFormat="false" ht="12.8" hidden="false" customHeight="false" outlineLevel="0" collapsed="false"/>
    <row r="1034093" customFormat="false" ht="12.8" hidden="false" customHeight="false" outlineLevel="0" collapsed="false"/>
    <row r="1034094" customFormat="false" ht="12.8" hidden="false" customHeight="false" outlineLevel="0" collapsed="false"/>
    <row r="1034095" customFormat="false" ht="12.8" hidden="false" customHeight="false" outlineLevel="0" collapsed="false"/>
    <row r="1034096" customFormat="false" ht="12.8" hidden="false" customHeight="false" outlineLevel="0" collapsed="false"/>
    <row r="1034097" customFormat="false" ht="12.8" hidden="false" customHeight="false" outlineLevel="0" collapsed="false"/>
    <row r="1034098" customFormat="false" ht="12.8" hidden="false" customHeight="false" outlineLevel="0" collapsed="false"/>
    <row r="1034099" customFormat="false" ht="12.8" hidden="false" customHeight="false" outlineLevel="0" collapsed="false"/>
    <row r="1034100" customFormat="false" ht="12.8" hidden="false" customHeight="false" outlineLevel="0" collapsed="false"/>
    <row r="1034101" customFormat="false" ht="12.8" hidden="false" customHeight="false" outlineLevel="0" collapsed="false"/>
    <row r="1034102" customFormat="false" ht="12.8" hidden="false" customHeight="false" outlineLevel="0" collapsed="false"/>
    <row r="1034103" customFormat="false" ht="12.8" hidden="false" customHeight="false" outlineLevel="0" collapsed="false"/>
    <row r="1034104" customFormat="false" ht="12.8" hidden="false" customHeight="false" outlineLevel="0" collapsed="false"/>
    <row r="1034105" customFormat="false" ht="12.8" hidden="false" customHeight="false" outlineLevel="0" collapsed="false"/>
    <row r="1034106" customFormat="false" ht="12.8" hidden="false" customHeight="false" outlineLevel="0" collapsed="false"/>
    <row r="1034107" customFormat="false" ht="12.8" hidden="false" customHeight="false" outlineLevel="0" collapsed="false"/>
    <row r="1034108" customFormat="false" ht="12.8" hidden="false" customHeight="false" outlineLevel="0" collapsed="false"/>
    <row r="1034109" customFormat="false" ht="12.8" hidden="false" customHeight="false" outlineLevel="0" collapsed="false"/>
    <row r="1034110" customFormat="false" ht="12.8" hidden="false" customHeight="false" outlineLevel="0" collapsed="false"/>
    <row r="1034111" customFormat="false" ht="12.8" hidden="false" customHeight="false" outlineLevel="0" collapsed="false"/>
    <row r="1034112" customFormat="false" ht="12.8" hidden="false" customHeight="false" outlineLevel="0" collapsed="false"/>
    <row r="1034113" customFormat="false" ht="12.8" hidden="false" customHeight="false" outlineLevel="0" collapsed="false"/>
    <row r="1034114" customFormat="false" ht="12.8" hidden="false" customHeight="false" outlineLevel="0" collapsed="false"/>
    <row r="1034115" customFormat="false" ht="12.8" hidden="false" customHeight="false" outlineLevel="0" collapsed="false"/>
    <row r="1034116" customFormat="false" ht="12.8" hidden="false" customHeight="false" outlineLevel="0" collapsed="false"/>
    <row r="1034117" customFormat="false" ht="12.8" hidden="false" customHeight="false" outlineLevel="0" collapsed="false"/>
    <row r="1034118" customFormat="false" ht="12.8" hidden="false" customHeight="false" outlineLevel="0" collapsed="false"/>
    <row r="1034119" customFormat="false" ht="12.8" hidden="false" customHeight="false" outlineLevel="0" collapsed="false"/>
    <row r="1034120" customFormat="false" ht="12.8" hidden="false" customHeight="false" outlineLevel="0" collapsed="false"/>
    <row r="1034121" customFormat="false" ht="12.8" hidden="false" customHeight="false" outlineLevel="0" collapsed="false"/>
    <row r="1034122" customFormat="false" ht="12.8" hidden="false" customHeight="false" outlineLevel="0" collapsed="false"/>
    <row r="1034123" customFormat="false" ht="12.8" hidden="false" customHeight="false" outlineLevel="0" collapsed="false"/>
    <row r="1034124" customFormat="false" ht="12.8" hidden="false" customHeight="false" outlineLevel="0" collapsed="false"/>
    <row r="1034125" customFormat="false" ht="12.8" hidden="false" customHeight="false" outlineLevel="0" collapsed="false"/>
    <row r="1034126" customFormat="false" ht="12.8" hidden="false" customHeight="false" outlineLevel="0" collapsed="false"/>
    <row r="1034127" customFormat="false" ht="12.8" hidden="false" customHeight="false" outlineLevel="0" collapsed="false"/>
    <row r="1034128" customFormat="false" ht="12.8" hidden="false" customHeight="false" outlineLevel="0" collapsed="false"/>
    <row r="1034129" customFormat="false" ht="12.8" hidden="false" customHeight="false" outlineLevel="0" collapsed="false"/>
    <row r="1034130" customFormat="false" ht="12.8" hidden="false" customHeight="false" outlineLevel="0" collapsed="false"/>
    <row r="1034131" customFormat="false" ht="12.8" hidden="false" customHeight="false" outlineLevel="0" collapsed="false"/>
    <row r="1034132" customFormat="false" ht="12.8" hidden="false" customHeight="false" outlineLevel="0" collapsed="false"/>
    <row r="1034133" customFormat="false" ht="12.8" hidden="false" customHeight="false" outlineLevel="0" collapsed="false"/>
    <row r="1034134" customFormat="false" ht="12.8" hidden="false" customHeight="false" outlineLevel="0" collapsed="false"/>
    <row r="1034135" customFormat="false" ht="12.8" hidden="false" customHeight="false" outlineLevel="0" collapsed="false"/>
    <row r="1034136" customFormat="false" ht="12.8" hidden="false" customHeight="false" outlineLevel="0" collapsed="false"/>
    <row r="1034137" customFormat="false" ht="12.8" hidden="false" customHeight="false" outlineLevel="0" collapsed="false"/>
    <row r="1034138" customFormat="false" ht="12.8" hidden="false" customHeight="false" outlineLevel="0" collapsed="false"/>
    <row r="1034139" customFormat="false" ht="12.8" hidden="false" customHeight="false" outlineLevel="0" collapsed="false"/>
    <row r="1034140" customFormat="false" ht="12.8" hidden="false" customHeight="false" outlineLevel="0" collapsed="false"/>
    <row r="1034141" customFormat="false" ht="12.8" hidden="false" customHeight="false" outlineLevel="0" collapsed="false"/>
    <row r="1034142" customFormat="false" ht="12.8" hidden="false" customHeight="false" outlineLevel="0" collapsed="false"/>
    <row r="1034143" customFormat="false" ht="12.8" hidden="false" customHeight="false" outlineLevel="0" collapsed="false"/>
    <row r="1034144" customFormat="false" ht="12.8" hidden="false" customHeight="false" outlineLevel="0" collapsed="false"/>
    <row r="1034145" customFormat="false" ht="12.8" hidden="false" customHeight="false" outlineLevel="0" collapsed="false"/>
    <row r="1034146" customFormat="false" ht="12.8" hidden="false" customHeight="false" outlineLevel="0" collapsed="false"/>
    <row r="1034147" customFormat="false" ht="12.8" hidden="false" customHeight="false" outlineLevel="0" collapsed="false"/>
    <row r="1034148" customFormat="false" ht="12.8" hidden="false" customHeight="false" outlineLevel="0" collapsed="false"/>
    <row r="1034149" customFormat="false" ht="12.8" hidden="false" customHeight="false" outlineLevel="0" collapsed="false"/>
    <row r="1034150" customFormat="false" ht="12.8" hidden="false" customHeight="false" outlineLevel="0" collapsed="false"/>
    <row r="1034151" customFormat="false" ht="12.8" hidden="false" customHeight="false" outlineLevel="0" collapsed="false"/>
    <row r="1034152" customFormat="false" ht="12.8" hidden="false" customHeight="false" outlineLevel="0" collapsed="false"/>
    <row r="1034153" customFormat="false" ht="12.8" hidden="false" customHeight="false" outlineLevel="0" collapsed="false"/>
    <row r="1034154" customFormat="false" ht="12.8" hidden="false" customHeight="false" outlineLevel="0" collapsed="false"/>
    <row r="1034155" customFormat="false" ht="12.8" hidden="false" customHeight="false" outlineLevel="0" collapsed="false"/>
    <row r="1034156" customFormat="false" ht="12.8" hidden="false" customHeight="false" outlineLevel="0" collapsed="false"/>
    <row r="1034157" customFormat="false" ht="12.8" hidden="false" customHeight="false" outlineLevel="0" collapsed="false"/>
    <row r="1034158" customFormat="false" ht="12.8" hidden="false" customHeight="false" outlineLevel="0" collapsed="false"/>
    <row r="1034159" customFormat="false" ht="12.8" hidden="false" customHeight="false" outlineLevel="0" collapsed="false"/>
    <row r="1034160" customFormat="false" ht="12.8" hidden="false" customHeight="false" outlineLevel="0" collapsed="false"/>
    <row r="1034161" customFormat="false" ht="12.8" hidden="false" customHeight="false" outlineLevel="0" collapsed="false"/>
    <row r="1034162" customFormat="false" ht="12.8" hidden="false" customHeight="false" outlineLevel="0" collapsed="false"/>
    <row r="1034163" customFormat="false" ht="12.8" hidden="false" customHeight="false" outlineLevel="0" collapsed="false"/>
    <row r="1034164" customFormat="false" ht="12.8" hidden="false" customHeight="false" outlineLevel="0" collapsed="false"/>
    <row r="1034165" customFormat="false" ht="12.8" hidden="false" customHeight="false" outlineLevel="0" collapsed="false"/>
    <row r="1034166" customFormat="false" ht="12.8" hidden="false" customHeight="false" outlineLevel="0" collapsed="false"/>
    <row r="1034167" customFormat="false" ht="12.8" hidden="false" customHeight="false" outlineLevel="0" collapsed="false"/>
    <row r="1034168" customFormat="false" ht="12.8" hidden="false" customHeight="false" outlineLevel="0" collapsed="false"/>
    <row r="1034169" customFormat="false" ht="12.8" hidden="false" customHeight="false" outlineLevel="0" collapsed="false"/>
    <row r="1034170" customFormat="false" ht="12.8" hidden="false" customHeight="false" outlineLevel="0" collapsed="false"/>
    <row r="1034171" customFormat="false" ht="12.8" hidden="false" customHeight="false" outlineLevel="0" collapsed="false"/>
    <row r="1034172" customFormat="false" ht="12.8" hidden="false" customHeight="false" outlineLevel="0" collapsed="false"/>
    <row r="1034173" customFormat="false" ht="12.8" hidden="false" customHeight="false" outlineLevel="0" collapsed="false"/>
    <row r="1034174" customFormat="false" ht="12.8" hidden="false" customHeight="false" outlineLevel="0" collapsed="false"/>
    <row r="1034175" customFormat="false" ht="12.8" hidden="false" customHeight="false" outlineLevel="0" collapsed="false"/>
    <row r="1034176" customFormat="false" ht="12.8" hidden="false" customHeight="false" outlineLevel="0" collapsed="false"/>
    <row r="1034177" customFormat="false" ht="12.8" hidden="false" customHeight="false" outlineLevel="0" collapsed="false"/>
    <row r="1034178" customFormat="false" ht="12.8" hidden="false" customHeight="false" outlineLevel="0" collapsed="false"/>
    <row r="1034179" customFormat="false" ht="12.8" hidden="false" customHeight="false" outlineLevel="0" collapsed="false"/>
    <row r="1034180" customFormat="false" ht="12.8" hidden="false" customHeight="false" outlineLevel="0" collapsed="false"/>
    <row r="1034181" customFormat="false" ht="12.8" hidden="false" customHeight="false" outlineLevel="0" collapsed="false"/>
    <row r="1034182" customFormat="false" ht="12.8" hidden="false" customHeight="false" outlineLevel="0" collapsed="false"/>
    <row r="1034183" customFormat="false" ht="12.8" hidden="false" customHeight="false" outlineLevel="0" collapsed="false"/>
    <row r="1034184" customFormat="false" ht="12.8" hidden="false" customHeight="false" outlineLevel="0" collapsed="false"/>
    <row r="1034185" customFormat="false" ht="12.8" hidden="false" customHeight="false" outlineLevel="0" collapsed="false"/>
    <row r="1034186" customFormat="false" ht="12.8" hidden="false" customHeight="false" outlineLevel="0" collapsed="false"/>
    <row r="1034187" customFormat="false" ht="12.8" hidden="false" customHeight="false" outlineLevel="0" collapsed="false"/>
    <row r="1034188" customFormat="false" ht="12.8" hidden="false" customHeight="false" outlineLevel="0" collapsed="false"/>
    <row r="1034189" customFormat="false" ht="12.8" hidden="false" customHeight="false" outlineLevel="0" collapsed="false"/>
    <row r="1034190" customFormat="false" ht="12.8" hidden="false" customHeight="false" outlineLevel="0" collapsed="false"/>
    <row r="1034191" customFormat="false" ht="12.8" hidden="false" customHeight="false" outlineLevel="0" collapsed="false"/>
    <row r="1034192" customFormat="false" ht="12.8" hidden="false" customHeight="false" outlineLevel="0" collapsed="false"/>
    <row r="1034193" customFormat="false" ht="12.8" hidden="false" customHeight="false" outlineLevel="0" collapsed="false"/>
    <row r="1034194" customFormat="false" ht="12.8" hidden="false" customHeight="false" outlineLevel="0" collapsed="false"/>
    <row r="1034195" customFormat="false" ht="12.8" hidden="false" customHeight="false" outlineLevel="0" collapsed="false"/>
    <row r="1034196" customFormat="false" ht="12.8" hidden="false" customHeight="false" outlineLevel="0" collapsed="false"/>
    <row r="1034197" customFormat="false" ht="12.8" hidden="false" customHeight="false" outlineLevel="0" collapsed="false"/>
    <row r="1034198" customFormat="false" ht="12.8" hidden="false" customHeight="false" outlineLevel="0" collapsed="false"/>
    <row r="1034199" customFormat="false" ht="12.8" hidden="false" customHeight="false" outlineLevel="0" collapsed="false"/>
    <row r="1034200" customFormat="false" ht="12.8" hidden="false" customHeight="false" outlineLevel="0" collapsed="false"/>
    <row r="1034201" customFormat="false" ht="12.8" hidden="false" customHeight="false" outlineLevel="0" collapsed="false"/>
    <row r="1034202" customFormat="false" ht="12.8" hidden="false" customHeight="false" outlineLevel="0" collapsed="false"/>
    <row r="1034203" customFormat="false" ht="12.8" hidden="false" customHeight="false" outlineLevel="0" collapsed="false"/>
    <row r="1034204" customFormat="false" ht="12.8" hidden="false" customHeight="false" outlineLevel="0" collapsed="false"/>
    <row r="1034205" customFormat="false" ht="12.8" hidden="false" customHeight="false" outlineLevel="0" collapsed="false"/>
    <row r="1034206" customFormat="false" ht="12.8" hidden="false" customHeight="false" outlineLevel="0" collapsed="false"/>
    <row r="1034207" customFormat="false" ht="12.8" hidden="false" customHeight="false" outlineLevel="0" collapsed="false"/>
    <row r="1034208" customFormat="false" ht="12.8" hidden="false" customHeight="false" outlineLevel="0" collapsed="false"/>
    <row r="1034209" customFormat="false" ht="12.8" hidden="false" customHeight="false" outlineLevel="0" collapsed="false"/>
    <row r="1034210" customFormat="false" ht="12.8" hidden="false" customHeight="false" outlineLevel="0" collapsed="false"/>
    <row r="1034211" customFormat="false" ht="12.8" hidden="false" customHeight="false" outlineLevel="0" collapsed="false"/>
    <row r="1034212" customFormat="false" ht="12.8" hidden="false" customHeight="false" outlineLevel="0" collapsed="false"/>
    <row r="1034213" customFormat="false" ht="12.8" hidden="false" customHeight="false" outlineLevel="0" collapsed="false"/>
    <row r="1034214" customFormat="false" ht="12.8" hidden="false" customHeight="false" outlineLevel="0" collapsed="false"/>
    <row r="1034215" customFormat="false" ht="12.8" hidden="false" customHeight="false" outlineLevel="0" collapsed="false"/>
    <row r="1034216" customFormat="false" ht="12.8" hidden="false" customHeight="false" outlineLevel="0" collapsed="false"/>
    <row r="1034217" customFormat="false" ht="12.8" hidden="false" customHeight="false" outlineLevel="0" collapsed="false"/>
    <row r="1034218" customFormat="false" ht="12.8" hidden="false" customHeight="false" outlineLevel="0" collapsed="false"/>
    <row r="1034219" customFormat="false" ht="12.8" hidden="false" customHeight="false" outlineLevel="0" collapsed="false"/>
    <row r="1034220" customFormat="false" ht="12.8" hidden="false" customHeight="false" outlineLevel="0" collapsed="false"/>
    <row r="1034221" customFormat="false" ht="12.8" hidden="false" customHeight="false" outlineLevel="0" collapsed="false"/>
    <row r="1034222" customFormat="false" ht="12.8" hidden="false" customHeight="false" outlineLevel="0" collapsed="false"/>
    <row r="1034223" customFormat="false" ht="12.8" hidden="false" customHeight="false" outlineLevel="0" collapsed="false"/>
    <row r="1034224" customFormat="false" ht="12.8" hidden="false" customHeight="false" outlineLevel="0" collapsed="false"/>
    <row r="1034225" customFormat="false" ht="12.8" hidden="false" customHeight="false" outlineLevel="0" collapsed="false"/>
    <row r="1034226" customFormat="false" ht="12.8" hidden="false" customHeight="false" outlineLevel="0" collapsed="false"/>
    <row r="1034227" customFormat="false" ht="12.8" hidden="false" customHeight="false" outlineLevel="0" collapsed="false"/>
    <row r="1034228" customFormat="false" ht="12.8" hidden="false" customHeight="false" outlineLevel="0" collapsed="false"/>
    <row r="1034229" customFormat="false" ht="12.8" hidden="false" customHeight="false" outlineLevel="0" collapsed="false"/>
    <row r="1034230" customFormat="false" ht="12.8" hidden="false" customHeight="false" outlineLevel="0" collapsed="false"/>
    <row r="1034231" customFormat="false" ht="12.8" hidden="false" customHeight="false" outlineLevel="0" collapsed="false"/>
    <row r="1034232" customFormat="false" ht="12.8" hidden="false" customHeight="false" outlineLevel="0" collapsed="false"/>
    <row r="1034233" customFormat="false" ht="12.8" hidden="false" customHeight="false" outlineLevel="0" collapsed="false"/>
    <row r="1034234" customFormat="false" ht="12.8" hidden="false" customHeight="false" outlineLevel="0" collapsed="false"/>
    <row r="1034235" customFormat="false" ht="12.8" hidden="false" customHeight="false" outlineLevel="0" collapsed="false"/>
    <row r="1034236" customFormat="false" ht="12.8" hidden="false" customHeight="false" outlineLevel="0" collapsed="false"/>
    <row r="1034237" customFormat="false" ht="12.8" hidden="false" customHeight="false" outlineLevel="0" collapsed="false"/>
    <row r="1034238" customFormat="false" ht="12.8" hidden="false" customHeight="false" outlineLevel="0" collapsed="false"/>
    <row r="1034239" customFormat="false" ht="12.8" hidden="false" customHeight="false" outlineLevel="0" collapsed="false"/>
    <row r="1034240" customFormat="false" ht="12.8" hidden="false" customHeight="false" outlineLevel="0" collapsed="false"/>
    <row r="1034241" customFormat="false" ht="12.8" hidden="false" customHeight="false" outlineLevel="0" collapsed="false"/>
    <row r="1034242" customFormat="false" ht="12.8" hidden="false" customHeight="false" outlineLevel="0" collapsed="false"/>
    <row r="1034243" customFormat="false" ht="12.8" hidden="false" customHeight="false" outlineLevel="0" collapsed="false"/>
    <row r="1034244" customFormat="false" ht="12.8" hidden="false" customHeight="false" outlineLevel="0" collapsed="false"/>
    <row r="1034245" customFormat="false" ht="12.8" hidden="false" customHeight="false" outlineLevel="0" collapsed="false"/>
    <row r="1034246" customFormat="false" ht="12.8" hidden="false" customHeight="false" outlineLevel="0" collapsed="false"/>
    <row r="1034247" customFormat="false" ht="12.8" hidden="false" customHeight="false" outlineLevel="0" collapsed="false"/>
    <row r="1034248" customFormat="false" ht="12.8" hidden="false" customHeight="false" outlineLevel="0" collapsed="false"/>
    <row r="1034249" customFormat="false" ht="12.8" hidden="false" customHeight="false" outlineLevel="0" collapsed="false"/>
    <row r="1034250" customFormat="false" ht="12.8" hidden="false" customHeight="false" outlineLevel="0" collapsed="false"/>
    <row r="1034251" customFormat="false" ht="12.8" hidden="false" customHeight="false" outlineLevel="0" collapsed="false"/>
    <row r="1034252" customFormat="false" ht="12.8" hidden="false" customHeight="false" outlineLevel="0" collapsed="false"/>
    <row r="1034253" customFormat="false" ht="12.8" hidden="false" customHeight="false" outlineLevel="0" collapsed="false"/>
    <row r="1034254" customFormat="false" ht="12.8" hidden="false" customHeight="false" outlineLevel="0" collapsed="false"/>
    <row r="1034255" customFormat="false" ht="12.8" hidden="false" customHeight="false" outlineLevel="0" collapsed="false"/>
    <row r="1034256" customFormat="false" ht="12.8" hidden="false" customHeight="false" outlineLevel="0" collapsed="false"/>
    <row r="1034257" customFormat="false" ht="12.8" hidden="false" customHeight="false" outlineLevel="0" collapsed="false"/>
    <row r="1034258" customFormat="false" ht="12.8" hidden="false" customHeight="false" outlineLevel="0" collapsed="false"/>
    <row r="1034259" customFormat="false" ht="12.8" hidden="false" customHeight="false" outlineLevel="0" collapsed="false"/>
    <row r="1034260" customFormat="false" ht="12.8" hidden="false" customHeight="false" outlineLevel="0" collapsed="false"/>
    <row r="1034261" customFormat="false" ht="12.8" hidden="false" customHeight="false" outlineLevel="0" collapsed="false"/>
    <row r="1034262" customFormat="false" ht="12.8" hidden="false" customHeight="false" outlineLevel="0" collapsed="false"/>
    <row r="1034263" customFormat="false" ht="12.8" hidden="false" customHeight="false" outlineLevel="0" collapsed="false"/>
    <row r="1034264" customFormat="false" ht="12.8" hidden="false" customHeight="false" outlineLevel="0" collapsed="false"/>
    <row r="1034265" customFormat="false" ht="12.8" hidden="false" customHeight="false" outlineLevel="0" collapsed="false"/>
    <row r="1034266" customFormat="false" ht="12.8" hidden="false" customHeight="false" outlineLevel="0" collapsed="false"/>
    <row r="1034267" customFormat="false" ht="12.8" hidden="false" customHeight="false" outlineLevel="0" collapsed="false"/>
    <row r="1034268" customFormat="false" ht="12.8" hidden="false" customHeight="false" outlineLevel="0" collapsed="false"/>
    <row r="1034269" customFormat="false" ht="12.8" hidden="false" customHeight="false" outlineLevel="0" collapsed="false"/>
    <row r="1034270" customFormat="false" ht="12.8" hidden="false" customHeight="false" outlineLevel="0" collapsed="false"/>
    <row r="1034271" customFormat="false" ht="12.8" hidden="false" customHeight="false" outlineLevel="0" collapsed="false"/>
    <row r="1034272" customFormat="false" ht="12.8" hidden="false" customHeight="false" outlineLevel="0" collapsed="false"/>
    <row r="1034273" customFormat="false" ht="12.8" hidden="false" customHeight="false" outlineLevel="0" collapsed="false"/>
    <row r="1034274" customFormat="false" ht="12.8" hidden="false" customHeight="false" outlineLevel="0" collapsed="false"/>
    <row r="1034275" customFormat="false" ht="12.8" hidden="false" customHeight="false" outlineLevel="0" collapsed="false"/>
    <row r="1034276" customFormat="false" ht="12.8" hidden="false" customHeight="false" outlineLevel="0" collapsed="false"/>
    <row r="1034277" customFormat="false" ht="12.8" hidden="false" customHeight="false" outlineLevel="0" collapsed="false"/>
    <row r="1034278" customFormat="false" ht="12.8" hidden="false" customHeight="false" outlineLevel="0" collapsed="false"/>
    <row r="1034279" customFormat="false" ht="12.8" hidden="false" customHeight="false" outlineLevel="0" collapsed="false"/>
    <row r="1034280" customFormat="false" ht="12.8" hidden="false" customHeight="false" outlineLevel="0" collapsed="false"/>
    <row r="1034281" customFormat="false" ht="12.8" hidden="false" customHeight="false" outlineLevel="0" collapsed="false"/>
    <row r="1034282" customFormat="false" ht="12.8" hidden="false" customHeight="false" outlineLevel="0" collapsed="false"/>
    <row r="1034283" customFormat="false" ht="12.8" hidden="false" customHeight="false" outlineLevel="0" collapsed="false"/>
    <row r="1034284" customFormat="false" ht="12.8" hidden="false" customHeight="false" outlineLevel="0" collapsed="false"/>
    <row r="1034285" customFormat="false" ht="12.8" hidden="false" customHeight="false" outlineLevel="0" collapsed="false"/>
    <row r="1034286" customFormat="false" ht="12.8" hidden="false" customHeight="false" outlineLevel="0" collapsed="false"/>
    <row r="1034287" customFormat="false" ht="12.8" hidden="false" customHeight="false" outlineLevel="0" collapsed="false"/>
    <row r="1034288" customFormat="false" ht="12.8" hidden="false" customHeight="false" outlineLevel="0" collapsed="false"/>
    <row r="1034289" customFormat="false" ht="12.8" hidden="false" customHeight="false" outlineLevel="0" collapsed="false"/>
    <row r="1034290" customFormat="false" ht="12.8" hidden="false" customHeight="false" outlineLevel="0" collapsed="false"/>
    <row r="1034291" customFormat="false" ht="12.8" hidden="false" customHeight="false" outlineLevel="0" collapsed="false"/>
    <row r="1034292" customFormat="false" ht="12.8" hidden="false" customHeight="false" outlineLevel="0" collapsed="false"/>
    <row r="1034293" customFormat="false" ht="12.8" hidden="false" customHeight="false" outlineLevel="0" collapsed="false"/>
    <row r="1034294" customFormat="false" ht="12.8" hidden="false" customHeight="false" outlineLevel="0" collapsed="false"/>
    <row r="1034295" customFormat="false" ht="12.8" hidden="false" customHeight="false" outlineLevel="0" collapsed="false"/>
    <row r="1034296" customFormat="false" ht="12.8" hidden="false" customHeight="false" outlineLevel="0" collapsed="false"/>
    <row r="1034297" customFormat="false" ht="12.8" hidden="false" customHeight="false" outlineLevel="0" collapsed="false"/>
    <row r="1034298" customFormat="false" ht="12.8" hidden="false" customHeight="false" outlineLevel="0" collapsed="false"/>
    <row r="1034299" customFormat="false" ht="12.8" hidden="false" customHeight="false" outlineLevel="0" collapsed="false"/>
    <row r="1034300" customFormat="false" ht="12.8" hidden="false" customHeight="false" outlineLevel="0" collapsed="false"/>
    <row r="1034301" customFormat="false" ht="12.8" hidden="false" customHeight="false" outlineLevel="0" collapsed="false"/>
    <row r="1034302" customFormat="false" ht="12.8" hidden="false" customHeight="false" outlineLevel="0" collapsed="false"/>
    <row r="1034303" customFormat="false" ht="12.8" hidden="false" customHeight="false" outlineLevel="0" collapsed="false"/>
    <row r="1034304" customFormat="false" ht="12.8" hidden="false" customHeight="false" outlineLevel="0" collapsed="false"/>
    <row r="1034305" customFormat="false" ht="12.8" hidden="false" customHeight="false" outlineLevel="0" collapsed="false"/>
    <row r="1034306" customFormat="false" ht="12.8" hidden="false" customHeight="false" outlineLevel="0" collapsed="false"/>
    <row r="1034307" customFormat="false" ht="12.8" hidden="false" customHeight="false" outlineLevel="0" collapsed="false"/>
    <row r="1034308" customFormat="false" ht="12.8" hidden="false" customHeight="false" outlineLevel="0" collapsed="false"/>
    <row r="1034309" customFormat="false" ht="12.8" hidden="false" customHeight="false" outlineLevel="0" collapsed="false"/>
    <row r="1034310" customFormat="false" ht="12.8" hidden="false" customHeight="false" outlineLevel="0" collapsed="false"/>
    <row r="1034311" customFormat="false" ht="12.8" hidden="false" customHeight="false" outlineLevel="0" collapsed="false"/>
    <row r="1034312" customFormat="false" ht="12.8" hidden="false" customHeight="false" outlineLevel="0" collapsed="false"/>
    <row r="1034313" customFormat="false" ht="12.8" hidden="false" customHeight="false" outlineLevel="0" collapsed="false"/>
    <row r="1034314" customFormat="false" ht="12.8" hidden="false" customHeight="false" outlineLevel="0" collapsed="false"/>
    <row r="1034315" customFormat="false" ht="12.8" hidden="false" customHeight="false" outlineLevel="0" collapsed="false"/>
    <row r="1034316" customFormat="false" ht="12.8" hidden="false" customHeight="false" outlineLevel="0" collapsed="false"/>
    <row r="1034317" customFormat="false" ht="12.8" hidden="false" customHeight="false" outlineLevel="0" collapsed="false"/>
    <row r="1034318" customFormat="false" ht="12.8" hidden="false" customHeight="false" outlineLevel="0" collapsed="false"/>
    <row r="1034319" customFormat="false" ht="12.8" hidden="false" customHeight="false" outlineLevel="0" collapsed="false"/>
    <row r="1034320" customFormat="false" ht="12.8" hidden="false" customHeight="false" outlineLevel="0" collapsed="false"/>
    <row r="1034321" customFormat="false" ht="12.8" hidden="false" customHeight="false" outlineLevel="0" collapsed="false"/>
    <row r="1034322" customFormat="false" ht="12.8" hidden="false" customHeight="false" outlineLevel="0" collapsed="false"/>
    <row r="1034323" customFormat="false" ht="12.8" hidden="false" customHeight="false" outlineLevel="0" collapsed="false"/>
    <row r="1034324" customFormat="false" ht="12.8" hidden="false" customHeight="false" outlineLevel="0" collapsed="false"/>
    <row r="1034325" customFormat="false" ht="12.8" hidden="false" customHeight="false" outlineLevel="0" collapsed="false"/>
    <row r="1034326" customFormat="false" ht="12.8" hidden="false" customHeight="false" outlineLevel="0" collapsed="false"/>
    <row r="1034327" customFormat="false" ht="12.8" hidden="false" customHeight="false" outlineLevel="0" collapsed="false"/>
    <row r="1034328" customFormat="false" ht="12.8" hidden="false" customHeight="false" outlineLevel="0" collapsed="false"/>
    <row r="1034329" customFormat="false" ht="12.8" hidden="false" customHeight="false" outlineLevel="0" collapsed="false"/>
    <row r="1034330" customFormat="false" ht="12.8" hidden="false" customHeight="false" outlineLevel="0" collapsed="false"/>
    <row r="1034331" customFormat="false" ht="12.8" hidden="false" customHeight="false" outlineLevel="0" collapsed="false"/>
    <row r="1034332" customFormat="false" ht="12.8" hidden="false" customHeight="false" outlineLevel="0" collapsed="false"/>
    <row r="1034333" customFormat="false" ht="12.8" hidden="false" customHeight="false" outlineLevel="0" collapsed="false"/>
    <row r="1034334" customFormat="false" ht="12.8" hidden="false" customHeight="false" outlineLevel="0" collapsed="false"/>
    <row r="1034335" customFormat="false" ht="12.8" hidden="false" customHeight="false" outlineLevel="0" collapsed="false"/>
    <row r="1034336" customFormat="false" ht="12.8" hidden="false" customHeight="false" outlineLevel="0" collapsed="false"/>
    <row r="1034337" customFormat="false" ht="12.8" hidden="false" customHeight="false" outlineLevel="0" collapsed="false"/>
    <row r="1034338" customFormat="false" ht="12.8" hidden="false" customHeight="false" outlineLevel="0" collapsed="false"/>
    <row r="1034339" customFormat="false" ht="12.8" hidden="false" customHeight="false" outlineLevel="0" collapsed="false"/>
    <row r="1034340" customFormat="false" ht="12.8" hidden="false" customHeight="false" outlineLevel="0" collapsed="false"/>
    <row r="1034341" customFormat="false" ht="12.8" hidden="false" customHeight="false" outlineLevel="0" collapsed="false"/>
    <row r="1034342" customFormat="false" ht="12.8" hidden="false" customHeight="false" outlineLevel="0" collapsed="false"/>
    <row r="1034343" customFormat="false" ht="12.8" hidden="false" customHeight="false" outlineLevel="0" collapsed="false"/>
    <row r="1034344" customFormat="false" ht="12.8" hidden="false" customHeight="false" outlineLevel="0" collapsed="false"/>
    <row r="1034345" customFormat="false" ht="12.8" hidden="false" customHeight="false" outlineLevel="0" collapsed="false"/>
    <row r="1034346" customFormat="false" ht="12.8" hidden="false" customHeight="false" outlineLevel="0" collapsed="false"/>
    <row r="1034347" customFormat="false" ht="12.8" hidden="false" customHeight="false" outlineLevel="0" collapsed="false"/>
    <row r="1034348" customFormat="false" ht="12.8" hidden="false" customHeight="false" outlineLevel="0" collapsed="false"/>
    <row r="1034349" customFormat="false" ht="12.8" hidden="false" customHeight="false" outlineLevel="0" collapsed="false"/>
    <row r="1034350" customFormat="false" ht="12.8" hidden="false" customHeight="false" outlineLevel="0" collapsed="false"/>
    <row r="1034351" customFormat="false" ht="12.8" hidden="false" customHeight="false" outlineLevel="0" collapsed="false"/>
    <row r="1034352" customFormat="false" ht="12.8" hidden="false" customHeight="false" outlineLevel="0" collapsed="false"/>
    <row r="1034353" customFormat="false" ht="12.8" hidden="false" customHeight="false" outlineLevel="0" collapsed="false"/>
    <row r="1034354" customFormat="false" ht="12.8" hidden="false" customHeight="false" outlineLevel="0" collapsed="false"/>
    <row r="1034355" customFormat="false" ht="12.8" hidden="false" customHeight="false" outlineLevel="0" collapsed="false"/>
    <row r="1034356" customFormat="false" ht="12.8" hidden="false" customHeight="false" outlineLevel="0" collapsed="false"/>
    <row r="1034357" customFormat="false" ht="12.8" hidden="false" customHeight="false" outlineLevel="0" collapsed="false"/>
    <row r="1034358" customFormat="false" ht="12.8" hidden="false" customHeight="false" outlineLevel="0" collapsed="false"/>
    <row r="1034359" customFormat="false" ht="12.8" hidden="false" customHeight="false" outlineLevel="0" collapsed="false"/>
    <row r="1034360" customFormat="false" ht="12.8" hidden="false" customHeight="false" outlineLevel="0" collapsed="false"/>
    <row r="1034361" customFormat="false" ht="12.8" hidden="false" customHeight="false" outlineLevel="0" collapsed="false"/>
    <row r="1034362" customFormat="false" ht="12.8" hidden="false" customHeight="false" outlineLevel="0" collapsed="false"/>
    <row r="1034363" customFormat="false" ht="12.8" hidden="false" customHeight="false" outlineLevel="0" collapsed="false"/>
    <row r="1034364" customFormat="false" ht="12.8" hidden="false" customHeight="false" outlineLevel="0" collapsed="false"/>
    <row r="1034365" customFormat="false" ht="12.8" hidden="false" customHeight="false" outlineLevel="0" collapsed="false"/>
    <row r="1034366" customFormat="false" ht="12.8" hidden="false" customHeight="false" outlineLevel="0" collapsed="false"/>
    <row r="1034367" customFormat="false" ht="12.8" hidden="false" customHeight="false" outlineLevel="0" collapsed="false"/>
    <row r="1034368" customFormat="false" ht="12.8" hidden="false" customHeight="false" outlineLevel="0" collapsed="false"/>
    <row r="1034369" customFormat="false" ht="12.8" hidden="false" customHeight="false" outlineLevel="0" collapsed="false"/>
    <row r="1034370" customFormat="false" ht="12.8" hidden="false" customHeight="false" outlineLevel="0" collapsed="false"/>
    <row r="1034371" customFormat="false" ht="12.8" hidden="false" customHeight="false" outlineLevel="0" collapsed="false"/>
    <row r="1034372" customFormat="false" ht="12.8" hidden="false" customHeight="false" outlineLevel="0" collapsed="false"/>
    <row r="1034373" customFormat="false" ht="12.8" hidden="false" customHeight="false" outlineLevel="0" collapsed="false"/>
    <row r="1034374" customFormat="false" ht="12.8" hidden="false" customHeight="false" outlineLevel="0" collapsed="false"/>
    <row r="1034375" customFormat="false" ht="12.8" hidden="false" customHeight="false" outlineLevel="0" collapsed="false"/>
    <row r="1034376" customFormat="false" ht="12.8" hidden="false" customHeight="false" outlineLevel="0" collapsed="false"/>
    <row r="1034377" customFormat="false" ht="12.8" hidden="false" customHeight="false" outlineLevel="0" collapsed="false"/>
    <row r="1034378" customFormat="false" ht="12.8" hidden="false" customHeight="false" outlineLevel="0" collapsed="false"/>
    <row r="1034379" customFormat="false" ht="12.8" hidden="false" customHeight="false" outlineLevel="0" collapsed="false"/>
    <row r="1034380" customFormat="false" ht="12.8" hidden="false" customHeight="false" outlineLevel="0" collapsed="false"/>
    <row r="1034381" customFormat="false" ht="12.8" hidden="false" customHeight="false" outlineLevel="0" collapsed="false"/>
    <row r="1034382" customFormat="false" ht="12.8" hidden="false" customHeight="false" outlineLevel="0" collapsed="false"/>
    <row r="1034383" customFormat="false" ht="12.8" hidden="false" customHeight="false" outlineLevel="0" collapsed="false"/>
    <row r="1034384" customFormat="false" ht="12.8" hidden="false" customHeight="false" outlineLevel="0" collapsed="false"/>
    <row r="1034385" customFormat="false" ht="12.8" hidden="false" customHeight="false" outlineLevel="0" collapsed="false"/>
    <row r="1034386" customFormat="false" ht="12.8" hidden="false" customHeight="false" outlineLevel="0" collapsed="false"/>
    <row r="1034387" customFormat="false" ht="12.8" hidden="false" customHeight="false" outlineLevel="0" collapsed="false"/>
    <row r="1034388" customFormat="false" ht="12.8" hidden="false" customHeight="false" outlineLevel="0" collapsed="false"/>
    <row r="1034389" customFormat="false" ht="12.8" hidden="false" customHeight="false" outlineLevel="0" collapsed="false"/>
    <row r="1034390" customFormat="false" ht="12.8" hidden="false" customHeight="false" outlineLevel="0" collapsed="false"/>
    <row r="1034391" customFormat="false" ht="12.8" hidden="false" customHeight="false" outlineLevel="0" collapsed="false"/>
    <row r="1034392" customFormat="false" ht="12.8" hidden="false" customHeight="false" outlineLevel="0" collapsed="false"/>
    <row r="1034393" customFormat="false" ht="12.8" hidden="false" customHeight="false" outlineLevel="0" collapsed="false"/>
    <row r="1034394" customFormat="false" ht="12.8" hidden="false" customHeight="false" outlineLevel="0" collapsed="false"/>
    <row r="1034395" customFormat="false" ht="12.8" hidden="false" customHeight="false" outlineLevel="0" collapsed="false"/>
    <row r="1034396" customFormat="false" ht="12.8" hidden="false" customHeight="false" outlineLevel="0" collapsed="false"/>
    <row r="1034397" customFormat="false" ht="12.8" hidden="false" customHeight="false" outlineLevel="0" collapsed="false"/>
    <row r="1034398" customFormat="false" ht="12.8" hidden="false" customHeight="false" outlineLevel="0" collapsed="false"/>
    <row r="1034399" customFormat="false" ht="12.8" hidden="false" customHeight="false" outlineLevel="0" collapsed="false"/>
    <row r="1034400" customFormat="false" ht="12.8" hidden="false" customHeight="false" outlineLevel="0" collapsed="false"/>
    <row r="1034401" customFormat="false" ht="12.8" hidden="false" customHeight="false" outlineLevel="0" collapsed="false"/>
    <row r="1034402" customFormat="false" ht="12.8" hidden="false" customHeight="false" outlineLevel="0" collapsed="false"/>
    <row r="1034403" customFormat="false" ht="12.8" hidden="false" customHeight="false" outlineLevel="0" collapsed="false"/>
    <row r="1034404" customFormat="false" ht="12.8" hidden="false" customHeight="false" outlineLevel="0" collapsed="false"/>
    <row r="1034405" customFormat="false" ht="12.8" hidden="false" customHeight="false" outlineLevel="0" collapsed="false"/>
    <row r="1034406" customFormat="false" ht="12.8" hidden="false" customHeight="false" outlineLevel="0" collapsed="false"/>
    <row r="1034407" customFormat="false" ht="12.8" hidden="false" customHeight="false" outlineLevel="0" collapsed="false"/>
    <row r="1034408" customFormat="false" ht="12.8" hidden="false" customHeight="false" outlineLevel="0" collapsed="false"/>
    <row r="1034409" customFormat="false" ht="12.8" hidden="false" customHeight="false" outlineLevel="0" collapsed="false"/>
    <row r="1034410" customFormat="false" ht="12.8" hidden="false" customHeight="false" outlineLevel="0" collapsed="false"/>
    <row r="1034411" customFormat="false" ht="12.8" hidden="false" customHeight="false" outlineLevel="0" collapsed="false"/>
    <row r="1034412" customFormat="false" ht="12.8" hidden="false" customHeight="false" outlineLevel="0" collapsed="false"/>
    <row r="1034413" customFormat="false" ht="12.8" hidden="false" customHeight="false" outlineLevel="0" collapsed="false"/>
    <row r="1034414" customFormat="false" ht="12.8" hidden="false" customHeight="false" outlineLevel="0" collapsed="false"/>
    <row r="1034415" customFormat="false" ht="12.8" hidden="false" customHeight="false" outlineLevel="0" collapsed="false"/>
    <row r="1034416" customFormat="false" ht="12.8" hidden="false" customHeight="false" outlineLevel="0" collapsed="false"/>
    <row r="1034417" customFormat="false" ht="12.8" hidden="false" customHeight="false" outlineLevel="0" collapsed="false"/>
    <row r="1034418" customFormat="false" ht="12.8" hidden="false" customHeight="false" outlineLevel="0" collapsed="false"/>
    <row r="1034419" customFormat="false" ht="12.8" hidden="false" customHeight="false" outlineLevel="0" collapsed="false"/>
    <row r="1034420" customFormat="false" ht="12.8" hidden="false" customHeight="false" outlineLevel="0" collapsed="false"/>
    <row r="1034421" customFormat="false" ht="12.8" hidden="false" customHeight="false" outlineLevel="0" collapsed="false"/>
    <row r="1034422" customFormat="false" ht="12.8" hidden="false" customHeight="false" outlineLevel="0" collapsed="false"/>
    <row r="1034423" customFormat="false" ht="12.8" hidden="false" customHeight="false" outlineLevel="0" collapsed="false"/>
    <row r="1034424" customFormat="false" ht="12.8" hidden="false" customHeight="false" outlineLevel="0" collapsed="false"/>
    <row r="1034425" customFormat="false" ht="12.8" hidden="false" customHeight="false" outlineLevel="0" collapsed="false"/>
    <row r="1034426" customFormat="false" ht="12.8" hidden="false" customHeight="false" outlineLevel="0" collapsed="false"/>
    <row r="1034427" customFormat="false" ht="12.8" hidden="false" customHeight="false" outlineLevel="0" collapsed="false"/>
    <row r="1034428" customFormat="false" ht="12.8" hidden="false" customHeight="false" outlineLevel="0" collapsed="false"/>
    <row r="1034429" customFormat="false" ht="12.8" hidden="false" customHeight="false" outlineLevel="0" collapsed="false"/>
    <row r="1034430" customFormat="false" ht="12.8" hidden="false" customHeight="false" outlineLevel="0" collapsed="false"/>
    <row r="1034431" customFormat="false" ht="12.8" hidden="false" customHeight="false" outlineLevel="0" collapsed="false"/>
    <row r="1034432" customFormat="false" ht="12.8" hidden="false" customHeight="false" outlineLevel="0" collapsed="false"/>
    <row r="1034433" customFormat="false" ht="12.8" hidden="false" customHeight="false" outlineLevel="0" collapsed="false"/>
    <row r="1034434" customFormat="false" ht="12.8" hidden="false" customHeight="false" outlineLevel="0" collapsed="false"/>
    <row r="1034435" customFormat="false" ht="12.8" hidden="false" customHeight="false" outlineLevel="0" collapsed="false"/>
    <row r="1034436" customFormat="false" ht="12.8" hidden="false" customHeight="false" outlineLevel="0" collapsed="false"/>
    <row r="1034437" customFormat="false" ht="12.8" hidden="false" customHeight="false" outlineLevel="0" collapsed="false"/>
    <row r="1034438" customFormat="false" ht="12.8" hidden="false" customHeight="false" outlineLevel="0" collapsed="false"/>
    <row r="1034439" customFormat="false" ht="12.8" hidden="false" customHeight="false" outlineLevel="0" collapsed="false"/>
    <row r="1034440" customFormat="false" ht="12.8" hidden="false" customHeight="false" outlineLevel="0" collapsed="false"/>
    <row r="1034441" customFormat="false" ht="12.8" hidden="false" customHeight="false" outlineLevel="0" collapsed="false"/>
    <row r="1034442" customFormat="false" ht="12.8" hidden="false" customHeight="false" outlineLevel="0" collapsed="false"/>
    <row r="1034443" customFormat="false" ht="12.8" hidden="false" customHeight="false" outlineLevel="0" collapsed="false"/>
    <row r="1034444" customFormat="false" ht="12.8" hidden="false" customHeight="false" outlineLevel="0" collapsed="false"/>
    <row r="1034445" customFormat="false" ht="12.8" hidden="false" customHeight="false" outlineLevel="0" collapsed="false"/>
    <row r="1034446" customFormat="false" ht="12.8" hidden="false" customHeight="false" outlineLevel="0" collapsed="false"/>
    <row r="1034447" customFormat="false" ht="12.8" hidden="false" customHeight="false" outlineLevel="0" collapsed="false"/>
    <row r="1034448" customFormat="false" ht="12.8" hidden="false" customHeight="false" outlineLevel="0" collapsed="false"/>
    <row r="1034449" customFormat="false" ht="12.8" hidden="false" customHeight="false" outlineLevel="0" collapsed="false"/>
    <row r="1034450" customFormat="false" ht="12.8" hidden="false" customHeight="false" outlineLevel="0" collapsed="false"/>
    <row r="1034451" customFormat="false" ht="12.8" hidden="false" customHeight="false" outlineLevel="0" collapsed="false"/>
    <row r="1034452" customFormat="false" ht="12.8" hidden="false" customHeight="false" outlineLevel="0" collapsed="false"/>
    <row r="1034453" customFormat="false" ht="12.8" hidden="false" customHeight="false" outlineLevel="0" collapsed="false"/>
    <row r="1034454" customFormat="false" ht="12.8" hidden="false" customHeight="false" outlineLevel="0" collapsed="false"/>
    <row r="1034455" customFormat="false" ht="12.8" hidden="false" customHeight="false" outlineLevel="0" collapsed="false"/>
    <row r="1034456" customFormat="false" ht="12.8" hidden="false" customHeight="false" outlineLevel="0" collapsed="false"/>
    <row r="1034457" customFormat="false" ht="12.8" hidden="false" customHeight="false" outlineLevel="0" collapsed="false"/>
    <row r="1034458" customFormat="false" ht="12.8" hidden="false" customHeight="false" outlineLevel="0" collapsed="false"/>
    <row r="1034459" customFormat="false" ht="12.8" hidden="false" customHeight="false" outlineLevel="0" collapsed="false"/>
    <row r="1034460" customFormat="false" ht="12.8" hidden="false" customHeight="false" outlineLevel="0" collapsed="false"/>
    <row r="1034461" customFormat="false" ht="12.8" hidden="false" customHeight="false" outlineLevel="0" collapsed="false"/>
    <row r="1034462" customFormat="false" ht="12.8" hidden="false" customHeight="false" outlineLevel="0" collapsed="false"/>
    <row r="1034463" customFormat="false" ht="12.8" hidden="false" customHeight="false" outlineLevel="0" collapsed="false"/>
    <row r="1034464" customFormat="false" ht="12.8" hidden="false" customHeight="false" outlineLevel="0" collapsed="false"/>
    <row r="1034465" customFormat="false" ht="12.8" hidden="false" customHeight="false" outlineLevel="0" collapsed="false"/>
    <row r="1034466" customFormat="false" ht="12.8" hidden="false" customHeight="false" outlineLevel="0" collapsed="false"/>
    <row r="1034467" customFormat="false" ht="12.8" hidden="false" customHeight="false" outlineLevel="0" collapsed="false"/>
    <row r="1034468" customFormat="false" ht="12.8" hidden="false" customHeight="false" outlineLevel="0" collapsed="false"/>
    <row r="1034469" customFormat="false" ht="12.8" hidden="false" customHeight="false" outlineLevel="0" collapsed="false"/>
    <row r="1034470" customFormat="false" ht="12.8" hidden="false" customHeight="false" outlineLevel="0" collapsed="false"/>
    <row r="1034471" customFormat="false" ht="12.8" hidden="false" customHeight="false" outlineLevel="0" collapsed="false"/>
    <row r="1034472" customFormat="false" ht="12.8" hidden="false" customHeight="false" outlineLevel="0" collapsed="false"/>
    <row r="1034473" customFormat="false" ht="12.8" hidden="false" customHeight="false" outlineLevel="0" collapsed="false"/>
    <row r="1034474" customFormat="false" ht="12.8" hidden="false" customHeight="false" outlineLevel="0" collapsed="false"/>
    <row r="1034475" customFormat="false" ht="12.8" hidden="false" customHeight="false" outlineLevel="0" collapsed="false"/>
    <row r="1034476" customFormat="false" ht="12.8" hidden="false" customHeight="false" outlineLevel="0" collapsed="false"/>
    <row r="1034477" customFormat="false" ht="12.8" hidden="false" customHeight="false" outlineLevel="0" collapsed="false"/>
    <row r="1034478" customFormat="false" ht="12.8" hidden="false" customHeight="false" outlineLevel="0" collapsed="false"/>
    <row r="1034479" customFormat="false" ht="12.8" hidden="false" customHeight="false" outlineLevel="0" collapsed="false"/>
    <row r="1034480" customFormat="false" ht="12.8" hidden="false" customHeight="false" outlineLevel="0" collapsed="false"/>
    <row r="1034481" customFormat="false" ht="12.8" hidden="false" customHeight="false" outlineLevel="0" collapsed="false"/>
    <row r="1034482" customFormat="false" ht="12.8" hidden="false" customHeight="false" outlineLevel="0" collapsed="false"/>
    <row r="1034483" customFormat="false" ht="12.8" hidden="false" customHeight="false" outlineLevel="0" collapsed="false"/>
    <row r="1034484" customFormat="false" ht="12.8" hidden="false" customHeight="false" outlineLevel="0" collapsed="false"/>
    <row r="1034485" customFormat="false" ht="12.8" hidden="false" customHeight="false" outlineLevel="0" collapsed="false"/>
    <row r="1034486" customFormat="false" ht="12.8" hidden="false" customHeight="false" outlineLevel="0" collapsed="false"/>
    <row r="1034487" customFormat="false" ht="12.8" hidden="false" customHeight="false" outlineLevel="0" collapsed="false"/>
    <row r="1034488" customFormat="false" ht="12.8" hidden="false" customHeight="false" outlineLevel="0" collapsed="false"/>
    <row r="1034489" customFormat="false" ht="12.8" hidden="false" customHeight="false" outlineLevel="0" collapsed="false"/>
    <row r="1034490" customFormat="false" ht="12.8" hidden="false" customHeight="false" outlineLevel="0" collapsed="false"/>
    <row r="1034491" customFormat="false" ht="12.8" hidden="false" customHeight="false" outlineLevel="0" collapsed="false"/>
    <row r="1034492" customFormat="false" ht="12.8" hidden="false" customHeight="false" outlineLevel="0" collapsed="false"/>
    <row r="1034493" customFormat="false" ht="12.8" hidden="false" customHeight="false" outlineLevel="0" collapsed="false"/>
    <row r="1034494" customFormat="false" ht="12.8" hidden="false" customHeight="false" outlineLevel="0" collapsed="false"/>
    <row r="1034495" customFormat="false" ht="12.8" hidden="false" customHeight="false" outlineLevel="0" collapsed="false"/>
    <row r="1034496" customFormat="false" ht="12.8" hidden="false" customHeight="false" outlineLevel="0" collapsed="false"/>
    <row r="1034497" customFormat="false" ht="12.8" hidden="false" customHeight="false" outlineLevel="0" collapsed="false"/>
    <row r="1034498" customFormat="false" ht="12.8" hidden="false" customHeight="false" outlineLevel="0" collapsed="false"/>
    <row r="1034499" customFormat="false" ht="12.8" hidden="false" customHeight="false" outlineLevel="0" collapsed="false"/>
    <row r="1034500" customFormat="false" ht="12.8" hidden="false" customHeight="false" outlineLevel="0" collapsed="false"/>
    <row r="1034501" customFormat="false" ht="12.8" hidden="false" customHeight="false" outlineLevel="0" collapsed="false"/>
    <row r="1034502" customFormat="false" ht="12.8" hidden="false" customHeight="false" outlineLevel="0" collapsed="false"/>
    <row r="1034503" customFormat="false" ht="12.8" hidden="false" customHeight="false" outlineLevel="0" collapsed="false"/>
    <row r="1034504" customFormat="false" ht="12.8" hidden="false" customHeight="false" outlineLevel="0" collapsed="false"/>
    <row r="1034505" customFormat="false" ht="12.8" hidden="false" customHeight="false" outlineLevel="0" collapsed="false"/>
    <row r="1034506" customFormat="false" ht="12.8" hidden="false" customHeight="false" outlineLevel="0" collapsed="false"/>
    <row r="1034507" customFormat="false" ht="12.8" hidden="false" customHeight="false" outlineLevel="0" collapsed="false"/>
    <row r="1034508" customFormat="false" ht="12.8" hidden="false" customHeight="false" outlineLevel="0" collapsed="false"/>
    <row r="1034509" customFormat="false" ht="12.8" hidden="false" customHeight="false" outlineLevel="0" collapsed="false"/>
    <row r="1034510" customFormat="false" ht="12.8" hidden="false" customHeight="false" outlineLevel="0" collapsed="false"/>
    <row r="1034511" customFormat="false" ht="12.8" hidden="false" customHeight="false" outlineLevel="0" collapsed="false"/>
    <row r="1034512" customFormat="false" ht="12.8" hidden="false" customHeight="false" outlineLevel="0" collapsed="false"/>
    <row r="1034513" customFormat="false" ht="12.8" hidden="false" customHeight="false" outlineLevel="0" collapsed="false"/>
    <row r="1034514" customFormat="false" ht="12.8" hidden="false" customHeight="false" outlineLevel="0" collapsed="false"/>
    <row r="1034515" customFormat="false" ht="12.8" hidden="false" customHeight="false" outlineLevel="0" collapsed="false"/>
    <row r="1034516" customFormat="false" ht="12.8" hidden="false" customHeight="false" outlineLevel="0" collapsed="false"/>
    <row r="1034517" customFormat="false" ht="12.8" hidden="false" customHeight="false" outlineLevel="0" collapsed="false"/>
    <row r="1034518" customFormat="false" ht="12.8" hidden="false" customHeight="false" outlineLevel="0" collapsed="false"/>
    <row r="1034519" customFormat="false" ht="12.8" hidden="false" customHeight="false" outlineLevel="0" collapsed="false"/>
    <row r="1034520" customFormat="false" ht="12.8" hidden="false" customHeight="false" outlineLevel="0" collapsed="false"/>
    <row r="1034521" customFormat="false" ht="12.8" hidden="false" customHeight="false" outlineLevel="0" collapsed="false"/>
    <row r="1034522" customFormat="false" ht="12.8" hidden="false" customHeight="false" outlineLevel="0" collapsed="false"/>
    <row r="1034523" customFormat="false" ht="12.8" hidden="false" customHeight="false" outlineLevel="0" collapsed="false"/>
    <row r="1034524" customFormat="false" ht="12.8" hidden="false" customHeight="false" outlineLevel="0" collapsed="false"/>
    <row r="1034525" customFormat="false" ht="12.8" hidden="false" customHeight="false" outlineLevel="0" collapsed="false"/>
    <row r="1034526" customFormat="false" ht="12.8" hidden="false" customHeight="false" outlineLevel="0" collapsed="false"/>
    <row r="1034527" customFormat="false" ht="12.8" hidden="false" customHeight="false" outlineLevel="0" collapsed="false"/>
    <row r="1034528" customFormat="false" ht="12.8" hidden="false" customHeight="false" outlineLevel="0" collapsed="false"/>
    <row r="1034529" customFormat="false" ht="12.8" hidden="false" customHeight="false" outlineLevel="0" collapsed="false"/>
    <row r="1034530" customFormat="false" ht="12.8" hidden="false" customHeight="false" outlineLevel="0" collapsed="false"/>
    <row r="1034531" customFormat="false" ht="12.8" hidden="false" customHeight="false" outlineLevel="0" collapsed="false"/>
    <row r="1034532" customFormat="false" ht="12.8" hidden="false" customHeight="false" outlineLevel="0" collapsed="false"/>
    <row r="1034533" customFormat="false" ht="12.8" hidden="false" customHeight="false" outlineLevel="0" collapsed="false"/>
    <row r="1034534" customFormat="false" ht="12.8" hidden="false" customHeight="false" outlineLevel="0" collapsed="false"/>
    <row r="1034535" customFormat="false" ht="12.8" hidden="false" customHeight="false" outlineLevel="0" collapsed="false"/>
    <row r="1034536" customFormat="false" ht="12.8" hidden="false" customHeight="false" outlineLevel="0" collapsed="false"/>
    <row r="1034537" customFormat="false" ht="12.8" hidden="false" customHeight="false" outlineLevel="0" collapsed="false"/>
    <row r="1034538" customFormat="false" ht="12.8" hidden="false" customHeight="false" outlineLevel="0" collapsed="false"/>
    <row r="1034539" customFormat="false" ht="12.8" hidden="false" customHeight="false" outlineLevel="0" collapsed="false"/>
    <row r="1034540" customFormat="false" ht="12.8" hidden="false" customHeight="false" outlineLevel="0" collapsed="false"/>
    <row r="1034541" customFormat="false" ht="12.8" hidden="false" customHeight="false" outlineLevel="0" collapsed="false"/>
    <row r="1034542" customFormat="false" ht="12.8" hidden="false" customHeight="false" outlineLevel="0" collapsed="false"/>
    <row r="1034543" customFormat="false" ht="12.8" hidden="false" customHeight="false" outlineLevel="0" collapsed="false"/>
    <row r="1034544" customFormat="false" ht="12.8" hidden="false" customHeight="false" outlineLevel="0" collapsed="false"/>
    <row r="1034545" customFormat="false" ht="12.8" hidden="false" customHeight="false" outlineLevel="0" collapsed="false"/>
    <row r="1034546" customFormat="false" ht="12.8" hidden="false" customHeight="false" outlineLevel="0" collapsed="false"/>
    <row r="1034547" customFormat="false" ht="12.8" hidden="false" customHeight="false" outlineLevel="0" collapsed="false"/>
    <row r="1034548" customFormat="false" ht="12.8" hidden="false" customHeight="false" outlineLevel="0" collapsed="false"/>
    <row r="1034549" customFormat="false" ht="12.8" hidden="false" customHeight="false" outlineLevel="0" collapsed="false"/>
    <row r="1034550" customFormat="false" ht="12.8" hidden="false" customHeight="false" outlineLevel="0" collapsed="false"/>
    <row r="1034551" customFormat="false" ht="12.8" hidden="false" customHeight="false" outlineLevel="0" collapsed="false"/>
    <row r="1034552" customFormat="false" ht="12.8" hidden="false" customHeight="false" outlineLevel="0" collapsed="false"/>
    <row r="1034553" customFormat="false" ht="12.8" hidden="false" customHeight="false" outlineLevel="0" collapsed="false"/>
    <row r="1034554" customFormat="false" ht="12.8" hidden="false" customHeight="false" outlineLevel="0" collapsed="false"/>
    <row r="1034555" customFormat="false" ht="12.8" hidden="false" customHeight="false" outlineLevel="0" collapsed="false"/>
    <row r="1034556" customFormat="false" ht="12.8" hidden="false" customHeight="false" outlineLevel="0" collapsed="false"/>
    <row r="1034557" customFormat="false" ht="12.8" hidden="false" customHeight="false" outlineLevel="0" collapsed="false"/>
    <row r="1034558" customFormat="false" ht="12.8" hidden="false" customHeight="false" outlineLevel="0" collapsed="false"/>
    <row r="1034559" customFormat="false" ht="12.8" hidden="false" customHeight="false" outlineLevel="0" collapsed="false"/>
    <row r="1034560" customFormat="false" ht="12.8" hidden="false" customHeight="false" outlineLevel="0" collapsed="false"/>
    <row r="1034561" customFormat="false" ht="12.8" hidden="false" customHeight="false" outlineLevel="0" collapsed="false"/>
    <row r="1034562" customFormat="false" ht="12.8" hidden="false" customHeight="false" outlineLevel="0" collapsed="false"/>
    <row r="1034563" customFormat="false" ht="12.8" hidden="false" customHeight="false" outlineLevel="0" collapsed="false"/>
    <row r="1034564" customFormat="false" ht="12.8" hidden="false" customHeight="false" outlineLevel="0" collapsed="false"/>
    <row r="1034565" customFormat="false" ht="12.8" hidden="false" customHeight="false" outlineLevel="0" collapsed="false"/>
    <row r="1034566" customFormat="false" ht="12.8" hidden="false" customHeight="false" outlineLevel="0" collapsed="false"/>
    <row r="1034567" customFormat="false" ht="12.8" hidden="false" customHeight="false" outlineLevel="0" collapsed="false"/>
    <row r="1034568" customFormat="false" ht="12.8" hidden="false" customHeight="false" outlineLevel="0" collapsed="false"/>
    <row r="1034569" customFormat="false" ht="12.8" hidden="false" customHeight="false" outlineLevel="0" collapsed="false"/>
    <row r="1034570" customFormat="false" ht="12.8" hidden="false" customHeight="false" outlineLevel="0" collapsed="false"/>
    <row r="1034571" customFormat="false" ht="12.8" hidden="false" customHeight="false" outlineLevel="0" collapsed="false"/>
    <row r="1034572" customFormat="false" ht="12.8" hidden="false" customHeight="false" outlineLevel="0" collapsed="false"/>
    <row r="1034573" customFormat="false" ht="12.8" hidden="false" customHeight="false" outlineLevel="0" collapsed="false"/>
    <row r="1034574" customFormat="false" ht="12.8" hidden="false" customHeight="false" outlineLevel="0" collapsed="false"/>
    <row r="1034575" customFormat="false" ht="12.8" hidden="false" customHeight="false" outlineLevel="0" collapsed="false"/>
    <row r="1034576" customFormat="false" ht="12.8" hidden="false" customHeight="false" outlineLevel="0" collapsed="false"/>
    <row r="1034577" customFormat="false" ht="12.8" hidden="false" customHeight="false" outlineLevel="0" collapsed="false"/>
    <row r="1034578" customFormat="false" ht="12.8" hidden="false" customHeight="false" outlineLevel="0" collapsed="false"/>
    <row r="1034579" customFormat="false" ht="12.8" hidden="false" customHeight="false" outlineLevel="0" collapsed="false"/>
    <row r="1034580" customFormat="false" ht="12.8" hidden="false" customHeight="false" outlineLevel="0" collapsed="false"/>
    <row r="1034581" customFormat="false" ht="12.8" hidden="false" customHeight="false" outlineLevel="0" collapsed="false"/>
    <row r="1034582" customFormat="false" ht="12.8" hidden="false" customHeight="false" outlineLevel="0" collapsed="false"/>
    <row r="1034583" customFormat="false" ht="12.8" hidden="false" customHeight="false" outlineLevel="0" collapsed="false"/>
    <row r="1034584" customFormat="false" ht="12.8" hidden="false" customHeight="false" outlineLevel="0" collapsed="false"/>
    <row r="1034585" customFormat="false" ht="12.8" hidden="false" customHeight="false" outlineLevel="0" collapsed="false"/>
    <row r="1034586" customFormat="false" ht="12.8" hidden="false" customHeight="false" outlineLevel="0" collapsed="false"/>
    <row r="1034587" customFormat="false" ht="12.8" hidden="false" customHeight="false" outlineLevel="0" collapsed="false"/>
    <row r="1034588" customFormat="false" ht="12.8" hidden="false" customHeight="false" outlineLevel="0" collapsed="false"/>
    <row r="1034589" customFormat="false" ht="12.8" hidden="false" customHeight="false" outlineLevel="0" collapsed="false"/>
    <row r="1034590" customFormat="false" ht="12.8" hidden="false" customHeight="false" outlineLevel="0" collapsed="false"/>
    <row r="1034591" customFormat="false" ht="12.8" hidden="false" customHeight="false" outlineLevel="0" collapsed="false"/>
    <row r="1034592" customFormat="false" ht="12.8" hidden="false" customHeight="false" outlineLevel="0" collapsed="false"/>
    <row r="1034593" customFormat="false" ht="12.8" hidden="false" customHeight="false" outlineLevel="0" collapsed="false"/>
    <row r="1034594" customFormat="false" ht="12.8" hidden="false" customHeight="false" outlineLevel="0" collapsed="false"/>
    <row r="1034595" customFormat="false" ht="12.8" hidden="false" customHeight="false" outlineLevel="0" collapsed="false"/>
    <row r="1034596" customFormat="false" ht="12.8" hidden="false" customHeight="false" outlineLevel="0" collapsed="false"/>
    <row r="1034597" customFormat="false" ht="12.8" hidden="false" customHeight="false" outlineLevel="0" collapsed="false"/>
    <row r="1034598" customFormat="false" ht="12.8" hidden="false" customHeight="false" outlineLevel="0" collapsed="false"/>
    <row r="1034599" customFormat="false" ht="12.8" hidden="false" customHeight="false" outlineLevel="0" collapsed="false"/>
    <row r="1034600" customFormat="false" ht="12.8" hidden="false" customHeight="false" outlineLevel="0" collapsed="false"/>
    <row r="1034601" customFormat="false" ht="12.8" hidden="false" customHeight="false" outlineLevel="0" collapsed="false"/>
    <row r="1034602" customFormat="false" ht="12.8" hidden="false" customHeight="false" outlineLevel="0" collapsed="false"/>
    <row r="1034603" customFormat="false" ht="12.8" hidden="false" customHeight="false" outlineLevel="0" collapsed="false"/>
    <row r="1034604" customFormat="false" ht="12.8" hidden="false" customHeight="false" outlineLevel="0" collapsed="false"/>
    <row r="1034605" customFormat="false" ht="12.8" hidden="false" customHeight="false" outlineLevel="0" collapsed="false"/>
    <row r="1034606" customFormat="false" ht="12.8" hidden="false" customHeight="false" outlineLevel="0" collapsed="false"/>
    <row r="1034607" customFormat="false" ht="12.8" hidden="false" customHeight="false" outlineLevel="0" collapsed="false"/>
    <row r="1034608" customFormat="false" ht="12.8" hidden="false" customHeight="false" outlineLevel="0" collapsed="false"/>
    <row r="1034609" customFormat="false" ht="12.8" hidden="false" customHeight="false" outlineLevel="0" collapsed="false"/>
    <row r="1034610" customFormat="false" ht="12.8" hidden="false" customHeight="false" outlineLevel="0" collapsed="false"/>
    <row r="1034611" customFormat="false" ht="12.8" hidden="false" customHeight="false" outlineLevel="0" collapsed="false"/>
    <row r="1034612" customFormat="false" ht="12.8" hidden="false" customHeight="false" outlineLevel="0" collapsed="false"/>
    <row r="1034613" customFormat="false" ht="12.8" hidden="false" customHeight="false" outlineLevel="0" collapsed="false"/>
    <row r="1034614" customFormat="false" ht="12.8" hidden="false" customHeight="false" outlineLevel="0" collapsed="false"/>
    <row r="1034615" customFormat="false" ht="12.8" hidden="false" customHeight="false" outlineLevel="0" collapsed="false"/>
    <row r="1034616" customFormat="false" ht="12.8" hidden="false" customHeight="false" outlineLevel="0" collapsed="false"/>
    <row r="1034617" customFormat="false" ht="12.8" hidden="false" customHeight="false" outlineLevel="0" collapsed="false"/>
    <row r="1034618" customFormat="false" ht="12.8" hidden="false" customHeight="false" outlineLevel="0" collapsed="false"/>
    <row r="1034619" customFormat="false" ht="12.8" hidden="false" customHeight="false" outlineLevel="0" collapsed="false"/>
    <row r="1034620" customFormat="false" ht="12.8" hidden="false" customHeight="false" outlineLevel="0" collapsed="false"/>
    <row r="1034621" customFormat="false" ht="12.8" hidden="false" customHeight="false" outlineLevel="0" collapsed="false"/>
    <row r="1034622" customFormat="false" ht="12.8" hidden="false" customHeight="false" outlineLevel="0" collapsed="false"/>
    <row r="1034623" customFormat="false" ht="12.8" hidden="false" customHeight="false" outlineLevel="0" collapsed="false"/>
    <row r="1034624" customFormat="false" ht="12.8" hidden="false" customHeight="false" outlineLevel="0" collapsed="false"/>
    <row r="1034625" customFormat="false" ht="12.8" hidden="false" customHeight="false" outlineLevel="0" collapsed="false"/>
    <row r="1034626" customFormat="false" ht="12.8" hidden="false" customHeight="false" outlineLevel="0" collapsed="false"/>
    <row r="1034627" customFormat="false" ht="12.8" hidden="false" customHeight="false" outlineLevel="0" collapsed="false"/>
    <row r="1034628" customFormat="false" ht="12.8" hidden="false" customHeight="false" outlineLevel="0" collapsed="false"/>
    <row r="1034629" customFormat="false" ht="12.8" hidden="false" customHeight="false" outlineLevel="0" collapsed="false"/>
    <row r="1034630" customFormat="false" ht="12.8" hidden="false" customHeight="false" outlineLevel="0" collapsed="false"/>
    <row r="1034631" customFormat="false" ht="12.8" hidden="false" customHeight="false" outlineLevel="0" collapsed="false"/>
    <row r="1034632" customFormat="false" ht="12.8" hidden="false" customHeight="false" outlineLevel="0" collapsed="false"/>
    <row r="1034633" customFormat="false" ht="12.8" hidden="false" customHeight="false" outlineLevel="0" collapsed="false"/>
    <row r="1034634" customFormat="false" ht="12.8" hidden="false" customHeight="false" outlineLevel="0" collapsed="false"/>
    <row r="1034635" customFormat="false" ht="12.8" hidden="false" customHeight="false" outlineLevel="0" collapsed="false"/>
    <row r="1034636" customFormat="false" ht="12.8" hidden="false" customHeight="false" outlineLevel="0" collapsed="false"/>
    <row r="1034637" customFormat="false" ht="12.8" hidden="false" customHeight="false" outlineLevel="0" collapsed="false"/>
    <row r="1034638" customFormat="false" ht="12.8" hidden="false" customHeight="false" outlineLevel="0" collapsed="false"/>
    <row r="1034639" customFormat="false" ht="12.8" hidden="false" customHeight="false" outlineLevel="0" collapsed="false"/>
    <row r="1034640" customFormat="false" ht="12.8" hidden="false" customHeight="false" outlineLevel="0" collapsed="false"/>
    <row r="1034641" customFormat="false" ht="12.8" hidden="false" customHeight="false" outlineLevel="0" collapsed="false"/>
    <row r="1034642" customFormat="false" ht="12.8" hidden="false" customHeight="false" outlineLevel="0" collapsed="false"/>
    <row r="1034643" customFormat="false" ht="12.8" hidden="false" customHeight="false" outlineLevel="0" collapsed="false"/>
    <row r="1034644" customFormat="false" ht="12.8" hidden="false" customHeight="false" outlineLevel="0" collapsed="false"/>
    <row r="1034645" customFormat="false" ht="12.8" hidden="false" customHeight="false" outlineLevel="0" collapsed="false"/>
    <row r="1034646" customFormat="false" ht="12.8" hidden="false" customHeight="false" outlineLevel="0" collapsed="false"/>
    <row r="1034647" customFormat="false" ht="12.8" hidden="false" customHeight="false" outlineLevel="0" collapsed="false"/>
    <row r="1034648" customFormat="false" ht="12.8" hidden="false" customHeight="false" outlineLevel="0" collapsed="false"/>
    <row r="1034649" customFormat="false" ht="12.8" hidden="false" customHeight="false" outlineLevel="0" collapsed="false"/>
    <row r="1034650" customFormat="false" ht="12.8" hidden="false" customHeight="false" outlineLevel="0" collapsed="false"/>
    <row r="1034651" customFormat="false" ht="12.8" hidden="false" customHeight="false" outlineLevel="0" collapsed="false"/>
    <row r="1034652" customFormat="false" ht="12.8" hidden="false" customHeight="false" outlineLevel="0" collapsed="false"/>
    <row r="1034653" customFormat="false" ht="12.8" hidden="false" customHeight="false" outlineLevel="0" collapsed="false"/>
    <row r="1034654" customFormat="false" ht="12.8" hidden="false" customHeight="false" outlineLevel="0" collapsed="false"/>
    <row r="1034655" customFormat="false" ht="12.8" hidden="false" customHeight="false" outlineLevel="0" collapsed="false"/>
    <row r="1034656" customFormat="false" ht="12.8" hidden="false" customHeight="false" outlineLevel="0" collapsed="false"/>
    <row r="1034657" customFormat="false" ht="12.8" hidden="false" customHeight="false" outlineLevel="0" collapsed="false"/>
    <row r="1034658" customFormat="false" ht="12.8" hidden="false" customHeight="false" outlineLevel="0" collapsed="false"/>
    <row r="1034659" customFormat="false" ht="12.8" hidden="false" customHeight="false" outlineLevel="0" collapsed="false"/>
    <row r="1034660" customFormat="false" ht="12.8" hidden="false" customHeight="false" outlineLevel="0" collapsed="false"/>
    <row r="1034661" customFormat="false" ht="12.8" hidden="false" customHeight="false" outlineLevel="0" collapsed="false"/>
    <row r="1034662" customFormat="false" ht="12.8" hidden="false" customHeight="false" outlineLevel="0" collapsed="false"/>
    <row r="1034663" customFormat="false" ht="12.8" hidden="false" customHeight="false" outlineLevel="0" collapsed="false"/>
    <row r="1034664" customFormat="false" ht="12.8" hidden="false" customHeight="false" outlineLevel="0" collapsed="false"/>
    <row r="1034665" customFormat="false" ht="12.8" hidden="false" customHeight="false" outlineLevel="0" collapsed="false"/>
    <row r="1034666" customFormat="false" ht="12.8" hidden="false" customHeight="false" outlineLevel="0" collapsed="false"/>
    <row r="1034667" customFormat="false" ht="12.8" hidden="false" customHeight="false" outlineLevel="0" collapsed="false"/>
    <row r="1034668" customFormat="false" ht="12.8" hidden="false" customHeight="false" outlineLevel="0" collapsed="false"/>
    <row r="1034669" customFormat="false" ht="12.8" hidden="false" customHeight="false" outlineLevel="0" collapsed="false"/>
    <row r="1034670" customFormat="false" ht="12.8" hidden="false" customHeight="false" outlineLevel="0" collapsed="false"/>
    <row r="1034671" customFormat="false" ht="12.8" hidden="false" customHeight="false" outlineLevel="0" collapsed="false"/>
    <row r="1034672" customFormat="false" ht="12.8" hidden="false" customHeight="false" outlineLevel="0" collapsed="false"/>
    <row r="1034673" customFormat="false" ht="12.8" hidden="false" customHeight="false" outlineLevel="0" collapsed="false"/>
    <row r="1034674" customFormat="false" ht="12.8" hidden="false" customHeight="false" outlineLevel="0" collapsed="false"/>
    <row r="1034675" customFormat="false" ht="12.8" hidden="false" customHeight="false" outlineLevel="0" collapsed="false"/>
    <row r="1034676" customFormat="false" ht="12.8" hidden="false" customHeight="false" outlineLevel="0" collapsed="false"/>
    <row r="1034677" customFormat="false" ht="12.8" hidden="false" customHeight="false" outlineLevel="0" collapsed="false"/>
    <row r="1034678" customFormat="false" ht="12.8" hidden="false" customHeight="false" outlineLevel="0" collapsed="false"/>
    <row r="1034679" customFormat="false" ht="12.8" hidden="false" customHeight="false" outlineLevel="0" collapsed="false"/>
    <row r="1034680" customFormat="false" ht="12.8" hidden="false" customHeight="false" outlineLevel="0" collapsed="false"/>
    <row r="1034681" customFormat="false" ht="12.8" hidden="false" customHeight="false" outlineLevel="0" collapsed="false"/>
    <row r="1034682" customFormat="false" ht="12.8" hidden="false" customHeight="false" outlineLevel="0" collapsed="false"/>
    <row r="1034683" customFormat="false" ht="12.8" hidden="false" customHeight="false" outlineLevel="0" collapsed="false"/>
    <row r="1034684" customFormat="false" ht="12.8" hidden="false" customHeight="false" outlineLevel="0" collapsed="false"/>
    <row r="1034685" customFormat="false" ht="12.8" hidden="false" customHeight="false" outlineLevel="0" collapsed="false"/>
    <row r="1034686" customFormat="false" ht="12.8" hidden="false" customHeight="false" outlineLevel="0" collapsed="false"/>
    <row r="1034687" customFormat="false" ht="12.8" hidden="false" customHeight="false" outlineLevel="0" collapsed="false"/>
    <row r="1034688" customFormat="false" ht="12.8" hidden="false" customHeight="false" outlineLevel="0" collapsed="false"/>
    <row r="1034689" customFormat="false" ht="12.8" hidden="false" customHeight="false" outlineLevel="0" collapsed="false"/>
    <row r="1034690" customFormat="false" ht="12.8" hidden="false" customHeight="false" outlineLevel="0" collapsed="false"/>
    <row r="1034691" customFormat="false" ht="12.8" hidden="false" customHeight="false" outlineLevel="0" collapsed="false"/>
    <row r="1034692" customFormat="false" ht="12.8" hidden="false" customHeight="false" outlineLevel="0" collapsed="false"/>
    <row r="1034693" customFormat="false" ht="12.8" hidden="false" customHeight="false" outlineLevel="0" collapsed="false"/>
    <row r="1034694" customFormat="false" ht="12.8" hidden="false" customHeight="false" outlineLevel="0" collapsed="false"/>
    <row r="1034695" customFormat="false" ht="12.8" hidden="false" customHeight="false" outlineLevel="0" collapsed="false"/>
    <row r="1034696" customFormat="false" ht="12.8" hidden="false" customHeight="false" outlineLevel="0" collapsed="false"/>
    <row r="1034697" customFormat="false" ht="12.8" hidden="false" customHeight="false" outlineLevel="0" collapsed="false"/>
    <row r="1034698" customFormat="false" ht="12.8" hidden="false" customHeight="false" outlineLevel="0" collapsed="false"/>
    <row r="1034699" customFormat="false" ht="12.8" hidden="false" customHeight="false" outlineLevel="0" collapsed="false"/>
    <row r="1034700" customFormat="false" ht="12.8" hidden="false" customHeight="false" outlineLevel="0" collapsed="false"/>
    <row r="1034701" customFormat="false" ht="12.8" hidden="false" customHeight="false" outlineLevel="0" collapsed="false"/>
    <row r="1034702" customFormat="false" ht="12.8" hidden="false" customHeight="false" outlineLevel="0" collapsed="false"/>
    <row r="1034703" customFormat="false" ht="12.8" hidden="false" customHeight="false" outlineLevel="0" collapsed="false"/>
    <row r="1034704" customFormat="false" ht="12.8" hidden="false" customHeight="false" outlineLevel="0" collapsed="false"/>
    <row r="1034705" customFormat="false" ht="12.8" hidden="false" customHeight="false" outlineLevel="0" collapsed="false"/>
    <row r="1034706" customFormat="false" ht="12.8" hidden="false" customHeight="false" outlineLevel="0" collapsed="false"/>
    <row r="1034707" customFormat="false" ht="12.8" hidden="false" customHeight="false" outlineLevel="0" collapsed="false"/>
    <row r="1034708" customFormat="false" ht="12.8" hidden="false" customHeight="false" outlineLevel="0" collapsed="false"/>
    <row r="1034709" customFormat="false" ht="12.8" hidden="false" customHeight="false" outlineLevel="0" collapsed="false"/>
    <row r="1034710" customFormat="false" ht="12.8" hidden="false" customHeight="false" outlineLevel="0" collapsed="false"/>
    <row r="1034711" customFormat="false" ht="12.8" hidden="false" customHeight="false" outlineLevel="0" collapsed="false"/>
    <row r="1034712" customFormat="false" ht="12.8" hidden="false" customHeight="false" outlineLevel="0" collapsed="false"/>
    <row r="1034713" customFormat="false" ht="12.8" hidden="false" customHeight="false" outlineLevel="0" collapsed="false"/>
    <row r="1034714" customFormat="false" ht="12.8" hidden="false" customHeight="false" outlineLevel="0" collapsed="false"/>
    <row r="1034715" customFormat="false" ht="12.8" hidden="false" customHeight="false" outlineLevel="0" collapsed="false"/>
    <row r="1034716" customFormat="false" ht="12.8" hidden="false" customHeight="false" outlineLevel="0" collapsed="false"/>
    <row r="1034717" customFormat="false" ht="12.8" hidden="false" customHeight="false" outlineLevel="0" collapsed="false"/>
    <row r="1034718" customFormat="false" ht="12.8" hidden="false" customHeight="false" outlineLevel="0" collapsed="false"/>
    <row r="1034719" customFormat="false" ht="12.8" hidden="false" customHeight="false" outlineLevel="0" collapsed="false"/>
    <row r="1034720" customFormat="false" ht="12.8" hidden="false" customHeight="false" outlineLevel="0" collapsed="false"/>
    <row r="1034721" customFormat="false" ht="12.8" hidden="false" customHeight="false" outlineLevel="0" collapsed="false"/>
    <row r="1034722" customFormat="false" ht="12.8" hidden="false" customHeight="false" outlineLevel="0" collapsed="false"/>
    <row r="1034723" customFormat="false" ht="12.8" hidden="false" customHeight="false" outlineLevel="0" collapsed="false"/>
    <row r="1034724" customFormat="false" ht="12.8" hidden="false" customHeight="false" outlineLevel="0" collapsed="false"/>
    <row r="1034725" customFormat="false" ht="12.8" hidden="false" customHeight="false" outlineLevel="0" collapsed="false"/>
    <row r="1034726" customFormat="false" ht="12.8" hidden="false" customHeight="false" outlineLevel="0" collapsed="false"/>
    <row r="1034727" customFormat="false" ht="12.8" hidden="false" customHeight="false" outlineLevel="0" collapsed="false"/>
    <row r="1034728" customFormat="false" ht="12.8" hidden="false" customHeight="false" outlineLevel="0" collapsed="false"/>
    <row r="1034729" customFormat="false" ht="12.8" hidden="false" customHeight="false" outlineLevel="0" collapsed="false"/>
    <row r="1034730" customFormat="false" ht="12.8" hidden="false" customHeight="false" outlineLevel="0" collapsed="false"/>
    <row r="1034731" customFormat="false" ht="12.8" hidden="false" customHeight="false" outlineLevel="0" collapsed="false"/>
    <row r="1034732" customFormat="false" ht="12.8" hidden="false" customHeight="false" outlineLevel="0" collapsed="false"/>
    <row r="1034733" customFormat="false" ht="12.8" hidden="false" customHeight="false" outlineLevel="0" collapsed="false"/>
    <row r="1034734" customFormat="false" ht="12.8" hidden="false" customHeight="false" outlineLevel="0" collapsed="false"/>
    <row r="1034735" customFormat="false" ht="12.8" hidden="false" customHeight="false" outlineLevel="0" collapsed="false"/>
    <row r="1034736" customFormat="false" ht="12.8" hidden="false" customHeight="false" outlineLevel="0" collapsed="false"/>
    <row r="1034737" customFormat="false" ht="12.8" hidden="false" customHeight="false" outlineLevel="0" collapsed="false"/>
    <row r="1034738" customFormat="false" ht="12.8" hidden="false" customHeight="false" outlineLevel="0" collapsed="false"/>
    <row r="1034739" customFormat="false" ht="12.8" hidden="false" customHeight="false" outlineLevel="0" collapsed="false"/>
    <row r="1034740" customFormat="false" ht="12.8" hidden="false" customHeight="false" outlineLevel="0" collapsed="false"/>
    <row r="1034741" customFormat="false" ht="12.8" hidden="false" customHeight="false" outlineLevel="0" collapsed="false"/>
    <row r="1034742" customFormat="false" ht="12.8" hidden="false" customHeight="false" outlineLevel="0" collapsed="false"/>
    <row r="1034743" customFormat="false" ht="12.8" hidden="false" customHeight="false" outlineLevel="0" collapsed="false"/>
    <row r="1034744" customFormat="false" ht="12.8" hidden="false" customHeight="false" outlineLevel="0" collapsed="false"/>
    <row r="1034745" customFormat="false" ht="12.8" hidden="false" customHeight="false" outlineLevel="0" collapsed="false"/>
    <row r="1034746" customFormat="false" ht="12.8" hidden="false" customHeight="false" outlineLevel="0" collapsed="false"/>
    <row r="1034747" customFormat="false" ht="12.8" hidden="false" customHeight="false" outlineLevel="0" collapsed="false"/>
    <row r="1034748" customFormat="false" ht="12.8" hidden="false" customHeight="false" outlineLevel="0" collapsed="false"/>
    <row r="1034749" customFormat="false" ht="12.8" hidden="false" customHeight="false" outlineLevel="0" collapsed="false"/>
    <row r="1034750" customFormat="false" ht="12.8" hidden="false" customHeight="false" outlineLevel="0" collapsed="false"/>
    <row r="1034751" customFormat="false" ht="12.8" hidden="false" customHeight="false" outlineLevel="0" collapsed="false"/>
    <row r="1034752" customFormat="false" ht="12.8" hidden="false" customHeight="false" outlineLevel="0" collapsed="false"/>
    <row r="1034753" customFormat="false" ht="12.8" hidden="false" customHeight="false" outlineLevel="0" collapsed="false"/>
    <row r="1034754" customFormat="false" ht="12.8" hidden="false" customHeight="false" outlineLevel="0" collapsed="false"/>
    <row r="1034755" customFormat="false" ht="12.8" hidden="false" customHeight="false" outlineLevel="0" collapsed="false"/>
    <row r="1034756" customFormat="false" ht="12.8" hidden="false" customHeight="false" outlineLevel="0" collapsed="false"/>
    <row r="1034757" customFormat="false" ht="12.8" hidden="false" customHeight="false" outlineLevel="0" collapsed="false"/>
    <row r="1034758" customFormat="false" ht="12.8" hidden="false" customHeight="false" outlineLevel="0" collapsed="false"/>
    <row r="1034759" customFormat="false" ht="12.8" hidden="false" customHeight="false" outlineLevel="0" collapsed="false"/>
    <row r="1034760" customFormat="false" ht="12.8" hidden="false" customHeight="false" outlineLevel="0" collapsed="false"/>
    <row r="1034761" customFormat="false" ht="12.8" hidden="false" customHeight="false" outlineLevel="0" collapsed="false"/>
    <row r="1034762" customFormat="false" ht="12.8" hidden="false" customHeight="false" outlineLevel="0" collapsed="false"/>
    <row r="1034763" customFormat="false" ht="12.8" hidden="false" customHeight="false" outlineLevel="0" collapsed="false"/>
    <row r="1034764" customFormat="false" ht="12.8" hidden="false" customHeight="false" outlineLevel="0" collapsed="false"/>
    <row r="1034765" customFormat="false" ht="12.8" hidden="false" customHeight="false" outlineLevel="0" collapsed="false"/>
    <row r="1034766" customFormat="false" ht="12.8" hidden="false" customHeight="false" outlineLevel="0" collapsed="false"/>
    <row r="1034767" customFormat="false" ht="12.8" hidden="false" customHeight="false" outlineLevel="0" collapsed="false"/>
    <row r="1034768" customFormat="false" ht="12.8" hidden="false" customHeight="false" outlineLevel="0" collapsed="false"/>
    <row r="1034769" customFormat="false" ht="12.8" hidden="false" customHeight="false" outlineLevel="0" collapsed="false"/>
    <row r="1034770" customFormat="false" ht="12.8" hidden="false" customHeight="false" outlineLevel="0" collapsed="false"/>
    <row r="1034771" customFormat="false" ht="12.8" hidden="false" customHeight="false" outlineLevel="0" collapsed="false"/>
    <row r="1034772" customFormat="false" ht="12.8" hidden="false" customHeight="false" outlineLevel="0" collapsed="false"/>
    <row r="1034773" customFormat="false" ht="12.8" hidden="false" customHeight="false" outlineLevel="0" collapsed="false"/>
    <row r="1034774" customFormat="false" ht="12.8" hidden="false" customHeight="false" outlineLevel="0" collapsed="false"/>
    <row r="1034775" customFormat="false" ht="12.8" hidden="false" customHeight="false" outlineLevel="0" collapsed="false"/>
    <row r="1034776" customFormat="false" ht="12.8" hidden="false" customHeight="false" outlineLevel="0" collapsed="false"/>
    <row r="1034777" customFormat="false" ht="12.8" hidden="false" customHeight="false" outlineLevel="0" collapsed="false"/>
    <row r="1034778" customFormat="false" ht="12.8" hidden="false" customHeight="false" outlineLevel="0" collapsed="false"/>
    <row r="1034779" customFormat="false" ht="12.8" hidden="false" customHeight="false" outlineLevel="0" collapsed="false"/>
    <row r="1034780" customFormat="false" ht="12.8" hidden="false" customHeight="false" outlineLevel="0" collapsed="false"/>
    <row r="1034781" customFormat="false" ht="12.8" hidden="false" customHeight="false" outlineLevel="0" collapsed="false"/>
    <row r="1034782" customFormat="false" ht="12.8" hidden="false" customHeight="false" outlineLevel="0" collapsed="false"/>
    <row r="1034783" customFormat="false" ht="12.8" hidden="false" customHeight="false" outlineLevel="0" collapsed="false"/>
    <row r="1034784" customFormat="false" ht="12.8" hidden="false" customHeight="false" outlineLevel="0" collapsed="false"/>
    <row r="1034785" customFormat="false" ht="12.8" hidden="false" customHeight="false" outlineLevel="0" collapsed="false"/>
    <row r="1034786" customFormat="false" ht="12.8" hidden="false" customHeight="false" outlineLevel="0" collapsed="false"/>
    <row r="1034787" customFormat="false" ht="12.8" hidden="false" customHeight="false" outlineLevel="0" collapsed="false"/>
    <row r="1034788" customFormat="false" ht="12.8" hidden="false" customHeight="false" outlineLevel="0" collapsed="false"/>
    <row r="1034789" customFormat="false" ht="12.8" hidden="false" customHeight="false" outlineLevel="0" collapsed="false"/>
    <row r="1034790" customFormat="false" ht="12.8" hidden="false" customHeight="false" outlineLevel="0" collapsed="false"/>
    <row r="1034791" customFormat="false" ht="12.8" hidden="false" customHeight="false" outlineLevel="0" collapsed="false"/>
    <row r="1034792" customFormat="false" ht="12.8" hidden="false" customHeight="false" outlineLevel="0" collapsed="false"/>
    <row r="1034793" customFormat="false" ht="12.8" hidden="false" customHeight="false" outlineLevel="0" collapsed="false"/>
    <row r="1034794" customFormat="false" ht="12.8" hidden="false" customHeight="false" outlineLevel="0" collapsed="false"/>
    <row r="1034795" customFormat="false" ht="12.8" hidden="false" customHeight="false" outlineLevel="0" collapsed="false"/>
    <row r="1034796" customFormat="false" ht="12.8" hidden="false" customHeight="false" outlineLevel="0" collapsed="false"/>
    <row r="1034797" customFormat="false" ht="12.8" hidden="false" customHeight="false" outlineLevel="0" collapsed="false"/>
    <row r="1034798" customFormat="false" ht="12.8" hidden="false" customHeight="false" outlineLevel="0" collapsed="false"/>
    <row r="1034799" customFormat="false" ht="12.8" hidden="false" customHeight="false" outlineLevel="0" collapsed="false"/>
    <row r="1034800" customFormat="false" ht="12.8" hidden="false" customHeight="false" outlineLevel="0" collapsed="false"/>
    <row r="1034801" customFormat="false" ht="12.8" hidden="false" customHeight="false" outlineLevel="0" collapsed="false"/>
    <row r="1034802" customFormat="false" ht="12.8" hidden="false" customHeight="false" outlineLevel="0" collapsed="false"/>
    <row r="1034803" customFormat="false" ht="12.8" hidden="false" customHeight="false" outlineLevel="0" collapsed="false"/>
    <row r="1034804" customFormat="false" ht="12.8" hidden="false" customHeight="false" outlineLevel="0" collapsed="false"/>
    <row r="1034805" customFormat="false" ht="12.8" hidden="false" customHeight="false" outlineLevel="0" collapsed="false"/>
    <row r="1034806" customFormat="false" ht="12.8" hidden="false" customHeight="false" outlineLevel="0" collapsed="false"/>
    <row r="1034807" customFormat="false" ht="12.8" hidden="false" customHeight="false" outlineLevel="0" collapsed="false"/>
    <row r="1034808" customFormat="false" ht="12.8" hidden="false" customHeight="false" outlineLevel="0" collapsed="false"/>
    <row r="1034809" customFormat="false" ht="12.8" hidden="false" customHeight="false" outlineLevel="0" collapsed="false"/>
    <row r="1034810" customFormat="false" ht="12.8" hidden="false" customHeight="false" outlineLevel="0" collapsed="false"/>
    <row r="1034811" customFormat="false" ht="12.8" hidden="false" customHeight="false" outlineLevel="0" collapsed="false"/>
    <row r="1034812" customFormat="false" ht="12.8" hidden="false" customHeight="false" outlineLevel="0" collapsed="false"/>
    <row r="1034813" customFormat="false" ht="12.8" hidden="false" customHeight="false" outlineLevel="0" collapsed="false"/>
    <row r="1034814" customFormat="false" ht="12.8" hidden="false" customHeight="false" outlineLevel="0" collapsed="false"/>
    <row r="1034815" customFormat="false" ht="12.8" hidden="false" customHeight="false" outlineLevel="0" collapsed="false"/>
    <row r="1034816" customFormat="false" ht="12.8" hidden="false" customHeight="false" outlineLevel="0" collapsed="false"/>
    <row r="1034817" customFormat="false" ht="12.8" hidden="false" customHeight="false" outlineLevel="0" collapsed="false"/>
    <row r="1034818" customFormat="false" ht="12.8" hidden="false" customHeight="false" outlineLevel="0" collapsed="false"/>
    <row r="1034819" customFormat="false" ht="12.8" hidden="false" customHeight="false" outlineLevel="0" collapsed="false"/>
    <row r="1034820" customFormat="false" ht="12.8" hidden="false" customHeight="false" outlineLevel="0" collapsed="false"/>
    <row r="1034821" customFormat="false" ht="12.8" hidden="false" customHeight="false" outlineLevel="0" collapsed="false"/>
    <row r="1034822" customFormat="false" ht="12.8" hidden="false" customHeight="false" outlineLevel="0" collapsed="false"/>
    <row r="1034823" customFormat="false" ht="12.8" hidden="false" customHeight="false" outlineLevel="0" collapsed="false"/>
    <row r="1034824" customFormat="false" ht="12.8" hidden="false" customHeight="false" outlineLevel="0" collapsed="false"/>
    <row r="1034825" customFormat="false" ht="12.8" hidden="false" customHeight="false" outlineLevel="0" collapsed="false"/>
    <row r="1034826" customFormat="false" ht="12.8" hidden="false" customHeight="false" outlineLevel="0" collapsed="false"/>
    <row r="1034827" customFormat="false" ht="12.8" hidden="false" customHeight="false" outlineLevel="0" collapsed="false"/>
    <row r="1034828" customFormat="false" ht="12.8" hidden="false" customHeight="false" outlineLevel="0" collapsed="false"/>
    <row r="1034829" customFormat="false" ht="12.8" hidden="false" customHeight="false" outlineLevel="0" collapsed="false"/>
    <row r="1034830" customFormat="false" ht="12.8" hidden="false" customHeight="false" outlineLevel="0" collapsed="false"/>
    <row r="1034831" customFormat="false" ht="12.8" hidden="false" customHeight="false" outlineLevel="0" collapsed="false"/>
    <row r="1034832" customFormat="false" ht="12.8" hidden="false" customHeight="false" outlineLevel="0" collapsed="false"/>
    <row r="1034833" customFormat="false" ht="12.8" hidden="false" customHeight="false" outlineLevel="0" collapsed="false"/>
    <row r="1034834" customFormat="false" ht="12.8" hidden="false" customHeight="false" outlineLevel="0" collapsed="false"/>
    <row r="1034835" customFormat="false" ht="12.8" hidden="false" customHeight="false" outlineLevel="0" collapsed="false"/>
    <row r="1034836" customFormat="false" ht="12.8" hidden="false" customHeight="false" outlineLevel="0" collapsed="false"/>
    <row r="1034837" customFormat="false" ht="12.8" hidden="false" customHeight="false" outlineLevel="0" collapsed="false"/>
    <row r="1034838" customFormat="false" ht="12.8" hidden="false" customHeight="false" outlineLevel="0" collapsed="false"/>
    <row r="1034839" customFormat="false" ht="12.8" hidden="false" customHeight="false" outlineLevel="0" collapsed="false"/>
    <row r="1034840" customFormat="false" ht="12.8" hidden="false" customHeight="false" outlineLevel="0" collapsed="false"/>
    <row r="1034841" customFormat="false" ht="12.8" hidden="false" customHeight="false" outlineLevel="0" collapsed="false"/>
    <row r="1034842" customFormat="false" ht="12.8" hidden="false" customHeight="false" outlineLevel="0" collapsed="false"/>
    <row r="1034843" customFormat="false" ht="12.8" hidden="false" customHeight="false" outlineLevel="0" collapsed="false"/>
    <row r="1034844" customFormat="false" ht="12.8" hidden="false" customHeight="false" outlineLevel="0" collapsed="false"/>
    <row r="1034845" customFormat="false" ht="12.8" hidden="false" customHeight="false" outlineLevel="0" collapsed="false"/>
    <row r="1034846" customFormat="false" ht="12.8" hidden="false" customHeight="false" outlineLevel="0" collapsed="false"/>
    <row r="1034847" customFormat="false" ht="12.8" hidden="false" customHeight="false" outlineLevel="0" collapsed="false"/>
    <row r="1034848" customFormat="false" ht="12.8" hidden="false" customHeight="false" outlineLevel="0" collapsed="false"/>
    <row r="1034849" customFormat="false" ht="12.8" hidden="false" customHeight="false" outlineLevel="0" collapsed="false"/>
    <row r="1034850" customFormat="false" ht="12.8" hidden="false" customHeight="false" outlineLevel="0" collapsed="false"/>
    <row r="1034851" customFormat="false" ht="12.8" hidden="false" customHeight="false" outlineLevel="0" collapsed="false"/>
    <row r="1034852" customFormat="false" ht="12.8" hidden="false" customHeight="false" outlineLevel="0" collapsed="false"/>
    <row r="1034853" customFormat="false" ht="12.8" hidden="false" customHeight="false" outlineLevel="0" collapsed="false"/>
    <row r="1034854" customFormat="false" ht="12.8" hidden="false" customHeight="false" outlineLevel="0" collapsed="false"/>
    <row r="1034855" customFormat="false" ht="12.8" hidden="false" customHeight="false" outlineLevel="0" collapsed="false"/>
    <row r="1034856" customFormat="false" ht="12.8" hidden="false" customHeight="false" outlineLevel="0" collapsed="false"/>
    <row r="1034857" customFormat="false" ht="12.8" hidden="false" customHeight="false" outlineLevel="0" collapsed="false"/>
    <row r="1034858" customFormat="false" ht="12.8" hidden="false" customHeight="false" outlineLevel="0" collapsed="false"/>
    <row r="1034859" customFormat="false" ht="12.8" hidden="false" customHeight="false" outlineLevel="0" collapsed="false"/>
    <row r="1034860" customFormat="false" ht="12.8" hidden="false" customHeight="false" outlineLevel="0" collapsed="false"/>
    <row r="1034861" customFormat="false" ht="12.8" hidden="false" customHeight="false" outlineLevel="0" collapsed="false"/>
    <row r="1034862" customFormat="false" ht="12.8" hidden="false" customHeight="false" outlineLevel="0" collapsed="false"/>
    <row r="1034863" customFormat="false" ht="12.8" hidden="false" customHeight="false" outlineLevel="0" collapsed="false"/>
    <row r="1034864" customFormat="false" ht="12.8" hidden="false" customHeight="false" outlineLevel="0" collapsed="false"/>
    <row r="1034865" customFormat="false" ht="12.8" hidden="false" customHeight="false" outlineLevel="0" collapsed="false"/>
    <row r="1034866" customFormat="false" ht="12.8" hidden="false" customHeight="false" outlineLevel="0" collapsed="false"/>
    <row r="1034867" customFormat="false" ht="12.8" hidden="false" customHeight="false" outlineLevel="0" collapsed="false"/>
    <row r="1034868" customFormat="false" ht="12.8" hidden="false" customHeight="false" outlineLevel="0" collapsed="false"/>
    <row r="1034869" customFormat="false" ht="12.8" hidden="false" customHeight="false" outlineLevel="0" collapsed="false"/>
    <row r="1034870" customFormat="false" ht="12.8" hidden="false" customHeight="false" outlineLevel="0" collapsed="false"/>
    <row r="1034871" customFormat="false" ht="12.8" hidden="false" customHeight="false" outlineLevel="0" collapsed="false"/>
    <row r="1034872" customFormat="false" ht="12.8" hidden="false" customHeight="false" outlineLevel="0" collapsed="false"/>
    <row r="1034873" customFormat="false" ht="12.8" hidden="false" customHeight="false" outlineLevel="0" collapsed="false"/>
    <row r="1034874" customFormat="false" ht="12.8" hidden="false" customHeight="false" outlineLevel="0" collapsed="false"/>
    <row r="1034875" customFormat="false" ht="12.8" hidden="false" customHeight="false" outlineLevel="0" collapsed="false"/>
    <row r="1034876" customFormat="false" ht="12.8" hidden="false" customHeight="false" outlineLevel="0" collapsed="false"/>
    <row r="1034877" customFormat="false" ht="12.8" hidden="false" customHeight="false" outlineLevel="0" collapsed="false"/>
    <row r="1034878" customFormat="false" ht="12.8" hidden="false" customHeight="false" outlineLevel="0" collapsed="false"/>
    <row r="1034879" customFormat="false" ht="12.8" hidden="false" customHeight="false" outlineLevel="0" collapsed="false"/>
    <row r="1034880" customFormat="false" ht="12.8" hidden="false" customHeight="false" outlineLevel="0" collapsed="false"/>
    <row r="1034881" customFormat="false" ht="12.8" hidden="false" customHeight="false" outlineLevel="0" collapsed="false"/>
    <row r="1034882" customFormat="false" ht="12.8" hidden="false" customHeight="false" outlineLevel="0" collapsed="false"/>
    <row r="1034883" customFormat="false" ht="12.8" hidden="false" customHeight="false" outlineLevel="0" collapsed="false"/>
    <row r="1034884" customFormat="false" ht="12.8" hidden="false" customHeight="false" outlineLevel="0" collapsed="false"/>
    <row r="1034885" customFormat="false" ht="12.8" hidden="false" customHeight="false" outlineLevel="0" collapsed="false"/>
    <row r="1034886" customFormat="false" ht="12.8" hidden="false" customHeight="false" outlineLevel="0" collapsed="false"/>
    <row r="1034887" customFormat="false" ht="12.8" hidden="false" customHeight="false" outlineLevel="0" collapsed="false"/>
    <row r="1034888" customFormat="false" ht="12.8" hidden="false" customHeight="false" outlineLevel="0" collapsed="false"/>
    <row r="1034889" customFormat="false" ht="12.8" hidden="false" customHeight="false" outlineLevel="0" collapsed="false"/>
    <row r="1034890" customFormat="false" ht="12.8" hidden="false" customHeight="false" outlineLevel="0" collapsed="false"/>
    <row r="1034891" customFormat="false" ht="12.8" hidden="false" customHeight="false" outlineLevel="0" collapsed="false"/>
    <row r="1034892" customFormat="false" ht="12.8" hidden="false" customHeight="false" outlineLevel="0" collapsed="false"/>
    <row r="1034893" customFormat="false" ht="12.8" hidden="false" customHeight="false" outlineLevel="0" collapsed="false"/>
    <row r="1034894" customFormat="false" ht="12.8" hidden="false" customHeight="false" outlineLevel="0" collapsed="false"/>
    <row r="1034895" customFormat="false" ht="12.8" hidden="false" customHeight="false" outlineLevel="0" collapsed="false"/>
    <row r="1034896" customFormat="false" ht="12.8" hidden="false" customHeight="false" outlineLevel="0" collapsed="false"/>
    <row r="1034897" customFormat="false" ht="12.8" hidden="false" customHeight="false" outlineLevel="0" collapsed="false"/>
    <row r="1034898" customFormat="false" ht="12.8" hidden="false" customHeight="false" outlineLevel="0" collapsed="false"/>
    <row r="1034899" customFormat="false" ht="12.8" hidden="false" customHeight="false" outlineLevel="0" collapsed="false"/>
    <row r="1034900" customFormat="false" ht="12.8" hidden="false" customHeight="false" outlineLevel="0" collapsed="false"/>
    <row r="1034901" customFormat="false" ht="12.8" hidden="false" customHeight="false" outlineLevel="0" collapsed="false"/>
    <row r="1034902" customFormat="false" ht="12.8" hidden="false" customHeight="false" outlineLevel="0" collapsed="false"/>
    <row r="1034903" customFormat="false" ht="12.8" hidden="false" customHeight="false" outlineLevel="0" collapsed="false"/>
    <row r="1034904" customFormat="false" ht="12.8" hidden="false" customHeight="false" outlineLevel="0" collapsed="false"/>
    <row r="1034905" customFormat="false" ht="12.8" hidden="false" customHeight="false" outlineLevel="0" collapsed="false"/>
    <row r="1034906" customFormat="false" ht="12.8" hidden="false" customHeight="false" outlineLevel="0" collapsed="false"/>
    <row r="1034907" customFormat="false" ht="12.8" hidden="false" customHeight="false" outlineLevel="0" collapsed="false"/>
    <row r="1034908" customFormat="false" ht="12.8" hidden="false" customHeight="false" outlineLevel="0" collapsed="false"/>
    <row r="1034909" customFormat="false" ht="12.8" hidden="false" customHeight="false" outlineLevel="0" collapsed="false"/>
    <row r="1034910" customFormat="false" ht="12.8" hidden="false" customHeight="false" outlineLevel="0" collapsed="false"/>
    <row r="1034911" customFormat="false" ht="12.8" hidden="false" customHeight="false" outlineLevel="0" collapsed="false"/>
    <row r="1034912" customFormat="false" ht="12.8" hidden="false" customHeight="false" outlineLevel="0" collapsed="false"/>
    <row r="1034913" customFormat="false" ht="12.8" hidden="false" customHeight="false" outlineLevel="0" collapsed="false"/>
    <row r="1034914" customFormat="false" ht="12.8" hidden="false" customHeight="false" outlineLevel="0" collapsed="false"/>
    <row r="1034915" customFormat="false" ht="12.8" hidden="false" customHeight="false" outlineLevel="0" collapsed="false"/>
    <row r="1034916" customFormat="false" ht="12.8" hidden="false" customHeight="false" outlineLevel="0" collapsed="false"/>
    <row r="1034917" customFormat="false" ht="12.8" hidden="false" customHeight="false" outlineLevel="0" collapsed="false"/>
    <row r="1034918" customFormat="false" ht="12.8" hidden="false" customHeight="false" outlineLevel="0" collapsed="false"/>
    <row r="1034919" customFormat="false" ht="12.8" hidden="false" customHeight="false" outlineLevel="0" collapsed="false"/>
    <row r="1034920" customFormat="false" ht="12.8" hidden="false" customHeight="false" outlineLevel="0" collapsed="false"/>
    <row r="1034921" customFormat="false" ht="12.8" hidden="false" customHeight="false" outlineLevel="0" collapsed="false"/>
    <row r="1034922" customFormat="false" ht="12.8" hidden="false" customHeight="false" outlineLevel="0" collapsed="false"/>
    <row r="1034923" customFormat="false" ht="12.8" hidden="false" customHeight="false" outlineLevel="0" collapsed="false"/>
    <row r="1034924" customFormat="false" ht="12.8" hidden="false" customHeight="false" outlineLevel="0" collapsed="false"/>
    <row r="1034925" customFormat="false" ht="12.8" hidden="false" customHeight="false" outlineLevel="0" collapsed="false"/>
    <row r="1034926" customFormat="false" ht="12.8" hidden="false" customHeight="false" outlineLevel="0" collapsed="false"/>
    <row r="1034927" customFormat="false" ht="12.8" hidden="false" customHeight="false" outlineLevel="0" collapsed="false"/>
    <row r="1034928" customFormat="false" ht="12.8" hidden="false" customHeight="false" outlineLevel="0" collapsed="false"/>
    <row r="1034929" customFormat="false" ht="12.8" hidden="false" customHeight="false" outlineLevel="0" collapsed="false"/>
    <row r="1034930" customFormat="false" ht="12.8" hidden="false" customHeight="false" outlineLevel="0" collapsed="false"/>
    <row r="1034931" customFormat="false" ht="12.8" hidden="false" customHeight="false" outlineLevel="0" collapsed="false"/>
    <row r="1034932" customFormat="false" ht="12.8" hidden="false" customHeight="false" outlineLevel="0" collapsed="false"/>
    <row r="1034933" customFormat="false" ht="12.8" hidden="false" customHeight="false" outlineLevel="0" collapsed="false"/>
    <row r="1034934" customFormat="false" ht="12.8" hidden="false" customHeight="false" outlineLevel="0" collapsed="false"/>
    <row r="1034935" customFormat="false" ht="12.8" hidden="false" customHeight="false" outlineLevel="0" collapsed="false"/>
    <row r="1034936" customFormat="false" ht="12.8" hidden="false" customHeight="false" outlineLevel="0" collapsed="false"/>
    <row r="1034937" customFormat="false" ht="12.8" hidden="false" customHeight="false" outlineLevel="0" collapsed="false"/>
    <row r="1034938" customFormat="false" ht="12.8" hidden="false" customHeight="false" outlineLevel="0" collapsed="false"/>
    <row r="1034939" customFormat="false" ht="12.8" hidden="false" customHeight="false" outlineLevel="0" collapsed="false"/>
    <row r="1034940" customFormat="false" ht="12.8" hidden="false" customHeight="false" outlineLevel="0" collapsed="false"/>
    <row r="1034941" customFormat="false" ht="12.8" hidden="false" customHeight="false" outlineLevel="0" collapsed="false"/>
    <row r="1034942" customFormat="false" ht="12.8" hidden="false" customHeight="false" outlineLevel="0" collapsed="false"/>
    <row r="1034943" customFormat="false" ht="12.8" hidden="false" customHeight="false" outlineLevel="0" collapsed="false"/>
    <row r="1034944" customFormat="false" ht="12.8" hidden="false" customHeight="false" outlineLevel="0" collapsed="false"/>
    <row r="1034945" customFormat="false" ht="12.8" hidden="false" customHeight="false" outlineLevel="0" collapsed="false"/>
    <row r="1034946" customFormat="false" ht="12.8" hidden="false" customHeight="false" outlineLevel="0" collapsed="false"/>
    <row r="1034947" customFormat="false" ht="12.8" hidden="false" customHeight="false" outlineLevel="0" collapsed="false"/>
    <row r="1034948" customFormat="false" ht="12.8" hidden="false" customHeight="false" outlineLevel="0" collapsed="false"/>
    <row r="1034949" customFormat="false" ht="12.8" hidden="false" customHeight="false" outlineLevel="0" collapsed="false"/>
    <row r="1034950" customFormat="false" ht="12.8" hidden="false" customHeight="false" outlineLevel="0" collapsed="false"/>
    <row r="1034951" customFormat="false" ht="12.8" hidden="false" customHeight="false" outlineLevel="0" collapsed="false"/>
    <row r="1034952" customFormat="false" ht="12.8" hidden="false" customHeight="false" outlineLevel="0" collapsed="false"/>
    <row r="1034953" customFormat="false" ht="12.8" hidden="false" customHeight="false" outlineLevel="0" collapsed="false"/>
    <row r="1034954" customFormat="false" ht="12.8" hidden="false" customHeight="false" outlineLevel="0" collapsed="false"/>
    <row r="1034955" customFormat="false" ht="12.8" hidden="false" customHeight="false" outlineLevel="0" collapsed="false"/>
    <row r="1034956" customFormat="false" ht="12.8" hidden="false" customHeight="false" outlineLevel="0" collapsed="false"/>
    <row r="1034957" customFormat="false" ht="12.8" hidden="false" customHeight="false" outlineLevel="0" collapsed="false"/>
    <row r="1034958" customFormat="false" ht="12.8" hidden="false" customHeight="false" outlineLevel="0" collapsed="false"/>
    <row r="1034959" customFormat="false" ht="12.8" hidden="false" customHeight="false" outlineLevel="0" collapsed="false"/>
    <row r="1034960" customFormat="false" ht="12.8" hidden="false" customHeight="false" outlineLevel="0" collapsed="false"/>
    <row r="1034961" customFormat="false" ht="12.8" hidden="false" customHeight="false" outlineLevel="0" collapsed="false"/>
    <row r="1034962" customFormat="false" ht="12.8" hidden="false" customHeight="false" outlineLevel="0" collapsed="false"/>
    <row r="1034963" customFormat="false" ht="12.8" hidden="false" customHeight="false" outlineLevel="0" collapsed="false"/>
    <row r="1034964" customFormat="false" ht="12.8" hidden="false" customHeight="false" outlineLevel="0" collapsed="false"/>
    <row r="1034965" customFormat="false" ht="12.8" hidden="false" customHeight="false" outlineLevel="0" collapsed="false"/>
    <row r="1034966" customFormat="false" ht="12.8" hidden="false" customHeight="false" outlineLevel="0" collapsed="false"/>
    <row r="1034967" customFormat="false" ht="12.8" hidden="false" customHeight="false" outlineLevel="0" collapsed="false"/>
    <row r="1034968" customFormat="false" ht="12.8" hidden="false" customHeight="false" outlineLevel="0" collapsed="false"/>
    <row r="1034969" customFormat="false" ht="12.8" hidden="false" customHeight="false" outlineLevel="0" collapsed="false"/>
    <row r="1034970" customFormat="false" ht="12.8" hidden="false" customHeight="false" outlineLevel="0" collapsed="false"/>
    <row r="1034971" customFormat="false" ht="12.8" hidden="false" customHeight="false" outlineLevel="0" collapsed="false"/>
    <row r="1034972" customFormat="false" ht="12.8" hidden="false" customHeight="false" outlineLevel="0" collapsed="false"/>
    <row r="1034973" customFormat="false" ht="12.8" hidden="false" customHeight="false" outlineLevel="0" collapsed="false"/>
    <row r="1034974" customFormat="false" ht="12.8" hidden="false" customHeight="false" outlineLevel="0" collapsed="false"/>
    <row r="1034975" customFormat="false" ht="12.8" hidden="false" customHeight="false" outlineLevel="0" collapsed="false"/>
    <row r="1034976" customFormat="false" ht="12.8" hidden="false" customHeight="false" outlineLevel="0" collapsed="false"/>
    <row r="1034977" customFormat="false" ht="12.8" hidden="false" customHeight="false" outlineLevel="0" collapsed="false"/>
    <row r="1034978" customFormat="false" ht="12.8" hidden="false" customHeight="false" outlineLevel="0" collapsed="false"/>
    <row r="1034979" customFormat="false" ht="12.8" hidden="false" customHeight="false" outlineLevel="0" collapsed="false"/>
    <row r="1034980" customFormat="false" ht="12.8" hidden="false" customHeight="false" outlineLevel="0" collapsed="false"/>
    <row r="1034981" customFormat="false" ht="12.8" hidden="false" customHeight="false" outlineLevel="0" collapsed="false"/>
    <row r="1034982" customFormat="false" ht="12.8" hidden="false" customHeight="false" outlineLevel="0" collapsed="false"/>
    <row r="1034983" customFormat="false" ht="12.8" hidden="false" customHeight="false" outlineLevel="0" collapsed="false"/>
    <row r="1034984" customFormat="false" ht="12.8" hidden="false" customHeight="false" outlineLevel="0" collapsed="false"/>
    <row r="1034985" customFormat="false" ht="12.8" hidden="false" customHeight="false" outlineLevel="0" collapsed="false"/>
    <row r="1034986" customFormat="false" ht="12.8" hidden="false" customHeight="false" outlineLevel="0" collapsed="false"/>
    <row r="1034987" customFormat="false" ht="12.8" hidden="false" customHeight="false" outlineLevel="0" collapsed="false"/>
    <row r="1034988" customFormat="false" ht="12.8" hidden="false" customHeight="false" outlineLevel="0" collapsed="false"/>
    <row r="1034989" customFormat="false" ht="12.8" hidden="false" customHeight="false" outlineLevel="0" collapsed="false"/>
    <row r="1034990" customFormat="false" ht="12.8" hidden="false" customHeight="false" outlineLevel="0" collapsed="false"/>
    <row r="1034991" customFormat="false" ht="12.8" hidden="false" customHeight="false" outlineLevel="0" collapsed="false"/>
    <row r="1034992" customFormat="false" ht="12.8" hidden="false" customHeight="false" outlineLevel="0" collapsed="false"/>
    <row r="1034993" customFormat="false" ht="12.8" hidden="false" customHeight="false" outlineLevel="0" collapsed="false"/>
    <row r="1034994" customFormat="false" ht="12.8" hidden="false" customHeight="false" outlineLevel="0" collapsed="false"/>
    <row r="1034995" customFormat="false" ht="12.8" hidden="false" customHeight="false" outlineLevel="0" collapsed="false"/>
    <row r="1034996" customFormat="false" ht="12.8" hidden="false" customHeight="false" outlineLevel="0" collapsed="false"/>
    <row r="1034997" customFormat="false" ht="12.8" hidden="false" customHeight="false" outlineLevel="0" collapsed="false"/>
    <row r="1034998" customFormat="false" ht="12.8" hidden="false" customHeight="false" outlineLevel="0" collapsed="false"/>
    <row r="1034999" customFormat="false" ht="12.8" hidden="false" customHeight="false" outlineLevel="0" collapsed="false"/>
    <row r="1035000" customFormat="false" ht="12.8" hidden="false" customHeight="false" outlineLevel="0" collapsed="false"/>
    <row r="1035001" customFormat="false" ht="12.8" hidden="false" customHeight="false" outlineLevel="0" collapsed="false"/>
    <row r="1035002" customFormat="false" ht="12.8" hidden="false" customHeight="false" outlineLevel="0" collapsed="false"/>
    <row r="1035003" customFormat="false" ht="12.8" hidden="false" customHeight="false" outlineLevel="0" collapsed="false"/>
    <row r="1035004" customFormat="false" ht="12.8" hidden="false" customHeight="false" outlineLevel="0" collapsed="false"/>
    <row r="1035005" customFormat="false" ht="12.8" hidden="false" customHeight="false" outlineLevel="0" collapsed="false"/>
    <row r="1035006" customFormat="false" ht="12.8" hidden="false" customHeight="false" outlineLevel="0" collapsed="false"/>
    <row r="1035007" customFormat="false" ht="12.8" hidden="false" customHeight="false" outlineLevel="0" collapsed="false"/>
    <row r="1035008" customFormat="false" ht="12.8" hidden="false" customHeight="false" outlineLevel="0" collapsed="false"/>
    <row r="1035009" customFormat="false" ht="12.8" hidden="false" customHeight="false" outlineLevel="0" collapsed="false"/>
    <row r="1035010" customFormat="false" ht="12.8" hidden="false" customHeight="false" outlineLevel="0" collapsed="false"/>
    <row r="1035011" customFormat="false" ht="12.8" hidden="false" customHeight="false" outlineLevel="0" collapsed="false"/>
    <row r="1035012" customFormat="false" ht="12.8" hidden="false" customHeight="false" outlineLevel="0" collapsed="false"/>
    <row r="1035013" customFormat="false" ht="12.8" hidden="false" customHeight="false" outlineLevel="0" collapsed="false"/>
    <row r="1035014" customFormat="false" ht="12.8" hidden="false" customHeight="false" outlineLevel="0" collapsed="false"/>
    <row r="1035015" customFormat="false" ht="12.8" hidden="false" customHeight="false" outlineLevel="0" collapsed="false"/>
    <row r="1035016" customFormat="false" ht="12.8" hidden="false" customHeight="false" outlineLevel="0" collapsed="false"/>
    <row r="1035017" customFormat="false" ht="12.8" hidden="false" customHeight="false" outlineLevel="0" collapsed="false"/>
    <row r="1035018" customFormat="false" ht="12.8" hidden="false" customHeight="false" outlineLevel="0" collapsed="false"/>
    <row r="1035019" customFormat="false" ht="12.8" hidden="false" customHeight="false" outlineLevel="0" collapsed="false"/>
    <row r="1035020" customFormat="false" ht="12.8" hidden="false" customHeight="false" outlineLevel="0" collapsed="false"/>
    <row r="1035021" customFormat="false" ht="12.8" hidden="false" customHeight="false" outlineLevel="0" collapsed="false"/>
    <row r="1035022" customFormat="false" ht="12.8" hidden="false" customHeight="false" outlineLevel="0" collapsed="false"/>
    <row r="1035023" customFormat="false" ht="12.8" hidden="false" customHeight="false" outlineLevel="0" collapsed="false"/>
    <row r="1035024" customFormat="false" ht="12.8" hidden="false" customHeight="false" outlineLevel="0" collapsed="false"/>
    <row r="1035025" customFormat="false" ht="12.8" hidden="false" customHeight="false" outlineLevel="0" collapsed="false"/>
    <row r="1035026" customFormat="false" ht="12.8" hidden="false" customHeight="false" outlineLevel="0" collapsed="false"/>
    <row r="1035027" customFormat="false" ht="12.8" hidden="false" customHeight="false" outlineLevel="0" collapsed="false"/>
    <row r="1035028" customFormat="false" ht="12.8" hidden="false" customHeight="false" outlineLevel="0" collapsed="false"/>
    <row r="1035029" customFormat="false" ht="12.8" hidden="false" customHeight="false" outlineLevel="0" collapsed="false"/>
    <row r="1035030" customFormat="false" ht="12.8" hidden="false" customHeight="false" outlineLevel="0" collapsed="false"/>
    <row r="1035031" customFormat="false" ht="12.8" hidden="false" customHeight="false" outlineLevel="0" collapsed="false"/>
    <row r="1035032" customFormat="false" ht="12.8" hidden="false" customHeight="false" outlineLevel="0" collapsed="false"/>
    <row r="1035033" customFormat="false" ht="12.8" hidden="false" customHeight="false" outlineLevel="0" collapsed="false"/>
    <row r="1035034" customFormat="false" ht="12.8" hidden="false" customHeight="false" outlineLevel="0" collapsed="false"/>
    <row r="1035035" customFormat="false" ht="12.8" hidden="false" customHeight="false" outlineLevel="0" collapsed="false"/>
    <row r="1035036" customFormat="false" ht="12.8" hidden="false" customHeight="false" outlineLevel="0" collapsed="false"/>
    <row r="1035037" customFormat="false" ht="12.8" hidden="false" customHeight="false" outlineLevel="0" collapsed="false"/>
    <row r="1035038" customFormat="false" ht="12.8" hidden="false" customHeight="false" outlineLevel="0" collapsed="false"/>
    <row r="1035039" customFormat="false" ht="12.8" hidden="false" customHeight="false" outlineLevel="0" collapsed="false"/>
    <row r="1035040" customFormat="false" ht="12.8" hidden="false" customHeight="false" outlineLevel="0" collapsed="false"/>
    <row r="1035041" customFormat="false" ht="12.8" hidden="false" customHeight="false" outlineLevel="0" collapsed="false"/>
    <row r="1035042" customFormat="false" ht="12.8" hidden="false" customHeight="false" outlineLevel="0" collapsed="false"/>
    <row r="1035043" customFormat="false" ht="12.8" hidden="false" customHeight="false" outlineLevel="0" collapsed="false"/>
    <row r="1035044" customFormat="false" ht="12.8" hidden="false" customHeight="false" outlineLevel="0" collapsed="false"/>
    <row r="1035045" customFormat="false" ht="12.8" hidden="false" customHeight="false" outlineLevel="0" collapsed="false"/>
    <row r="1035046" customFormat="false" ht="12.8" hidden="false" customHeight="false" outlineLevel="0" collapsed="false"/>
    <row r="1035047" customFormat="false" ht="12.8" hidden="false" customHeight="false" outlineLevel="0" collapsed="false"/>
    <row r="1035048" customFormat="false" ht="12.8" hidden="false" customHeight="false" outlineLevel="0" collapsed="false"/>
    <row r="1035049" customFormat="false" ht="12.8" hidden="false" customHeight="false" outlineLevel="0" collapsed="false"/>
    <row r="1035050" customFormat="false" ht="12.8" hidden="false" customHeight="false" outlineLevel="0" collapsed="false"/>
    <row r="1035051" customFormat="false" ht="12.8" hidden="false" customHeight="false" outlineLevel="0" collapsed="false"/>
    <row r="1035052" customFormat="false" ht="12.8" hidden="false" customHeight="false" outlineLevel="0" collapsed="false"/>
    <row r="1035053" customFormat="false" ht="12.8" hidden="false" customHeight="false" outlineLevel="0" collapsed="false"/>
    <row r="1035054" customFormat="false" ht="12.8" hidden="false" customHeight="false" outlineLevel="0" collapsed="false"/>
    <row r="1035055" customFormat="false" ht="12.8" hidden="false" customHeight="false" outlineLevel="0" collapsed="false"/>
    <row r="1035056" customFormat="false" ht="12.8" hidden="false" customHeight="false" outlineLevel="0" collapsed="false"/>
    <row r="1035057" customFormat="false" ht="12.8" hidden="false" customHeight="false" outlineLevel="0" collapsed="false"/>
    <row r="1035058" customFormat="false" ht="12.8" hidden="false" customHeight="false" outlineLevel="0" collapsed="false"/>
    <row r="1035059" customFormat="false" ht="12.8" hidden="false" customHeight="false" outlineLevel="0" collapsed="false"/>
    <row r="1035060" customFormat="false" ht="12.8" hidden="false" customHeight="false" outlineLevel="0" collapsed="false"/>
    <row r="1035061" customFormat="false" ht="12.8" hidden="false" customHeight="false" outlineLevel="0" collapsed="false"/>
    <row r="1035062" customFormat="false" ht="12.8" hidden="false" customHeight="false" outlineLevel="0" collapsed="false"/>
    <row r="1035063" customFormat="false" ht="12.8" hidden="false" customHeight="false" outlineLevel="0" collapsed="false"/>
    <row r="1035064" customFormat="false" ht="12.8" hidden="false" customHeight="false" outlineLevel="0" collapsed="false"/>
    <row r="1035065" customFormat="false" ht="12.8" hidden="false" customHeight="false" outlineLevel="0" collapsed="false"/>
    <row r="1035066" customFormat="false" ht="12.8" hidden="false" customHeight="false" outlineLevel="0" collapsed="false"/>
    <row r="1035067" customFormat="false" ht="12.8" hidden="false" customHeight="false" outlineLevel="0" collapsed="false"/>
    <row r="1035068" customFormat="false" ht="12.8" hidden="false" customHeight="false" outlineLevel="0" collapsed="false"/>
    <row r="1035069" customFormat="false" ht="12.8" hidden="false" customHeight="false" outlineLevel="0" collapsed="false"/>
    <row r="1035070" customFormat="false" ht="12.8" hidden="false" customHeight="false" outlineLevel="0" collapsed="false"/>
    <row r="1035071" customFormat="false" ht="12.8" hidden="false" customHeight="false" outlineLevel="0" collapsed="false"/>
    <row r="1035072" customFormat="false" ht="12.8" hidden="false" customHeight="false" outlineLevel="0" collapsed="false"/>
    <row r="1035073" customFormat="false" ht="12.8" hidden="false" customHeight="false" outlineLevel="0" collapsed="false"/>
    <row r="1035074" customFormat="false" ht="12.8" hidden="false" customHeight="false" outlineLevel="0" collapsed="false"/>
    <row r="1035075" customFormat="false" ht="12.8" hidden="false" customHeight="false" outlineLevel="0" collapsed="false"/>
    <row r="1035076" customFormat="false" ht="12.8" hidden="false" customHeight="false" outlineLevel="0" collapsed="false"/>
    <row r="1035077" customFormat="false" ht="12.8" hidden="false" customHeight="false" outlineLevel="0" collapsed="false"/>
    <row r="1035078" customFormat="false" ht="12.8" hidden="false" customHeight="false" outlineLevel="0" collapsed="false"/>
    <row r="1035079" customFormat="false" ht="12.8" hidden="false" customHeight="false" outlineLevel="0" collapsed="false"/>
    <row r="1035080" customFormat="false" ht="12.8" hidden="false" customHeight="false" outlineLevel="0" collapsed="false"/>
    <row r="1035081" customFormat="false" ht="12.8" hidden="false" customHeight="false" outlineLevel="0" collapsed="false"/>
    <row r="1035082" customFormat="false" ht="12.8" hidden="false" customHeight="false" outlineLevel="0" collapsed="false"/>
    <row r="1035083" customFormat="false" ht="12.8" hidden="false" customHeight="false" outlineLevel="0" collapsed="false"/>
    <row r="1035084" customFormat="false" ht="12.8" hidden="false" customHeight="false" outlineLevel="0" collapsed="false"/>
    <row r="1035085" customFormat="false" ht="12.8" hidden="false" customHeight="false" outlineLevel="0" collapsed="false"/>
    <row r="1035086" customFormat="false" ht="12.8" hidden="false" customHeight="false" outlineLevel="0" collapsed="false"/>
    <row r="1035087" customFormat="false" ht="12.8" hidden="false" customHeight="false" outlineLevel="0" collapsed="false"/>
    <row r="1035088" customFormat="false" ht="12.8" hidden="false" customHeight="false" outlineLevel="0" collapsed="false"/>
    <row r="1035089" customFormat="false" ht="12.8" hidden="false" customHeight="false" outlineLevel="0" collapsed="false"/>
    <row r="1035090" customFormat="false" ht="12.8" hidden="false" customHeight="false" outlineLevel="0" collapsed="false"/>
    <row r="1035091" customFormat="false" ht="12.8" hidden="false" customHeight="false" outlineLevel="0" collapsed="false"/>
    <row r="1035092" customFormat="false" ht="12.8" hidden="false" customHeight="false" outlineLevel="0" collapsed="false"/>
    <row r="1035093" customFormat="false" ht="12.8" hidden="false" customHeight="false" outlineLevel="0" collapsed="false"/>
    <row r="1035094" customFormat="false" ht="12.8" hidden="false" customHeight="false" outlineLevel="0" collapsed="false"/>
    <row r="1035095" customFormat="false" ht="12.8" hidden="false" customHeight="false" outlineLevel="0" collapsed="false"/>
    <row r="1035096" customFormat="false" ht="12.8" hidden="false" customHeight="false" outlineLevel="0" collapsed="false"/>
    <row r="1035097" customFormat="false" ht="12.8" hidden="false" customHeight="false" outlineLevel="0" collapsed="false"/>
    <row r="1035098" customFormat="false" ht="12.8" hidden="false" customHeight="false" outlineLevel="0" collapsed="false"/>
    <row r="1035099" customFormat="false" ht="12.8" hidden="false" customHeight="false" outlineLevel="0" collapsed="false"/>
    <row r="1035100" customFormat="false" ht="12.8" hidden="false" customHeight="false" outlineLevel="0" collapsed="false"/>
    <row r="1035101" customFormat="false" ht="12.8" hidden="false" customHeight="false" outlineLevel="0" collapsed="false"/>
    <row r="1035102" customFormat="false" ht="12.8" hidden="false" customHeight="false" outlineLevel="0" collapsed="false"/>
    <row r="1035103" customFormat="false" ht="12.8" hidden="false" customHeight="false" outlineLevel="0" collapsed="false"/>
    <row r="1035104" customFormat="false" ht="12.8" hidden="false" customHeight="false" outlineLevel="0" collapsed="false"/>
    <row r="1035105" customFormat="false" ht="12.8" hidden="false" customHeight="false" outlineLevel="0" collapsed="false"/>
    <row r="1035106" customFormat="false" ht="12.8" hidden="false" customHeight="false" outlineLevel="0" collapsed="false"/>
    <row r="1035107" customFormat="false" ht="12.8" hidden="false" customHeight="false" outlineLevel="0" collapsed="false"/>
    <row r="1035108" customFormat="false" ht="12.8" hidden="false" customHeight="false" outlineLevel="0" collapsed="false"/>
    <row r="1035109" customFormat="false" ht="12.8" hidden="false" customHeight="false" outlineLevel="0" collapsed="false"/>
    <row r="1035110" customFormat="false" ht="12.8" hidden="false" customHeight="false" outlineLevel="0" collapsed="false"/>
    <row r="1035111" customFormat="false" ht="12.8" hidden="false" customHeight="false" outlineLevel="0" collapsed="false"/>
    <row r="1035112" customFormat="false" ht="12.8" hidden="false" customHeight="false" outlineLevel="0" collapsed="false"/>
    <row r="1035113" customFormat="false" ht="12.8" hidden="false" customHeight="false" outlineLevel="0" collapsed="false"/>
    <row r="1035114" customFormat="false" ht="12.8" hidden="false" customHeight="false" outlineLevel="0" collapsed="false"/>
    <row r="1035115" customFormat="false" ht="12.8" hidden="false" customHeight="false" outlineLevel="0" collapsed="false"/>
    <row r="1035116" customFormat="false" ht="12.8" hidden="false" customHeight="false" outlineLevel="0" collapsed="false"/>
    <row r="1035117" customFormat="false" ht="12.8" hidden="false" customHeight="false" outlineLevel="0" collapsed="false"/>
    <row r="1035118" customFormat="false" ht="12.8" hidden="false" customHeight="false" outlineLevel="0" collapsed="false"/>
    <row r="1035119" customFormat="false" ht="12.8" hidden="false" customHeight="false" outlineLevel="0" collapsed="false"/>
    <row r="1035120" customFormat="false" ht="12.8" hidden="false" customHeight="false" outlineLevel="0" collapsed="false"/>
    <row r="1035121" customFormat="false" ht="12.8" hidden="false" customHeight="false" outlineLevel="0" collapsed="false"/>
    <row r="1035122" customFormat="false" ht="12.8" hidden="false" customHeight="false" outlineLevel="0" collapsed="false"/>
    <row r="1035123" customFormat="false" ht="12.8" hidden="false" customHeight="false" outlineLevel="0" collapsed="false"/>
    <row r="1035124" customFormat="false" ht="12.8" hidden="false" customHeight="false" outlineLevel="0" collapsed="false"/>
    <row r="1035125" customFormat="false" ht="12.8" hidden="false" customHeight="false" outlineLevel="0" collapsed="false"/>
    <row r="1035126" customFormat="false" ht="12.8" hidden="false" customHeight="false" outlineLevel="0" collapsed="false"/>
    <row r="1035127" customFormat="false" ht="12.8" hidden="false" customHeight="false" outlineLevel="0" collapsed="false"/>
    <row r="1035128" customFormat="false" ht="12.8" hidden="false" customHeight="false" outlineLevel="0" collapsed="false"/>
    <row r="1035129" customFormat="false" ht="12.8" hidden="false" customHeight="false" outlineLevel="0" collapsed="false"/>
    <row r="1035130" customFormat="false" ht="12.8" hidden="false" customHeight="false" outlineLevel="0" collapsed="false"/>
    <row r="1035131" customFormat="false" ht="12.8" hidden="false" customHeight="false" outlineLevel="0" collapsed="false"/>
    <row r="1035132" customFormat="false" ht="12.8" hidden="false" customHeight="false" outlineLevel="0" collapsed="false"/>
    <row r="1035133" customFormat="false" ht="12.8" hidden="false" customHeight="false" outlineLevel="0" collapsed="false"/>
    <row r="1035134" customFormat="false" ht="12.8" hidden="false" customHeight="false" outlineLevel="0" collapsed="false"/>
    <row r="1035135" customFormat="false" ht="12.8" hidden="false" customHeight="false" outlineLevel="0" collapsed="false"/>
    <row r="1035136" customFormat="false" ht="12.8" hidden="false" customHeight="false" outlineLevel="0" collapsed="false"/>
    <row r="1035137" customFormat="false" ht="12.8" hidden="false" customHeight="false" outlineLevel="0" collapsed="false"/>
    <row r="1035138" customFormat="false" ht="12.8" hidden="false" customHeight="false" outlineLevel="0" collapsed="false"/>
    <row r="1035139" customFormat="false" ht="12.8" hidden="false" customHeight="false" outlineLevel="0" collapsed="false"/>
    <row r="1035140" customFormat="false" ht="12.8" hidden="false" customHeight="false" outlineLevel="0" collapsed="false"/>
    <row r="1035141" customFormat="false" ht="12.8" hidden="false" customHeight="false" outlineLevel="0" collapsed="false"/>
    <row r="1035142" customFormat="false" ht="12.8" hidden="false" customHeight="false" outlineLevel="0" collapsed="false"/>
    <row r="1035143" customFormat="false" ht="12.8" hidden="false" customHeight="false" outlineLevel="0" collapsed="false"/>
    <row r="1035144" customFormat="false" ht="12.8" hidden="false" customHeight="false" outlineLevel="0" collapsed="false"/>
    <row r="1035145" customFormat="false" ht="12.8" hidden="false" customHeight="false" outlineLevel="0" collapsed="false"/>
    <row r="1035146" customFormat="false" ht="12.8" hidden="false" customHeight="false" outlineLevel="0" collapsed="false"/>
    <row r="1035147" customFormat="false" ht="12.8" hidden="false" customHeight="false" outlineLevel="0" collapsed="false"/>
    <row r="1035148" customFormat="false" ht="12.8" hidden="false" customHeight="false" outlineLevel="0" collapsed="false"/>
    <row r="1035149" customFormat="false" ht="12.8" hidden="false" customHeight="false" outlineLevel="0" collapsed="false"/>
    <row r="1035150" customFormat="false" ht="12.8" hidden="false" customHeight="false" outlineLevel="0" collapsed="false"/>
    <row r="1035151" customFormat="false" ht="12.8" hidden="false" customHeight="false" outlineLevel="0" collapsed="false"/>
    <row r="1035152" customFormat="false" ht="12.8" hidden="false" customHeight="false" outlineLevel="0" collapsed="false"/>
    <row r="1035153" customFormat="false" ht="12.8" hidden="false" customHeight="false" outlineLevel="0" collapsed="false"/>
    <row r="1035154" customFormat="false" ht="12.8" hidden="false" customHeight="false" outlineLevel="0" collapsed="false"/>
    <row r="1035155" customFormat="false" ht="12.8" hidden="false" customHeight="false" outlineLevel="0" collapsed="false"/>
    <row r="1035156" customFormat="false" ht="12.8" hidden="false" customHeight="false" outlineLevel="0" collapsed="false"/>
    <row r="1035157" customFormat="false" ht="12.8" hidden="false" customHeight="false" outlineLevel="0" collapsed="false"/>
    <row r="1035158" customFormat="false" ht="12.8" hidden="false" customHeight="false" outlineLevel="0" collapsed="false"/>
    <row r="1035159" customFormat="false" ht="12.8" hidden="false" customHeight="false" outlineLevel="0" collapsed="false"/>
    <row r="1035160" customFormat="false" ht="12.8" hidden="false" customHeight="false" outlineLevel="0" collapsed="false"/>
    <row r="1035161" customFormat="false" ht="12.8" hidden="false" customHeight="false" outlineLevel="0" collapsed="false"/>
    <row r="1035162" customFormat="false" ht="12.8" hidden="false" customHeight="false" outlineLevel="0" collapsed="false"/>
    <row r="1035163" customFormat="false" ht="12.8" hidden="false" customHeight="false" outlineLevel="0" collapsed="false"/>
    <row r="1035164" customFormat="false" ht="12.8" hidden="false" customHeight="false" outlineLevel="0" collapsed="false"/>
    <row r="1035165" customFormat="false" ht="12.8" hidden="false" customHeight="false" outlineLevel="0" collapsed="false"/>
    <row r="1035166" customFormat="false" ht="12.8" hidden="false" customHeight="false" outlineLevel="0" collapsed="false"/>
    <row r="1035167" customFormat="false" ht="12.8" hidden="false" customHeight="false" outlineLevel="0" collapsed="false"/>
    <row r="1035168" customFormat="false" ht="12.8" hidden="false" customHeight="false" outlineLevel="0" collapsed="false"/>
    <row r="1035169" customFormat="false" ht="12.8" hidden="false" customHeight="false" outlineLevel="0" collapsed="false"/>
    <row r="1035170" customFormat="false" ht="12.8" hidden="false" customHeight="false" outlineLevel="0" collapsed="false"/>
    <row r="1035171" customFormat="false" ht="12.8" hidden="false" customHeight="false" outlineLevel="0" collapsed="false"/>
    <row r="1035172" customFormat="false" ht="12.8" hidden="false" customHeight="false" outlineLevel="0" collapsed="false"/>
    <row r="1035173" customFormat="false" ht="12.8" hidden="false" customHeight="false" outlineLevel="0" collapsed="false"/>
    <row r="1035174" customFormat="false" ht="12.8" hidden="false" customHeight="false" outlineLevel="0" collapsed="false"/>
    <row r="1035175" customFormat="false" ht="12.8" hidden="false" customHeight="false" outlineLevel="0" collapsed="false"/>
    <row r="1035176" customFormat="false" ht="12.8" hidden="false" customHeight="false" outlineLevel="0" collapsed="false"/>
    <row r="1035177" customFormat="false" ht="12.8" hidden="false" customHeight="false" outlineLevel="0" collapsed="false"/>
    <row r="1035178" customFormat="false" ht="12.8" hidden="false" customHeight="false" outlineLevel="0" collapsed="false"/>
    <row r="1035179" customFormat="false" ht="12.8" hidden="false" customHeight="false" outlineLevel="0" collapsed="false"/>
    <row r="1035180" customFormat="false" ht="12.8" hidden="false" customHeight="false" outlineLevel="0" collapsed="false"/>
    <row r="1035181" customFormat="false" ht="12.8" hidden="false" customHeight="false" outlineLevel="0" collapsed="false"/>
    <row r="1035182" customFormat="false" ht="12.8" hidden="false" customHeight="false" outlineLevel="0" collapsed="false"/>
    <row r="1035183" customFormat="false" ht="12.8" hidden="false" customHeight="false" outlineLevel="0" collapsed="false"/>
    <row r="1035184" customFormat="false" ht="12.8" hidden="false" customHeight="false" outlineLevel="0" collapsed="false"/>
    <row r="1035185" customFormat="false" ht="12.8" hidden="false" customHeight="false" outlineLevel="0" collapsed="false"/>
    <row r="1035186" customFormat="false" ht="12.8" hidden="false" customHeight="false" outlineLevel="0" collapsed="false"/>
    <row r="1035187" customFormat="false" ht="12.8" hidden="false" customHeight="false" outlineLevel="0" collapsed="false"/>
    <row r="1035188" customFormat="false" ht="12.8" hidden="false" customHeight="false" outlineLevel="0" collapsed="false"/>
    <row r="1035189" customFormat="false" ht="12.8" hidden="false" customHeight="false" outlineLevel="0" collapsed="false"/>
    <row r="1035190" customFormat="false" ht="12.8" hidden="false" customHeight="false" outlineLevel="0" collapsed="false"/>
    <row r="1035191" customFormat="false" ht="12.8" hidden="false" customHeight="false" outlineLevel="0" collapsed="false"/>
    <row r="1035192" customFormat="false" ht="12.8" hidden="false" customHeight="false" outlineLevel="0" collapsed="false"/>
    <row r="1035193" customFormat="false" ht="12.8" hidden="false" customHeight="false" outlineLevel="0" collapsed="false"/>
    <row r="1035194" customFormat="false" ht="12.8" hidden="false" customHeight="false" outlineLevel="0" collapsed="false"/>
    <row r="1035195" customFormat="false" ht="12.8" hidden="false" customHeight="false" outlineLevel="0" collapsed="false"/>
    <row r="1035196" customFormat="false" ht="12.8" hidden="false" customHeight="false" outlineLevel="0" collapsed="false"/>
    <row r="1035197" customFormat="false" ht="12.8" hidden="false" customHeight="false" outlineLevel="0" collapsed="false"/>
    <row r="1035198" customFormat="false" ht="12.8" hidden="false" customHeight="false" outlineLevel="0" collapsed="false"/>
    <row r="1035199" customFormat="false" ht="12.8" hidden="false" customHeight="false" outlineLevel="0" collapsed="false"/>
    <row r="1035200" customFormat="false" ht="12.8" hidden="false" customHeight="false" outlineLevel="0" collapsed="false"/>
    <row r="1035201" customFormat="false" ht="12.8" hidden="false" customHeight="false" outlineLevel="0" collapsed="false"/>
    <row r="1035202" customFormat="false" ht="12.8" hidden="false" customHeight="false" outlineLevel="0" collapsed="false"/>
    <row r="1035203" customFormat="false" ht="12.8" hidden="false" customHeight="false" outlineLevel="0" collapsed="false"/>
    <row r="1035204" customFormat="false" ht="12.8" hidden="false" customHeight="false" outlineLevel="0" collapsed="false"/>
    <row r="1035205" customFormat="false" ht="12.8" hidden="false" customHeight="false" outlineLevel="0" collapsed="false"/>
    <row r="1035206" customFormat="false" ht="12.8" hidden="false" customHeight="false" outlineLevel="0" collapsed="false"/>
    <row r="1035207" customFormat="false" ht="12.8" hidden="false" customHeight="false" outlineLevel="0" collapsed="false"/>
    <row r="1035208" customFormat="false" ht="12.8" hidden="false" customHeight="false" outlineLevel="0" collapsed="false"/>
    <row r="1035209" customFormat="false" ht="12.8" hidden="false" customHeight="false" outlineLevel="0" collapsed="false"/>
    <row r="1035210" customFormat="false" ht="12.8" hidden="false" customHeight="false" outlineLevel="0" collapsed="false"/>
    <row r="1035211" customFormat="false" ht="12.8" hidden="false" customHeight="false" outlineLevel="0" collapsed="false"/>
    <row r="1035212" customFormat="false" ht="12.8" hidden="false" customHeight="false" outlineLevel="0" collapsed="false"/>
    <row r="1035213" customFormat="false" ht="12.8" hidden="false" customHeight="false" outlineLevel="0" collapsed="false"/>
    <row r="1035214" customFormat="false" ht="12.8" hidden="false" customHeight="false" outlineLevel="0" collapsed="false"/>
    <row r="1035215" customFormat="false" ht="12.8" hidden="false" customHeight="false" outlineLevel="0" collapsed="false"/>
    <row r="1035216" customFormat="false" ht="12.8" hidden="false" customHeight="false" outlineLevel="0" collapsed="false"/>
    <row r="1035217" customFormat="false" ht="12.8" hidden="false" customHeight="false" outlineLevel="0" collapsed="false"/>
    <row r="1035218" customFormat="false" ht="12.8" hidden="false" customHeight="false" outlineLevel="0" collapsed="false"/>
    <row r="1035219" customFormat="false" ht="12.8" hidden="false" customHeight="false" outlineLevel="0" collapsed="false"/>
    <row r="1035220" customFormat="false" ht="12.8" hidden="false" customHeight="false" outlineLevel="0" collapsed="false"/>
    <row r="1035221" customFormat="false" ht="12.8" hidden="false" customHeight="false" outlineLevel="0" collapsed="false"/>
    <row r="1035222" customFormat="false" ht="12.8" hidden="false" customHeight="false" outlineLevel="0" collapsed="false"/>
    <row r="1035223" customFormat="false" ht="12.8" hidden="false" customHeight="false" outlineLevel="0" collapsed="false"/>
    <row r="1035224" customFormat="false" ht="12.8" hidden="false" customHeight="false" outlineLevel="0" collapsed="false"/>
    <row r="1035225" customFormat="false" ht="12.8" hidden="false" customHeight="false" outlineLevel="0" collapsed="false"/>
    <row r="1035226" customFormat="false" ht="12.8" hidden="false" customHeight="false" outlineLevel="0" collapsed="false"/>
    <row r="1035227" customFormat="false" ht="12.8" hidden="false" customHeight="false" outlineLevel="0" collapsed="false"/>
    <row r="1035228" customFormat="false" ht="12.8" hidden="false" customHeight="false" outlineLevel="0" collapsed="false"/>
    <row r="1035229" customFormat="false" ht="12.8" hidden="false" customHeight="false" outlineLevel="0" collapsed="false"/>
    <row r="1035230" customFormat="false" ht="12.8" hidden="false" customHeight="false" outlineLevel="0" collapsed="false"/>
    <row r="1035231" customFormat="false" ht="12.8" hidden="false" customHeight="false" outlineLevel="0" collapsed="false"/>
    <row r="1035232" customFormat="false" ht="12.8" hidden="false" customHeight="false" outlineLevel="0" collapsed="false"/>
    <row r="1035233" customFormat="false" ht="12.8" hidden="false" customHeight="false" outlineLevel="0" collapsed="false"/>
    <row r="1035234" customFormat="false" ht="12.8" hidden="false" customHeight="false" outlineLevel="0" collapsed="false"/>
    <row r="1035235" customFormat="false" ht="12.8" hidden="false" customHeight="false" outlineLevel="0" collapsed="false"/>
    <row r="1035236" customFormat="false" ht="12.8" hidden="false" customHeight="false" outlineLevel="0" collapsed="false"/>
    <row r="1035237" customFormat="false" ht="12.8" hidden="false" customHeight="false" outlineLevel="0" collapsed="false"/>
    <row r="1035238" customFormat="false" ht="12.8" hidden="false" customHeight="false" outlineLevel="0" collapsed="false"/>
    <row r="1035239" customFormat="false" ht="12.8" hidden="false" customHeight="false" outlineLevel="0" collapsed="false"/>
    <row r="1035240" customFormat="false" ht="12.8" hidden="false" customHeight="false" outlineLevel="0" collapsed="false"/>
    <row r="1035241" customFormat="false" ht="12.8" hidden="false" customHeight="false" outlineLevel="0" collapsed="false"/>
    <row r="1035242" customFormat="false" ht="12.8" hidden="false" customHeight="false" outlineLevel="0" collapsed="false"/>
    <row r="1035243" customFormat="false" ht="12.8" hidden="false" customHeight="false" outlineLevel="0" collapsed="false"/>
    <row r="1035244" customFormat="false" ht="12.8" hidden="false" customHeight="false" outlineLevel="0" collapsed="false"/>
    <row r="1035245" customFormat="false" ht="12.8" hidden="false" customHeight="false" outlineLevel="0" collapsed="false"/>
    <row r="1035246" customFormat="false" ht="12.8" hidden="false" customHeight="false" outlineLevel="0" collapsed="false"/>
    <row r="1035247" customFormat="false" ht="12.8" hidden="false" customHeight="false" outlineLevel="0" collapsed="false"/>
    <row r="1035248" customFormat="false" ht="12.8" hidden="false" customHeight="false" outlineLevel="0" collapsed="false"/>
    <row r="1035249" customFormat="false" ht="12.8" hidden="false" customHeight="false" outlineLevel="0" collapsed="false"/>
    <row r="1035250" customFormat="false" ht="12.8" hidden="false" customHeight="false" outlineLevel="0" collapsed="false"/>
    <row r="1035251" customFormat="false" ht="12.8" hidden="false" customHeight="false" outlineLevel="0" collapsed="false"/>
    <row r="1035252" customFormat="false" ht="12.8" hidden="false" customHeight="false" outlineLevel="0" collapsed="false"/>
    <row r="1035253" customFormat="false" ht="12.8" hidden="false" customHeight="false" outlineLevel="0" collapsed="false"/>
    <row r="1035254" customFormat="false" ht="12.8" hidden="false" customHeight="false" outlineLevel="0" collapsed="false"/>
    <row r="1035255" customFormat="false" ht="12.8" hidden="false" customHeight="false" outlineLevel="0" collapsed="false"/>
    <row r="1035256" customFormat="false" ht="12.8" hidden="false" customHeight="false" outlineLevel="0" collapsed="false"/>
    <row r="1035257" customFormat="false" ht="12.8" hidden="false" customHeight="false" outlineLevel="0" collapsed="false"/>
    <row r="1035258" customFormat="false" ht="12.8" hidden="false" customHeight="false" outlineLevel="0" collapsed="false"/>
    <row r="1035259" customFormat="false" ht="12.8" hidden="false" customHeight="false" outlineLevel="0" collapsed="false"/>
    <row r="1035260" customFormat="false" ht="12.8" hidden="false" customHeight="false" outlineLevel="0" collapsed="false"/>
    <row r="1035261" customFormat="false" ht="12.8" hidden="false" customHeight="false" outlineLevel="0" collapsed="false"/>
    <row r="1035262" customFormat="false" ht="12.8" hidden="false" customHeight="false" outlineLevel="0" collapsed="false"/>
    <row r="1035263" customFormat="false" ht="12.8" hidden="false" customHeight="false" outlineLevel="0" collapsed="false"/>
    <row r="1035264" customFormat="false" ht="12.8" hidden="false" customHeight="false" outlineLevel="0" collapsed="false"/>
    <row r="1035265" customFormat="false" ht="12.8" hidden="false" customHeight="false" outlineLevel="0" collapsed="false"/>
    <row r="1035266" customFormat="false" ht="12.8" hidden="false" customHeight="false" outlineLevel="0" collapsed="false"/>
    <row r="1035267" customFormat="false" ht="12.8" hidden="false" customHeight="false" outlineLevel="0" collapsed="false"/>
    <row r="1035268" customFormat="false" ht="12.8" hidden="false" customHeight="false" outlineLevel="0" collapsed="false"/>
    <row r="1035269" customFormat="false" ht="12.8" hidden="false" customHeight="false" outlineLevel="0" collapsed="false"/>
    <row r="1035270" customFormat="false" ht="12.8" hidden="false" customHeight="false" outlineLevel="0" collapsed="false"/>
    <row r="1035271" customFormat="false" ht="12.8" hidden="false" customHeight="false" outlineLevel="0" collapsed="false"/>
    <row r="1035272" customFormat="false" ht="12.8" hidden="false" customHeight="false" outlineLevel="0" collapsed="false"/>
    <row r="1035273" customFormat="false" ht="12.8" hidden="false" customHeight="false" outlineLevel="0" collapsed="false"/>
    <row r="1035274" customFormat="false" ht="12.8" hidden="false" customHeight="false" outlineLevel="0" collapsed="false"/>
    <row r="1035275" customFormat="false" ht="12.8" hidden="false" customHeight="false" outlineLevel="0" collapsed="false"/>
    <row r="1035276" customFormat="false" ht="12.8" hidden="false" customHeight="false" outlineLevel="0" collapsed="false"/>
    <row r="1035277" customFormat="false" ht="12.8" hidden="false" customHeight="false" outlineLevel="0" collapsed="false"/>
    <row r="1035278" customFormat="false" ht="12.8" hidden="false" customHeight="false" outlineLevel="0" collapsed="false"/>
    <row r="1035279" customFormat="false" ht="12.8" hidden="false" customHeight="false" outlineLevel="0" collapsed="false"/>
    <row r="1035280" customFormat="false" ht="12.8" hidden="false" customHeight="false" outlineLevel="0" collapsed="false"/>
    <row r="1035281" customFormat="false" ht="12.8" hidden="false" customHeight="false" outlineLevel="0" collapsed="false"/>
    <row r="1035282" customFormat="false" ht="12.8" hidden="false" customHeight="false" outlineLevel="0" collapsed="false"/>
    <row r="1035283" customFormat="false" ht="12.8" hidden="false" customHeight="false" outlineLevel="0" collapsed="false"/>
    <row r="1035284" customFormat="false" ht="12.8" hidden="false" customHeight="false" outlineLevel="0" collapsed="false"/>
    <row r="1035285" customFormat="false" ht="12.8" hidden="false" customHeight="false" outlineLevel="0" collapsed="false"/>
    <row r="1035286" customFormat="false" ht="12.8" hidden="false" customHeight="false" outlineLevel="0" collapsed="false"/>
    <row r="1035287" customFormat="false" ht="12.8" hidden="false" customHeight="false" outlineLevel="0" collapsed="false"/>
    <row r="1035288" customFormat="false" ht="12.8" hidden="false" customHeight="false" outlineLevel="0" collapsed="false"/>
    <row r="1035289" customFormat="false" ht="12.8" hidden="false" customHeight="false" outlineLevel="0" collapsed="false"/>
    <row r="1035290" customFormat="false" ht="12.8" hidden="false" customHeight="false" outlineLevel="0" collapsed="false"/>
    <row r="1035291" customFormat="false" ht="12.8" hidden="false" customHeight="false" outlineLevel="0" collapsed="false"/>
    <row r="1035292" customFormat="false" ht="12.8" hidden="false" customHeight="false" outlineLevel="0" collapsed="false"/>
    <row r="1035293" customFormat="false" ht="12.8" hidden="false" customHeight="false" outlineLevel="0" collapsed="false"/>
    <row r="1035294" customFormat="false" ht="12.8" hidden="false" customHeight="false" outlineLevel="0" collapsed="false"/>
    <row r="1035295" customFormat="false" ht="12.8" hidden="false" customHeight="false" outlineLevel="0" collapsed="false"/>
    <row r="1035296" customFormat="false" ht="12.8" hidden="false" customHeight="false" outlineLevel="0" collapsed="false"/>
    <row r="1035297" customFormat="false" ht="12.8" hidden="false" customHeight="false" outlineLevel="0" collapsed="false"/>
    <row r="1035298" customFormat="false" ht="12.8" hidden="false" customHeight="false" outlineLevel="0" collapsed="false"/>
    <row r="1035299" customFormat="false" ht="12.8" hidden="false" customHeight="false" outlineLevel="0" collapsed="false"/>
    <row r="1035300" customFormat="false" ht="12.8" hidden="false" customHeight="false" outlineLevel="0" collapsed="false"/>
    <row r="1035301" customFormat="false" ht="12.8" hidden="false" customHeight="false" outlineLevel="0" collapsed="false"/>
    <row r="1035302" customFormat="false" ht="12.8" hidden="false" customHeight="false" outlineLevel="0" collapsed="false"/>
    <row r="1035303" customFormat="false" ht="12.8" hidden="false" customHeight="false" outlineLevel="0" collapsed="false"/>
    <row r="1035304" customFormat="false" ht="12.8" hidden="false" customHeight="false" outlineLevel="0" collapsed="false"/>
    <row r="1035305" customFormat="false" ht="12.8" hidden="false" customHeight="false" outlineLevel="0" collapsed="false"/>
    <row r="1035306" customFormat="false" ht="12.8" hidden="false" customHeight="false" outlineLevel="0" collapsed="false"/>
    <row r="1035307" customFormat="false" ht="12.8" hidden="false" customHeight="false" outlineLevel="0" collapsed="false"/>
    <row r="1035308" customFormat="false" ht="12.8" hidden="false" customHeight="false" outlineLevel="0" collapsed="false"/>
    <row r="1035309" customFormat="false" ht="12.8" hidden="false" customHeight="false" outlineLevel="0" collapsed="false"/>
    <row r="1035310" customFormat="false" ht="12.8" hidden="false" customHeight="false" outlineLevel="0" collapsed="false"/>
    <row r="1035311" customFormat="false" ht="12.8" hidden="false" customHeight="false" outlineLevel="0" collapsed="false"/>
    <row r="1035312" customFormat="false" ht="12.8" hidden="false" customHeight="false" outlineLevel="0" collapsed="false"/>
    <row r="1035313" customFormat="false" ht="12.8" hidden="false" customHeight="false" outlineLevel="0" collapsed="false"/>
    <row r="1035314" customFormat="false" ht="12.8" hidden="false" customHeight="false" outlineLevel="0" collapsed="false"/>
    <row r="1035315" customFormat="false" ht="12.8" hidden="false" customHeight="false" outlineLevel="0" collapsed="false"/>
    <row r="1035316" customFormat="false" ht="12.8" hidden="false" customHeight="false" outlineLevel="0" collapsed="false"/>
    <row r="1035317" customFormat="false" ht="12.8" hidden="false" customHeight="false" outlineLevel="0" collapsed="false"/>
    <row r="1035318" customFormat="false" ht="12.8" hidden="false" customHeight="false" outlineLevel="0" collapsed="false"/>
    <row r="1035319" customFormat="false" ht="12.8" hidden="false" customHeight="false" outlineLevel="0" collapsed="false"/>
    <row r="1035320" customFormat="false" ht="12.8" hidden="false" customHeight="false" outlineLevel="0" collapsed="false"/>
    <row r="1035321" customFormat="false" ht="12.8" hidden="false" customHeight="false" outlineLevel="0" collapsed="false"/>
    <row r="1035322" customFormat="false" ht="12.8" hidden="false" customHeight="false" outlineLevel="0" collapsed="false"/>
    <row r="1035323" customFormat="false" ht="12.8" hidden="false" customHeight="false" outlineLevel="0" collapsed="false"/>
    <row r="1035324" customFormat="false" ht="12.8" hidden="false" customHeight="false" outlineLevel="0" collapsed="false"/>
    <row r="1035325" customFormat="false" ht="12.8" hidden="false" customHeight="false" outlineLevel="0" collapsed="false"/>
    <row r="1035326" customFormat="false" ht="12.8" hidden="false" customHeight="false" outlineLevel="0" collapsed="false"/>
    <row r="1035327" customFormat="false" ht="12.8" hidden="false" customHeight="false" outlineLevel="0" collapsed="false"/>
    <row r="1035328" customFormat="false" ht="12.8" hidden="false" customHeight="false" outlineLevel="0" collapsed="false"/>
    <row r="1035329" customFormat="false" ht="12.8" hidden="false" customHeight="false" outlineLevel="0" collapsed="false"/>
    <row r="1035330" customFormat="false" ht="12.8" hidden="false" customHeight="false" outlineLevel="0" collapsed="false"/>
    <row r="1035331" customFormat="false" ht="12.8" hidden="false" customHeight="false" outlineLevel="0" collapsed="false"/>
    <row r="1035332" customFormat="false" ht="12.8" hidden="false" customHeight="false" outlineLevel="0" collapsed="false"/>
    <row r="1035333" customFormat="false" ht="12.8" hidden="false" customHeight="false" outlineLevel="0" collapsed="false"/>
    <row r="1035334" customFormat="false" ht="12.8" hidden="false" customHeight="false" outlineLevel="0" collapsed="false"/>
    <row r="1035335" customFormat="false" ht="12.8" hidden="false" customHeight="false" outlineLevel="0" collapsed="false"/>
    <row r="1035336" customFormat="false" ht="12.8" hidden="false" customHeight="false" outlineLevel="0" collapsed="false"/>
    <row r="1035337" customFormat="false" ht="12.8" hidden="false" customHeight="false" outlineLevel="0" collapsed="false"/>
    <row r="1035338" customFormat="false" ht="12.8" hidden="false" customHeight="false" outlineLevel="0" collapsed="false"/>
    <row r="1035339" customFormat="false" ht="12.8" hidden="false" customHeight="false" outlineLevel="0" collapsed="false"/>
    <row r="1035340" customFormat="false" ht="12.8" hidden="false" customHeight="false" outlineLevel="0" collapsed="false"/>
    <row r="1035341" customFormat="false" ht="12.8" hidden="false" customHeight="false" outlineLevel="0" collapsed="false"/>
    <row r="1035342" customFormat="false" ht="12.8" hidden="false" customHeight="false" outlineLevel="0" collapsed="false"/>
    <row r="1035343" customFormat="false" ht="12.8" hidden="false" customHeight="false" outlineLevel="0" collapsed="false"/>
    <row r="1035344" customFormat="false" ht="12.8" hidden="false" customHeight="false" outlineLevel="0" collapsed="false"/>
    <row r="1035345" customFormat="false" ht="12.8" hidden="false" customHeight="false" outlineLevel="0" collapsed="false"/>
    <row r="1035346" customFormat="false" ht="12.8" hidden="false" customHeight="false" outlineLevel="0" collapsed="false"/>
    <row r="1035347" customFormat="false" ht="12.8" hidden="false" customHeight="false" outlineLevel="0" collapsed="false"/>
    <row r="1035348" customFormat="false" ht="12.8" hidden="false" customHeight="false" outlineLevel="0" collapsed="false"/>
    <row r="1035349" customFormat="false" ht="12.8" hidden="false" customHeight="false" outlineLevel="0" collapsed="false"/>
    <row r="1035350" customFormat="false" ht="12.8" hidden="false" customHeight="false" outlineLevel="0" collapsed="false"/>
    <row r="1035351" customFormat="false" ht="12.8" hidden="false" customHeight="false" outlineLevel="0" collapsed="false"/>
    <row r="1035352" customFormat="false" ht="12.8" hidden="false" customHeight="false" outlineLevel="0" collapsed="false"/>
    <row r="1035353" customFormat="false" ht="12.8" hidden="false" customHeight="false" outlineLevel="0" collapsed="false"/>
    <row r="1035354" customFormat="false" ht="12.8" hidden="false" customHeight="false" outlineLevel="0" collapsed="false"/>
    <row r="1035355" customFormat="false" ht="12.8" hidden="false" customHeight="false" outlineLevel="0" collapsed="false"/>
    <row r="1035356" customFormat="false" ht="12.8" hidden="false" customHeight="false" outlineLevel="0" collapsed="false"/>
    <row r="1035357" customFormat="false" ht="12.8" hidden="false" customHeight="false" outlineLevel="0" collapsed="false"/>
    <row r="1035358" customFormat="false" ht="12.8" hidden="false" customHeight="false" outlineLevel="0" collapsed="false"/>
    <row r="1035359" customFormat="false" ht="12.8" hidden="false" customHeight="false" outlineLevel="0" collapsed="false"/>
    <row r="1035360" customFormat="false" ht="12.8" hidden="false" customHeight="false" outlineLevel="0" collapsed="false"/>
    <row r="1035361" customFormat="false" ht="12.8" hidden="false" customHeight="false" outlineLevel="0" collapsed="false"/>
    <row r="1035362" customFormat="false" ht="12.8" hidden="false" customHeight="false" outlineLevel="0" collapsed="false"/>
    <row r="1035363" customFormat="false" ht="12.8" hidden="false" customHeight="false" outlineLevel="0" collapsed="false"/>
    <row r="1035364" customFormat="false" ht="12.8" hidden="false" customHeight="false" outlineLevel="0" collapsed="false"/>
    <row r="1035365" customFormat="false" ht="12.8" hidden="false" customHeight="false" outlineLevel="0" collapsed="false"/>
    <row r="1035366" customFormat="false" ht="12.8" hidden="false" customHeight="false" outlineLevel="0" collapsed="false"/>
    <row r="1035367" customFormat="false" ht="12.8" hidden="false" customHeight="false" outlineLevel="0" collapsed="false"/>
    <row r="1035368" customFormat="false" ht="12.8" hidden="false" customHeight="false" outlineLevel="0" collapsed="false"/>
    <row r="1035369" customFormat="false" ht="12.8" hidden="false" customHeight="false" outlineLevel="0" collapsed="false"/>
    <row r="1035370" customFormat="false" ht="12.8" hidden="false" customHeight="false" outlineLevel="0" collapsed="false"/>
    <row r="1035371" customFormat="false" ht="12.8" hidden="false" customHeight="false" outlineLevel="0" collapsed="false"/>
    <row r="1035372" customFormat="false" ht="12.8" hidden="false" customHeight="false" outlineLevel="0" collapsed="false"/>
    <row r="1035373" customFormat="false" ht="12.8" hidden="false" customHeight="false" outlineLevel="0" collapsed="false"/>
    <row r="1035374" customFormat="false" ht="12.8" hidden="false" customHeight="false" outlineLevel="0" collapsed="false"/>
    <row r="1035375" customFormat="false" ht="12.8" hidden="false" customHeight="false" outlineLevel="0" collapsed="false"/>
    <row r="1035376" customFormat="false" ht="12.8" hidden="false" customHeight="false" outlineLevel="0" collapsed="false"/>
    <row r="1035377" customFormat="false" ht="12.8" hidden="false" customHeight="false" outlineLevel="0" collapsed="false"/>
    <row r="1035378" customFormat="false" ht="12.8" hidden="false" customHeight="false" outlineLevel="0" collapsed="false"/>
    <row r="1035379" customFormat="false" ht="12.8" hidden="false" customHeight="false" outlineLevel="0" collapsed="false"/>
    <row r="1035380" customFormat="false" ht="12.8" hidden="false" customHeight="false" outlineLevel="0" collapsed="false"/>
    <row r="1035381" customFormat="false" ht="12.8" hidden="false" customHeight="false" outlineLevel="0" collapsed="false"/>
    <row r="1035382" customFormat="false" ht="12.8" hidden="false" customHeight="false" outlineLevel="0" collapsed="false"/>
    <row r="1035383" customFormat="false" ht="12.8" hidden="false" customHeight="false" outlineLevel="0" collapsed="false"/>
    <row r="1035384" customFormat="false" ht="12.8" hidden="false" customHeight="false" outlineLevel="0" collapsed="false"/>
    <row r="1035385" customFormat="false" ht="12.8" hidden="false" customHeight="false" outlineLevel="0" collapsed="false"/>
    <row r="1035386" customFormat="false" ht="12.8" hidden="false" customHeight="false" outlineLevel="0" collapsed="false"/>
    <row r="1035387" customFormat="false" ht="12.8" hidden="false" customHeight="false" outlineLevel="0" collapsed="false"/>
    <row r="1035388" customFormat="false" ht="12.8" hidden="false" customHeight="false" outlineLevel="0" collapsed="false"/>
    <row r="1035389" customFormat="false" ht="12.8" hidden="false" customHeight="false" outlineLevel="0" collapsed="false"/>
    <row r="1035390" customFormat="false" ht="12.8" hidden="false" customHeight="false" outlineLevel="0" collapsed="false"/>
    <row r="1035391" customFormat="false" ht="12.8" hidden="false" customHeight="false" outlineLevel="0" collapsed="false"/>
    <row r="1035392" customFormat="false" ht="12.8" hidden="false" customHeight="false" outlineLevel="0" collapsed="false"/>
    <row r="1035393" customFormat="false" ht="12.8" hidden="false" customHeight="false" outlineLevel="0" collapsed="false"/>
    <row r="1035394" customFormat="false" ht="12.8" hidden="false" customHeight="false" outlineLevel="0" collapsed="false"/>
    <row r="1035395" customFormat="false" ht="12.8" hidden="false" customHeight="false" outlineLevel="0" collapsed="false"/>
    <row r="1035396" customFormat="false" ht="12.8" hidden="false" customHeight="false" outlineLevel="0" collapsed="false"/>
    <row r="1035397" customFormat="false" ht="12.8" hidden="false" customHeight="false" outlineLevel="0" collapsed="false"/>
    <row r="1035398" customFormat="false" ht="12.8" hidden="false" customHeight="false" outlineLevel="0" collapsed="false"/>
    <row r="1035399" customFormat="false" ht="12.8" hidden="false" customHeight="false" outlineLevel="0" collapsed="false"/>
    <row r="1035400" customFormat="false" ht="12.8" hidden="false" customHeight="false" outlineLevel="0" collapsed="false"/>
    <row r="1035401" customFormat="false" ht="12.8" hidden="false" customHeight="false" outlineLevel="0" collapsed="false"/>
    <row r="1035402" customFormat="false" ht="12.8" hidden="false" customHeight="false" outlineLevel="0" collapsed="false"/>
    <row r="1035403" customFormat="false" ht="12.8" hidden="false" customHeight="false" outlineLevel="0" collapsed="false"/>
    <row r="1035404" customFormat="false" ht="12.8" hidden="false" customHeight="false" outlineLevel="0" collapsed="false"/>
    <row r="1035405" customFormat="false" ht="12.8" hidden="false" customHeight="false" outlineLevel="0" collapsed="false"/>
    <row r="1035406" customFormat="false" ht="12.8" hidden="false" customHeight="false" outlineLevel="0" collapsed="false"/>
    <row r="1035407" customFormat="false" ht="12.8" hidden="false" customHeight="false" outlineLevel="0" collapsed="false"/>
    <row r="1035408" customFormat="false" ht="12.8" hidden="false" customHeight="false" outlineLevel="0" collapsed="false"/>
    <row r="1035409" customFormat="false" ht="12.8" hidden="false" customHeight="false" outlineLevel="0" collapsed="false"/>
    <row r="1035410" customFormat="false" ht="12.8" hidden="false" customHeight="false" outlineLevel="0" collapsed="false"/>
    <row r="1035411" customFormat="false" ht="12.8" hidden="false" customHeight="false" outlineLevel="0" collapsed="false"/>
    <row r="1035412" customFormat="false" ht="12.8" hidden="false" customHeight="false" outlineLevel="0" collapsed="false"/>
    <row r="1035413" customFormat="false" ht="12.8" hidden="false" customHeight="false" outlineLevel="0" collapsed="false"/>
    <row r="1035414" customFormat="false" ht="12.8" hidden="false" customHeight="false" outlineLevel="0" collapsed="false"/>
    <row r="1035415" customFormat="false" ht="12.8" hidden="false" customHeight="false" outlineLevel="0" collapsed="false"/>
    <row r="1035416" customFormat="false" ht="12.8" hidden="false" customHeight="false" outlineLevel="0" collapsed="false"/>
    <row r="1035417" customFormat="false" ht="12.8" hidden="false" customHeight="false" outlineLevel="0" collapsed="false"/>
    <row r="1035418" customFormat="false" ht="12.8" hidden="false" customHeight="false" outlineLevel="0" collapsed="false"/>
    <row r="1035419" customFormat="false" ht="12.8" hidden="false" customHeight="false" outlineLevel="0" collapsed="false"/>
    <row r="1035420" customFormat="false" ht="12.8" hidden="false" customHeight="false" outlineLevel="0" collapsed="false"/>
    <row r="1035421" customFormat="false" ht="12.8" hidden="false" customHeight="false" outlineLevel="0" collapsed="false"/>
    <row r="1035422" customFormat="false" ht="12.8" hidden="false" customHeight="false" outlineLevel="0" collapsed="false"/>
    <row r="1035423" customFormat="false" ht="12.8" hidden="false" customHeight="false" outlineLevel="0" collapsed="false"/>
    <row r="1035424" customFormat="false" ht="12.8" hidden="false" customHeight="false" outlineLevel="0" collapsed="false"/>
    <row r="1035425" customFormat="false" ht="12.8" hidden="false" customHeight="false" outlineLevel="0" collapsed="false"/>
    <row r="1035426" customFormat="false" ht="12.8" hidden="false" customHeight="false" outlineLevel="0" collapsed="false"/>
    <row r="1035427" customFormat="false" ht="12.8" hidden="false" customHeight="false" outlineLevel="0" collapsed="false"/>
    <row r="1035428" customFormat="false" ht="12.8" hidden="false" customHeight="false" outlineLevel="0" collapsed="false"/>
    <row r="1035429" customFormat="false" ht="12.8" hidden="false" customHeight="false" outlineLevel="0" collapsed="false"/>
    <row r="1035430" customFormat="false" ht="12.8" hidden="false" customHeight="false" outlineLevel="0" collapsed="false"/>
    <row r="1035431" customFormat="false" ht="12.8" hidden="false" customHeight="false" outlineLevel="0" collapsed="false"/>
    <row r="1035432" customFormat="false" ht="12.8" hidden="false" customHeight="false" outlineLevel="0" collapsed="false"/>
    <row r="1035433" customFormat="false" ht="12.8" hidden="false" customHeight="false" outlineLevel="0" collapsed="false"/>
    <row r="1035434" customFormat="false" ht="12.8" hidden="false" customHeight="false" outlineLevel="0" collapsed="false"/>
    <row r="1035435" customFormat="false" ht="12.8" hidden="false" customHeight="false" outlineLevel="0" collapsed="false"/>
    <row r="1035436" customFormat="false" ht="12.8" hidden="false" customHeight="false" outlineLevel="0" collapsed="false"/>
    <row r="1035437" customFormat="false" ht="12.8" hidden="false" customHeight="false" outlineLevel="0" collapsed="false"/>
    <row r="1035438" customFormat="false" ht="12.8" hidden="false" customHeight="false" outlineLevel="0" collapsed="false"/>
    <row r="1035439" customFormat="false" ht="12.8" hidden="false" customHeight="false" outlineLevel="0" collapsed="false"/>
    <row r="1035440" customFormat="false" ht="12.8" hidden="false" customHeight="false" outlineLevel="0" collapsed="false"/>
    <row r="1035441" customFormat="false" ht="12.8" hidden="false" customHeight="false" outlineLevel="0" collapsed="false"/>
    <row r="1035442" customFormat="false" ht="12.8" hidden="false" customHeight="false" outlineLevel="0" collapsed="false"/>
    <row r="1035443" customFormat="false" ht="12.8" hidden="false" customHeight="false" outlineLevel="0" collapsed="false"/>
    <row r="1035444" customFormat="false" ht="12.8" hidden="false" customHeight="false" outlineLevel="0" collapsed="false"/>
    <row r="1035445" customFormat="false" ht="12.8" hidden="false" customHeight="false" outlineLevel="0" collapsed="false"/>
    <row r="1035446" customFormat="false" ht="12.8" hidden="false" customHeight="false" outlineLevel="0" collapsed="false"/>
    <row r="1035447" customFormat="false" ht="12.8" hidden="false" customHeight="false" outlineLevel="0" collapsed="false"/>
    <row r="1035448" customFormat="false" ht="12.8" hidden="false" customHeight="false" outlineLevel="0" collapsed="false"/>
    <row r="1035449" customFormat="false" ht="12.8" hidden="false" customHeight="false" outlineLevel="0" collapsed="false"/>
    <row r="1035450" customFormat="false" ht="12.8" hidden="false" customHeight="false" outlineLevel="0" collapsed="false"/>
    <row r="1035451" customFormat="false" ht="12.8" hidden="false" customHeight="false" outlineLevel="0" collapsed="false"/>
    <row r="1035452" customFormat="false" ht="12.8" hidden="false" customHeight="false" outlineLevel="0" collapsed="false"/>
    <row r="1035453" customFormat="false" ht="12.8" hidden="false" customHeight="false" outlineLevel="0" collapsed="false"/>
    <row r="1035454" customFormat="false" ht="12.8" hidden="false" customHeight="false" outlineLevel="0" collapsed="false"/>
    <row r="1035455" customFormat="false" ht="12.8" hidden="false" customHeight="false" outlineLevel="0" collapsed="false"/>
    <row r="1035456" customFormat="false" ht="12.8" hidden="false" customHeight="false" outlineLevel="0" collapsed="false"/>
    <row r="1035457" customFormat="false" ht="12.8" hidden="false" customHeight="false" outlineLevel="0" collapsed="false"/>
    <row r="1035458" customFormat="false" ht="12.8" hidden="false" customHeight="false" outlineLevel="0" collapsed="false"/>
    <row r="1035459" customFormat="false" ht="12.8" hidden="false" customHeight="false" outlineLevel="0" collapsed="false"/>
    <row r="1035460" customFormat="false" ht="12.8" hidden="false" customHeight="false" outlineLevel="0" collapsed="false"/>
    <row r="1035461" customFormat="false" ht="12.8" hidden="false" customHeight="false" outlineLevel="0" collapsed="false"/>
    <row r="1035462" customFormat="false" ht="12.8" hidden="false" customHeight="false" outlineLevel="0" collapsed="false"/>
    <row r="1035463" customFormat="false" ht="12.8" hidden="false" customHeight="false" outlineLevel="0" collapsed="false"/>
    <row r="1035464" customFormat="false" ht="12.8" hidden="false" customHeight="false" outlineLevel="0" collapsed="false"/>
    <row r="1035465" customFormat="false" ht="12.8" hidden="false" customHeight="false" outlineLevel="0" collapsed="false"/>
    <row r="1035466" customFormat="false" ht="12.8" hidden="false" customHeight="false" outlineLevel="0" collapsed="false"/>
    <row r="1035467" customFormat="false" ht="12.8" hidden="false" customHeight="false" outlineLevel="0" collapsed="false"/>
    <row r="1035468" customFormat="false" ht="12.8" hidden="false" customHeight="false" outlineLevel="0" collapsed="false"/>
    <row r="1035469" customFormat="false" ht="12.8" hidden="false" customHeight="false" outlineLevel="0" collapsed="false"/>
    <row r="1035470" customFormat="false" ht="12.8" hidden="false" customHeight="false" outlineLevel="0" collapsed="false"/>
    <row r="1035471" customFormat="false" ht="12.8" hidden="false" customHeight="false" outlineLevel="0" collapsed="false"/>
    <row r="1035472" customFormat="false" ht="12.8" hidden="false" customHeight="false" outlineLevel="0" collapsed="false"/>
    <row r="1035473" customFormat="false" ht="12.8" hidden="false" customHeight="false" outlineLevel="0" collapsed="false"/>
    <row r="1035474" customFormat="false" ht="12.8" hidden="false" customHeight="false" outlineLevel="0" collapsed="false"/>
    <row r="1035475" customFormat="false" ht="12.8" hidden="false" customHeight="false" outlineLevel="0" collapsed="false"/>
    <row r="1035476" customFormat="false" ht="12.8" hidden="false" customHeight="false" outlineLevel="0" collapsed="false"/>
    <row r="1035477" customFormat="false" ht="12.8" hidden="false" customHeight="false" outlineLevel="0" collapsed="false"/>
    <row r="1035478" customFormat="false" ht="12.8" hidden="false" customHeight="false" outlineLevel="0" collapsed="false"/>
    <row r="1035479" customFormat="false" ht="12.8" hidden="false" customHeight="false" outlineLevel="0" collapsed="false"/>
    <row r="1035480" customFormat="false" ht="12.8" hidden="false" customHeight="false" outlineLevel="0" collapsed="false"/>
    <row r="1035481" customFormat="false" ht="12.8" hidden="false" customHeight="false" outlineLevel="0" collapsed="false"/>
    <row r="1035482" customFormat="false" ht="12.8" hidden="false" customHeight="false" outlineLevel="0" collapsed="false"/>
    <row r="1035483" customFormat="false" ht="12.8" hidden="false" customHeight="false" outlineLevel="0" collapsed="false"/>
    <row r="1035484" customFormat="false" ht="12.8" hidden="false" customHeight="false" outlineLevel="0" collapsed="false"/>
    <row r="1035485" customFormat="false" ht="12.8" hidden="false" customHeight="false" outlineLevel="0" collapsed="false"/>
    <row r="1035486" customFormat="false" ht="12.8" hidden="false" customHeight="false" outlineLevel="0" collapsed="false"/>
    <row r="1035487" customFormat="false" ht="12.8" hidden="false" customHeight="false" outlineLevel="0" collapsed="false"/>
    <row r="1035488" customFormat="false" ht="12.8" hidden="false" customHeight="false" outlineLevel="0" collapsed="false"/>
    <row r="1035489" customFormat="false" ht="12.8" hidden="false" customHeight="false" outlineLevel="0" collapsed="false"/>
    <row r="1035490" customFormat="false" ht="12.8" hidden="false" customHeight="false" outlineLevel="0" collapsed="false"/>
    <row r="1035491" customFormat="false" ht="12.8" hidden="false" customHeight="false" outlineLevel="0" collapsed="false"/>
    <row r="1035492" customFormat="false" ht="12.8" hidden="false" customHeight="false" outlineLevel="0" collapsed="false"/>
    <row r="1035493" customFormat="false" ht="12.8" hidden="false" customHeight="false" outlineLevel="0" collapsed="false"/>
    <row r="1035494" customFormat="false" ht="12.8" hidden="false" customHeight="false" outlineLevel="0" collapsed="false"/>
    <row r="1035495" customFormat="false" ht="12.8" hidden="false" customHeight="false" outlineLevel="0" collapsed="false"/>
    <row r="1035496" customFormat="false" ht="12.8" hidden="false" customHeight="false" outlineLevel="0" collapsed="false"/>
    <row r="1035497" customFormat="false" ht="12.8" hidden="false" customHeight="false" outlineLevel="0" collapsed="false"/>
    <row r="1035498" customFormat="false" ht="12.8" hidden="false" customHeight="false" outlineLevel="0" collapsed="false"/>
    <row r="1035499" customFormat="false" ht="12.8" hidden="false" customHeight="false" outlineLevel="0" collapsed="false"/>
    <row r="1035500" customFormat="false" ht="12.8" hidden="false" customHeight="false" outlineLevel="0" collapsed="false"/>
    <row r="1035501" customFormat="false" ht="12.8" hidden="false" customHeight="false" outlineLevel="0" collapsed="false"/>
    <row r="1035502" customFormat="false" ht="12.8" hidden="false" customHeight="false" outlineLevel="0" collapsed="false"/>
    <row r="1035503" customFormat="false" ht="12.8" hidden="false" customHeight="false" outlineLevel="0" collapsed="false"/>
    <row r="1035504" customFormat="false" ht="12.8" hidden="false" customHeight="false" outlineLevel="0" collapsed="false"/>
    <row r="1035505" customFormat="false" ht="12.8" hidden="false" customHeight="false" outlineLevel="0" collapsed="false"/>
    <row r="1035506" customFormat="false" ht="12.8" hidden="false" customHeight="false" outlineLevel="0" collapsed="false"/>
    <row r="1035507" customFormat="false" ht="12.8" hidden="false" customHeight="false" outlineLevel="0" collapsed="false"/>
    <row r="1035508" customFormat="false" ht="12.8" hidden="false" customHeight="false" outlineLevel="0" collapsed="false"/>
    <row r="1035509" customFormat="false" ht="12.8" hidden="false" customHeight="false" outlineLevel="0" collapsed="false"/>
    <row r="1035510" customFormat="false" ht="12.8" hidden="false" customHeight="false" outlineLevel="0" collapsed="false"/>
    <row r="1035511" customFormat="false" ht="12.8" hidden="false" customHeight="false" outlineLevel="0" collapsed="false"/>
    <row r="1035512" customFormat="false" ht="12.8" hidden="false" customHeight="false" outlineLevel="0" collapsed="false"/>
    <row r="1035513" customFormat="false" ht="12.8" hidden="false" customHeight="false" outlineLevel="0" collapsed="false"/>
    <row r="1035514" customFormat="false" ht="12.8" hidden="false" customHeight="false" outlineLevel="0" collapsed="false"/>
    <row r="1035515" customFormat="false" ht="12.8" hidden="false" customHeight="false" outlineLevel="0" collapsed="false"/>
    <row r="1035516" customFormat="false" ht="12.8" hidden="false" customHeight="false" outlineLevel="0" collapsed="false"/>
    <row r="1035517" customFormat="false" ht="12.8" hidden="false" customHeight="false" outlineLevel="0" collapsed="false"/>
    <row r="1035518" customFormat="false" ht="12.8" hidden="false" customHeight="false" outlineLevel="0" collapsed="false"/>
    <row r="1035519" customFormat="false" ht="12.8" hidden="false" customHeight="false" outlineLevel="0" collapsed="false"/>
    <row r="1035520" customFormat="false" ht="12.8" hidden="false" customHeight="false" outlineLevel="0" collapsed="false"/>
    <row r="1035521" customFormat="false" ht="12.8" hidden="false" customHeight="false" outlineLevel="0" collapsed="false"/>
    <row r="1035522" customFormat="false" ht="12.8" hidden="false" customHeight="false" outlineLevel="0" collapsed="false"/>
    <row r="1035523" customFormat="false" ht="12.8" hidden="false" customHeight="false" outlineLevel="0" collapsed="false"/>
    <row r="1035524" customFormat="false" ht="12.8" hidden="false" customHeight="false" outlineLevel="0" collapsed="false"/>
    <row r="1035525" customFormat="false" ht="12.8" hidden="false" customHeight="false" outlineLevel="0" collapsed="false"/>
    <row r="1035526" customFormat="false" ht="12.8" hidden="false" customHeight="false" outlineLevel="0" collapsed="false"/>
    <row r="1035527" customFormat="false" ht="12.8" hidden="false" customHeight="false" outlineLevel="0" collapsed="false"/>
    <row r="1035528" customFormat="false" ht="12.8" hidden="false" customHeight="false" outlineLevel="0" collapsed="false"/>
    <row r="1035529" customFormat="false" ht="12.8" hidden="false" customHeight="false" outlineLevel="0" collapsed="false"/>
    <row r="1035530" customFormat="false" ht="12.8" hidden="false" customHeight="false" outlineLevel="0" collapsed="false"/>
    <row r="1035531" customFormat="false" ht="12.8" hidden="false" customHeight="false" outlineLevel="0" collapsed="false"/>
    <row r="1035532" customFormat="false" ht="12.8" hidden="false" customHeight="false" outlineLevel="0" collapsed="false"/>
    <row r="1035533" customFormat="false" ht="12.8" hidden="false" customHeight="false" outlineLevel="0" collapsed="false"/>
    <row r="1035534" customFormat="false" ht="12.8" hidden="false" customHeight="false" outlineLevel="0" collapsed="false"/>
    <row r="1035535" customFormat="false" ht="12.8" hidden="false" customHeight="false" outlineLevel="0" collapsed="false"/>
    <row r="1035536" customFormat="false" ht="12.8" hidden="false" customHeight="false" outlineLevel="0" collapsed="false"/>
    <row r="1035537" customFormat="false" ht="12.8" hidden="false" customHeight="false" outlineLevel="0" collapsed="false"/>
    <row r="1035538" customFormat="false" ht="12.8" hidden="false" customHeight="false" outlineLevel="0" collapsed="false"/>
    <row r="1035539" customFormat="false" ht="12.8" hidden="false" customHeight="false" outlineLevel="0" collapsed="false"/>
    <row r="1035540" customFormat="false" ht="12.8" hidden="false" customHeight="false" outlineLevel="0" collapsed="false"/>
    <row r="1035541" customFormat="false" ht="12.8" hidden="false" customHeight="false" outlineLevel="0" collapsed="false"/>
    <row r="1035542" customFormat="false" ht="12.8" hidden="false" customHeight="false" outlineLevel="0" collapsed="false"/>
    <row r="1035543" customFormat="false" ht="12.8" hidden="false" customHeight="false" outlineLevel="0" collapsed="false"/>
    <row r="1035544" customFormat="false" ht="12.8" hidden="false" customHeight="false" outlineLevel="0" collapsed="false"/>
    <row r="1035545" customFormat="false" ht="12.8" hidden="false" customHeight="false" outlineLevel="0" collapsed="false"/>
    <row r="1035546" customFormat="false" ht="12.8" hidden="false" customHeight="false" outlineLevel="0" collapsed="false"/>
    <row r="1035547" customFormat="false" ht="12.8" hidden="false" customHeight="false" outlineLevel="0" collapsed="false"/>
    <row r="1035548" customFormat="false" ht="12.8" hidden="false" customHeight="false" outlineLevel="0" collapsed="false"/>
    <row r="1035549" customFormat="false" ht="12.8" hidden="false" customHeight="false" outlineLevel="0" collapsed="false"/>
    <row r="1035550" customFormat="false" ht="12.8" hidden="false" customHeight="false" outlineLevel="0" collapsed="false"/>
    <row r="1035551" customFormat="false" ht="12.8" hidden="false" customHeight="false" outlineLevel="0" collapsed="false"/>
    <row r="1035552" customFormat="false" ht="12.8" hidden="false" customHeight="false" outlineLevel="0" collapsed="false"/>
    <row r="1035553" customFormat="false" ht="12.8" hidden="false" customHeight="false" outlineLevel="0" collapsed="false"/>
    <row r="1035554" customFormat="false" ht="12.8" hidden="false" customHeight="false" outlineLevel="0" collapsed="false"/>
    <row r="1035555" customFormat="false" ht="12.8" hidden="false" customHeight="false" outlineLevel="0" collapsed="false"/>
    <row r="1035556" customFormat="false" ht="12.8" hidden="false" customHeight="false" outlineLevel="0" collapsed="false"/>
    <row r="1035557" customFormat="false" ht="12.8" hidden="false" customHeight="false" outlineLevel="0" collapsed="false"/>
    <row r="1035558" customFormat="false" ht="12.8" hidden="false" customHeight="false" outlineLevel="0" collapsed="false"/>
    <row r="1035559" customFormat="false" ht="12.8" hidden="false" customHeight="false" outlineLevel="0" collapsed="false"/>
    <row r="1035560" customFormat="false" ht="12.8" hidden="false" customHeight="false" outlineLevel="0" collapsed="false"/>
    <row r="1035561" customFormat="false" ht="12.8" hidden="false" customHeight="false" outlineLevel="0" collapsed="false"/>
    <row r="1035562" customFormat="false" ht="12.8" hidden="false" customHeight="false" outlineLevel="0" collapsed="false"/>
    <row r="1035563" customFormat="false" ht="12.8" hidden="false" customHeight="false" outlineLevel="0" collapsed="false"/>
    <row r="1035564" customFormat="false" ht="12.8" hidden="false" customHeight="false" outlineLevel="0" collapsed="false"/>
    <row r="1035565" customFormat="false" ht="12.8" hidden="false" customHeight="false" outlineLevel="0" collapsed="false"/>
    <row r="1035566" customFormat="false" ht="12.8" hidden="false" customHeight="false" outlineLevel="0" collapsed="false"/>
    <row r="1035567" customFormat="false" ht="12.8" hidden="false" customHeight="false" outlineLevel="0" collapsed="false"/>
    <row r="1035568" customFormat="false" ht="12.8" hidden="false" customHeight="false" outlineLevel="0" collapsed="false"/>
    <row r="1035569" customFormat="false" ht="12.8" hidden="false" customHeight="false" outlineLevel="0" collapsed="false"/>
    <row r="1035570" customFormat="false" ht="12.8" hidden="false" customHeight="false" outlineLevel="0" collapsed="false"/>
    <row r="1035571" customFormat="false" ht="12.8" hidden="false" customHeight="false" outlineLevel="0" collapsed="false"/>
    <row r="1035572" customFormat="false" ht="12.8" hidden="false" customHeight="false" outlineLevel="0" collapsed="false"/>
    <row r="1035573" customFormat="false" ht="12.8" hidden="false" customHeight="false" outlineLevel="0" collapsed="false"/>
    <row r="1035574" customFormat="false" ht="12.8" hidden="false" customHeight="false" outlineLevel="0" collapsed="false"/>
    <row r="1035575" customFormat="false" ht="12.8" hidden="false" customHeight="false" outlineLevel="0" collapsed="false"/>
    <row r="1035576" customFormat="false" ht="12.8" hidden="false" customHeight="false" outlineLevel="0" collapsed="false"/>
    <row r="1035577" customFormat="false" ht="12.8" hidden="false" customHeight="false" outlineLevel="0" collapsed="false"/>
    <row r="1035578" customFormat="false" ht="12.8" hidden="false" customHeight="false" outlineLevel="0" collapsed="false"/>
    <row r="1035579" customFormat="false" ht="12.8" hidden="false" customHeight="false" outlineLevel="0" collapsed="false"/>
    <row r="1035580" customFormat="false" ht="12.8" hidden="false" customHeight="false" outlineLevel="0" collapsed="false"/>
    <row r="1035581" customFormat="false" ht="12.8" hidden="false" customHeight="false" outlineLevel="0" collapsed="false"/>
    <row r="1035582" customFormat="false" ht="12.8" hidden="false" customHeight="false" outlineLevel="0" collapsed="false"/>
    <row r="1035583" customFormat="false" ht="12.8" hidden="false" customHeight="false" outlineLevel="0" collapsed="false"/>
    <row r="1035584" customFormat="false" ht="12.8" hidden="false" customHeight="false" outlineLevel="0" collapsed="false"/>
    <row r="1035585" customFormat="false" ht="12.8" hidden="false" customHeight="false" outlineLevel="0" collapsed="false"/>
    <row r="1035586" customFormat="false" ht="12.8" hidden="false" customHeight="false" outlineLevel="0" collapsed="false"/>
    <row r="1035587" customFormat="false" ht="12.8" hidden="false" customHeight="false" outlineLevel="0" collapsed="false"/>
    <row r="1035588" customFormat="false" ht="12.8" hidden="false" customHeight="false" outlineLevel="0" collapsed="false"/>
    <row r="1035589" customFormat="false" ht="12.8" hidden="false" customHeight="false" outlineLevel="0" collapsed="false"/>
    <row r="1035590" customFormat="false" ht="12.8" hidden="false" customHeight="false" outlineLevel="0" collapsed="false"/>
    <row r="1035591" customFormat="false" ht="12.8" hidden="false" customHeight="false" outlineLevel="0" collapsed="false"/>
    <row r="1035592" customFormat="false" ht="12.8" hidden="false" customHeight="false" outlineLevel="0" collapsed="false"/>
    <row r="1035593" customFormat="false" ht="12.8" hidden="false" customHeight="false" outlineLevel="0" collapsed="false"/>
    <row r="1035594" customFormat="false" ht="12.8" hidden="false" customHeight="false" outlineLevel="0" collapsed="false"/>
    <row r="1035595" customFormat="false" ht="12.8" hidden="false" customHeight="false" outlineLevel="0" collapsed="false"/>
    <row r="1035596" customFormat="false" ht="12.8" hidden="false" customHeight="false" outlineLevel="0" collapsed="false"/>
    <row r="1035597" customFormat="false" ht="12.8" hidden="false" customHeight="false" outlineLevel="0" collapsed="false"/>
    <row r="1035598" customFormat="false" ht="12.8" hidden="false" customHeight="false" outlineLevel="0" collapsed="false"/>
    <row r="1035599" customFormat="false" ht="12.8" hidden="false" customHeight="false" outlineLevel="0" collapsed="false"/>
    <row r="1035600" customFormat="false" ht="12.8" hidden="false" customHeight="false" outlineLevel="0" collapsed="false"/>
    <row r="1035601" customFormat="false" ht="12.8" hidden="false" customHeight="false" outlineLevel="0" collapsed="false"/>
    <row r="1035602" customFormat="false" ht="12.8" hidden="false" customHeight="false" outlineLevel="0" collapsed="false"/>
    <row r="1035603" customFormat="false" ht="12.8" hidden="false" customHeight="false" outlineLevel="0" collapsed="false"/>
    <row r="1035604" customFormat="false" ht="12.8" hidden="false" customHeight="false" outlineLevel="0" collapsed="false"/>
    <row r="1035605" customFormat="false" ht="12.8" hidden="false" customHeight="false" outlineLevel="0" collapsed="false"/>
    <row r="1035606" customFormat="false" ht="12.8" hidden="false" customHeight="false" outlineLevel="0" collapsed="false"/>
    <row r="1035607" customFormat="false" ht="12.8" hidden="false" customHeight="false" outlineLevel="0" collapsed="false"/>
    <row r="1035608" customFormat="false" ht="12.8" hidden="false" customHeight="false" outlineLevel="0" collapsed="false"/>
    <row r="1035609" customFormat="false" ht="12.8" hidden="false" customHeight="false" outlineLevel="0" collapsed="false"/>
    <row r="1035610" customFormat="false" ht="12.8" hidden="false" customHeight="false" outlineLevel="0" collapsed="false"/>
    <row r="1035611" customFormat="false" ht="12.8" hidden="false" customHeight="false" outlineLevel="0" collapsed="false"/>
    <row r="1035612" customFormat="false" ht="12.8" hidden="false" customHeight="false" outlineLevel="0" collapsed="false"/>
    <row r="1035613" customFormat="false" ht="12.8" hidden="false" customHeight="false" outlineLevel="0" collapsed="false"/>
    <row r="1035614" customFormat="false" ht="12.8" hidden="false" customHeight="false" outlineLevel="0" collapsed="false"/>
    <row r="1035615" customFormat="false" ht="12.8" hidden="false" customHeight="false" outlineLevel="0" collapsed="false"/>
    <row r="1035616" customFormat="false" ht="12.8" hidden="false" customHeight="false" outlineLevel="0" collapsed="false"/>
    <row r="1035617" customFormat="false" ht="12.8" hidden="false" customHeight="false" outlineLevel="0" collapsed="false"/>
    <row r="1035618" customFormat="false" ht="12.8" hidden="false" customHeight="false" outlineLevel="0" collapsed="false"/>
    <row r="1035619" customFormat="false" ht="12.8" hidden="false" customHeight="false" outlineLevel="0" collapsed="false"/>
    <row r="1035620" customFormat="false" ht="12.8" hidden="false" customHeight="false" outlineLevel="0" collapsed="false"/>
    <row r="1035621" customFormat="false" ht="12.8" hidden="false" customHeight="false" outlineLevel="0" collapsed="false"/>
    <row r="1035622" customFormat="false" ht="12.8" hidden="false" customHeight="false" outlineLevel="0" collapsed="false"/>
    <row r="1035623" customFormat="false" ht="12.8" hidden="false" customHeight="false" outlineLevel="0" collapsed="false"/>
    <row r="1035624" customFormat="false" ht="12.8" hidden="false" customHeight="false" outlineLevel="0" collapsed="false"/>
    <row r="1035625" customFormat="false" ht="12.8" hidden="false" customHeight="false" outlineLevel="0" collapsed="false"/>
    <row r="1035626" customFormat="false" ht="12.8" hidden="false" customHeight="false" outlineLevel="0" collapsed="false"/>
    <row r="1035627" customFormat="false" ht="12.8" hidden="false" customHeight="false" outlineLevel="0" collapsed="false"/>
    <row r="1035628" customFormat="false" ht="12.8" hidden="false" customHeight="false" outlineLevel="0" collapsed="false"/>
    <row r="1035629" customFormat="false" ht="12.8" hidden="false" customHeight="false" outlineLevel="0" collapsed="false"/>
    <row r="1035630" customFormat="false" ht="12.8" hidden="false" customHeight="false" outlineLevel="0" collapsed="false"/>
    <row r="1035631" customFormat="false" ht="12.8" hidden="false" customHeight="false" outlineLevel="0" collapsed="false"/>
    <row r="1035632" customFormat="false" ht="12.8" hidden="false" customHeight="false" outlineLevel="0" collapsed="false"/>
    <row r="1035633" customFormat="false" ht="12.8" hidden="false" customHeight="false" outlineLevel="0" collapsed="false"/>
    <row r="1035634" customFormat="false" ht="12.8" hidden="false" customHeight="false" outlineLevel="0" collapsed="false"/>
    <row r="1035635" customFormat="false" ht="12.8" hidden="false" customHeight="false" outlineLevel="0" collapsed="false"/>
    <row r="1035636" customFormat="false" ht="12.8" hidden="false" customHeight="false" outlineLevel="0" collapsed="false"/>
    <row r="1035637" customFormat="false" ht="12.8" hidden="false" customHeight="false" outlineLevel="0" collapsed="false"/>
    <row r="1035638" customFormat="false" ht="12.8" hidden="false" customHeight="false" outlineLevel="0" collapsed="false"/>
    <row r="1035639" customFormat="false" ht="12.8" hidden="false" customHeight="false" outlineLevel="0" collapsed="false"/>
    <row r="1035640" customFormat="false" ht="12.8" hidden="false" customHeight="false" outlineLevel="0" collapsed="false"/>
    <row r="1035641" customFormat="false" ht="12.8" hidden="false" customHeight="false" outlineLevel="0" collapsed="false"/>
    <row r="1035642" customFormat="false" ht="12.8" hidden="false" customHeight="false" outlineLevel="0" collapsed="false"/>
    <row r="1035643" customFormat="false" ht="12.8" hidden="false" customHeight="false" outlineLevel="0" collapsed="false"/>
    <row r="1035644" customFormat="false" ht="12.8" hidden="false" customHeight="false" outlineLevel="0" collapsed="false"/>
    <row r="1035645" customFormat="false" ht="12.8" hidden="false" customHeight="false" outlineLevel="0" collapsed="false"/>
    <row r="1035646" customFormat="false" ht="12.8" hidden="false" customHeight="false" outlineLevel="0" collapsed="false"/>
    <row r="1035647" customFormat="false" ht="12.8" hidden="false" customHeight="false" outlineLevel="0" collapsed="false"/>
    <row r="1035648" customFormat="false" ht="12.8" hidden="false" customHeight="false" outlineLevel="0" collapsed="false"/>
    <row r="1035649" customFormat="false" ht="12.8" hidden="false" customHeight="false" outlineLevel="0" collapsed="false"/>
    <row r="1035650" customFormat="false" ht="12.8" hidden="false" customHeight="false" outlineLevel="0" collapsed="false"/>
    <row r="1035651" customFormat="false" ht="12.8" hidden="false" customHeight="false" outlineLevel="0" collapsed="false"/>
    <row r="1035652" customFormat="false" ht="12.8" hidden="false" customHeight="false" outlineLevel="0" collapsed="false"/>
    <row r="1035653" customFormat="false" ht="12.8" hidden="false" customHeight="false" outlineLevel="0" collapsed="false"/>
    <row r="1035654" customFormat="false" ht="12.8" hidden="false" customHeight="false" outlineLevel="0" collapsed="false"/>
    <row r="1035655" customFormat="false" ht="12.8" hidden="false" customHeight="false" outlineLevel="0" collapsed="false"/>
    <row r="1035656" customFormat="false" ht="12.8" hidden="false" customHeight="false" outlineLevel="0" collapsed="false"/>
    <row r="1035657" customFormat="false" ht="12.8" hidden="false" customHeight="false" outlineLevel="0" collapsed="false"/>
    <row r="1035658" customFormat="false" ht="12.8" hidden="false" customHeight="false" outlineLevel="0" collapsed="false"/>
    <row r="1035659" customFormat="false" ht="12.8" hidden="false" customHeight="false" outlineLevel="0" collapsed="false"/>
    <row r="1035660" customFormat="false" ht="12.8" hidden="false" customHeight="false" outlineLevel="0" collapsed="false"/>
    <row r="1035661" customFormat="false" ht="12.8" hidden="false" customHeight="false" outlineLevel="0" collapsed="false"/>
    <row r="1035662" customFormat="false" ht="12.8" hidden="false" customHeight="false" outlineLevel="0" collapsed="false"/>
    <row r="1035663" customFormat="false" ht="12.8" hidden="false" customHeight="false" outlineLevel="0" collapsed="false"/>
    <row r="1035664" customFormat="false" ht="12.8" hidden="false" customHeight="false" outlineLevel="0" collapsed="false"/>
    <row r="1035665" customFormat="false" ht="12.8" hidden="false" customHeight="false" outlineLevel="0" collapsed="false"/>
    <row r="1035666" customFormat="false" ht="12.8" hidden="false" customHeight="false" outlineLevel="0" collapsed="false"/>
    <row r="1035667" customFormat="false" ht="12.8" hidden="false" customHeight="false" outlineLevel="0" collapsed="false"/>
    <row r="1035668" customFormat="false" ht="12.8" hidden="false" customHeight="false" outlineLevel="0" collapsed="false"/>
    <row r="1035669" customFormat="false" ht="12.8" hidden="false" customHeight="false" outlineLevel="0" collapsed="false"/>
    <row r="1035670" customFormat="false" ht="12.8" hidden="false" customHeight="false" outlineLevel="0" collapsed="false"/>
    <row r="1035671" customFormat="false" ht="12.8" hidden="false" customHeight="false" outlineLevel="0" collapsed="false"/>
    <row r="1035672" customFormat="false" ht="12.8" hidden="false" customHeight="false" outlineLevel="0" collapsed="false"/>
    <row r="1035673" customFormat="false" ht="12.8" hidden="false" customHeight="false" outlineLevel="0" collapsed="false"/>
    <row r="1035674" customFormat="false" ht="12.8" hidden="false" customHeight="false" outlineLevel="0" collapsed="false"/>
    <row r="1035675" customFormat="false" ht="12.8" hidden="false" customHeight="false" outlineLevel="0" collapsed="false"/>
    <row r="1035676" customFormat="false" ht="12.8" hidden="false" customHeight="false" outlineLevel="0" collapsed="false"/>
    <row r="1035677" customFormat="false" ht="12.8" hidden="false" customHeight="false" outlineLevel="0" collapsed="false"/>
    <row r="1035678" customFormat="false" ht="12.8" hidden="false" customHeight="false" outlineLevel="0" collapsed="false"/>
    <row r="1035679" customFormat="false" ht="12.8" hidden="false" customHeight="false" outlineLevel="0" collapsed="false"/>
    <row r="1035680" customFormat="false" ht="12.8" hidden="false" customHeight="false" outlineLevel="0" collapsed="false"/>
    <row r="1035681" customFormat="false" ht="12.8" hidden="false" customHeight="false" outlineLevel="0" collapsed="false"/>
    <row r="1035682" customFormat="false" ht="12.8" hidden="false" customHeight="false" outlineLevel="0" collapsed="false"/>
    <row r="1035683" customFormat="false" ht="12.8" hidden="false" customHeight="false" outlineLevel="0" collapsed="false"/>
    <row r="1035684" customFormat="false" ht="12.8" hidden="false" customHeight="false" outlineLevel="0" collapsed="false"/>
    <row r="1035685" customFormat="false" ht="12.8" hidden="false" customHeight="false" outlineLevel="0" collapsed="false"/>
    <row r="1035686" customFormat="false" ht="12.8" hidden="false" customHeight="false" outlineLevel="0" collapsed="false"/>
    <row r="1035687" customFormat="false" ht="12.8" hidden="false" customHeight="false" outlineLevel="0" collapsed="false"/>
    <row r="1035688" customFormat="false" ht="12.8" hidden="false" customHeight="false" outlineLevel="0" collapsed="false"/>
    <row r="1035689" customFormat="false" ht="12.8" hidden="false" customHeight="false" outlineLevel="0" collapsed="false"/>
    <row r="1035690" customFormat="false" ht="12.8" hidden="false" customHeight="false" outlineLevel="0" collapsed="false"/>
    <row r="1035691" customFormat="false" ht="12.8" hidden="false" customHeight="false" outlineLevel="0" collapsed="false"/>
    <row r="1035692" customFormat="false" ht="12.8" hidden="false" customHeight="false" outlineLevel="0" collapsed="false"/>
    <row r="1035693" customFormat="false" ht="12.8" hidden="false" customHeight="false" outlineLevel="0" collapsed="false"/>
    <row r="1035694" customFormat="false" ht="12.8" hidden="false" customHeight="false" outlineLevel="0" collapsed="false"/>
    <row r="1035695" customFormat="false" ht="12.8" hidden="false" customHeight="false" outlineLevel="0" collapsed="false"/>
    <row r="1035696" customFormat="false" ht="12.8" hidden="false" customHeight="false" outlineLevel="0" collapsed="false"/>
    <row r="1035697" customFormat="false" ht="12.8" hidden="false" customHeight="false" outlineLevel="0" collapsed="false"/>
    <row r="1035698" customFormat="false" ht="12.8" hidden="false" customHeight="false" outlineLevel="0" collapsed="false"/>
    <row r="1035699" customFormat="false" ht="12.8" hidden="false" customHeight="false" outlineLevel="0" collapsed="false"/>
    <row r="1035700" customFormat="false" ht="12.8" hidden="false" customHeight="false" outlineLevel="0" collapsed="false"/>
    <row r="1035701" customFormat="false" ht="12.8" hidden="false" customHeight="false" outlineLevel="0" collapsed="false"/>
    <row r="1035702" customFormat="false" ht="12.8" hidden="false" customHeight="false" outlineLevel="0" collapsed="false"/>
    <row r="1035703" customFormat="false" ht="12.8" hidden="false" customHeight="false" outlineLevel="0" collapsed="false"/>
    <row r="1035704" customFormat="false" ht="12.8" hidden="false" customHeight="false" outlineLevel="0" collapsed="false"/>
    <row r="1035705" customFormat="false" ht="12.8" hidden="false" customHeight="false" outlineLevel="0" collapsed="false"/>
    <row r="1035706" customFormat="false" ht="12.8" hidden="false" customHeight="false" outlineLevel="0" collapsed="false"/>
    <row r="1035707" customFormat="false" ht="12.8" hidden="false" customHeight="false" outlineLevel="0" collapsed="false"/>
    <row r="1035708" customFormat="false" ht="12.8" hidden="false" customHeight="false" outlineLevel="0" collapsed="false"/>
    <row r="1035709" customFormat="false" ht="12.8" hidden="false" customHeight="false" outlineLevel="0" collapsed="false"/>
    <row r="1035710" customFormat="false" ht="12.8" hidden="false" customHeight="false" outlineLevel="0" collapsed="false"/>
    <row r="1035711" customFormat="false" ht="12.8" hidden="false" customHeight="false" outlineLevel="0" collapsed="false"/>
    <row r="1035712" customFormat="false" ht="12.8" hidden="false" customHeight="false" outlineLevel="0" collapsed="false"/>
    <row r="1035713" customFormat="false" ht="12.8" hidden="false" customHeight="false" outlineLevel="0" collapsed="false"/>
    <row r="1035714" customFormat="false" ht="12.8" hidden="false" customHeight="false" outlineLevel="0" collapsed="false"/>
    <row r="1035715" customFormat="false" ht="12.8" hidden="false" customHeight="false" outlineLevel="0" collapsed="false"/>
    <row r="1035716" customFormat="false" ht="12.8" hidden="false" customHeight="false" outlineLevel="0" collapsed="false"/>
    <row r="1035717" customFormat="false" ht="12.8" hidden="false" customHeight="false" outlineLevel="0" collapsed="false"/>
    <row r="1035718" customFormat="false" ht="12.8" hidden="false" customHeight="false" outlineLevel="0" collapsed="false"/>
    <row r="1035719" customFormat="false" ht="12.8" hidden="false" customHeight="false" outlineLevel="0" collapsed="false"/>
    <row r="1035720" customFormat="false" ht="12.8" hidden="false" customHeight="false" outlineLevel="0" collapsed="false"/>
    <row r="1035721" customFormat="false" ht="12.8" hidden="false" customHeight="false" outlineLevel="0" collapsed="false"/>
    <row r="1035722" customFormat="false" ht="12.8" hidden="false" customHeight="false" outlineLevel="0" collapsed="false"/>
    <row r="1035723" customFormat="false" ht="12.8" hidden="false" customHeight="false" outlineLevel="0" collapsed="false"/>
    <row r="1035724" customFormat="false" ht="12.8" hidden="false" customHeight="false" outlineLevel="0" collapsed="false"/>
    <row r="1035725" customFormat="false" ht="12.8" hidden="false" customHeight="false" outlineLevel="0" collapsed="false"/>
    <row r="1035726" customFormat="false" ht="12.8" hidden="false" customHeight="false" outlineLevel="0" collapsed="false"/>
    <row r="1035727" customFormat="false" ht="12.8" hidden="false" customHeight="false" outlineLevel="0" collapsed="false"/>
    <row r="1035728" customFormat="false" ht="12.8" hidden="false" customHeight="false" outlineLevel="0" collapsed="false"/>
    <row r="1035729" customFormat="false" ht="12.8" hidden="false" customHeight="false" outlineLevel="0" collapsed="false"/>
    <row r="1035730" customFormat="false" ht="12.8" hidden="false" customHeight="false" outlineLevel="0" collapsed="false"/>
    <row r="1035731" customFormat="false" ht="12.8" hidden="false" customHeight="false" outlineLevel="0" collapsed="false"/>
    <row r="1035732" customFormat="false" ht="12.8" hidden="false" customHeight="false" outlineLevel="0" collapsed="false"/>
    <row r="1035733" customFormat="false" ht="12.8" hidden="false" customHeight="false" outlineLevel="0" collapsed="false"/>
    <row r="1035734" customFormat="false" ht="12.8" hidden="false" customHeight="false" outlineLevel="0" collapsed="false"/>
    <row r="1035735" customFormat="false" ht="12.8" hidden="false" customHeight="false" outlineLevel="0" collapsed="false"/>
    <row r="1035736" customFormat="false" ht="12.8" hidden="false" customHeight="false" outlineLevel="0" collapsed="false"/>
    <row r="1035737" customFormat="false" ht="12.8" hidden="false" customHeight="false" outlineLevel="0" collapsed="false"/>
    <row r="1035738" customFormat="false" ht="12.8" hidden="false" customHeight="false" outlineLevel="0" collapsed="false"/>
    <row r="1035739" customFormat="false" ht="12.8" hidden="false" customHeight="false" outlineLevel="0" collapsed="false"/>
    <row r="1035740" customFormat="false" ht="12.8" hidden="false" customHeight="false" outlineLevel="0" collapsed="false"/>
    <row r="1035741" customFormat="false" ht="12.8" hidden="false" customHeight="false" outlineLevel="0" collapsed="false"/>
    <row r="1035742" customFormat="false" ht="12.8" hidden="false" customHeight="false" outlineLevel="0" collapsed="false"/>
    <row r="1035743" customFormat="false" ht="12.8" hidden="false" customHeight="false" outlineLevel="0" collapsed="false"/>
    <row r="1035744" customFormat="false" ht="12.8" hidden="false" customHeight="false" outlineLevel="0" collapsed="false"/>
    <row r="1035745" customFormat="false" ht="12.8" hidden="false" customHeight="false" outlineLevel="0" collapsed="false"/>
    <row r="1035746" customFormat="false" ht="12.8" hidden="false" customHeight="false" outlineLevel="0" collapsed="false"/>
    <row r="1035747" customFormat="false" ht="12.8" hidden="false" customHeight="false" outlineLevel="0" collapsed="false"/>
    <row r="1035748" customFormat="false" ht="12.8" hidden="false" customHeight="false" outlineLevel="0" collapsed="false"/>
    <row r="1035749" customFormat="false" ht="12.8" hidden="false" customHeight="false" outlineLevel="0" collapsed="false"/>
    <row r="1035750" customFormat="false" ht="12.8" hidden="false" customHeight="false" outlineLevel="0" collapsed="false"/>
    <row r="1035751" customFormat="false" ht="12.8" hidden="false" customHeight="false" outlineLevel="0" collapsed="false"/>
    <row r="1035752" customFormat="false" ht="12.8" hidden="false" customHeight="false" outlineLevel="0" collapsed="false"/>
    <row r="1035753" customFormat="false" ht="12.8" hidden="false" customHeight="false" outlineLevel="0" collapsed="false"/>
    <row r="1035754" customFormat="false" ht="12.8" hidden="false" customHeight="false" outlineLevel="0" collapsed="false"/>
    <row r="1035755" customFormat="false" ht="12.8" hidden="false" customHeight="false" outlineLevel="0" collapsed="false"/>
    <row r="1035756" customFormat="false" ht="12.8" hidden="false" customHeight="false" outlineLevel="0" collapsed="false"/>
    <row r="1035757" customFormat="false" ht="12.8" hidden="false" customHeight="false" outlineLevel="0" collapsed="false"/>
    <row r="1035758" customFormat="false" ht="12.8" hidden="false" customHeight="false" outlineLevel="0" collapsed="false"/>
    <row r="1035759" customFormat="false" ht="12.8" hidden="false" customHeight="false" outlineLevel="0" collapsed="false"/>
    <row r="1035760" customFormat="false" ht="12.8" hidden="false" customHeight="false" outlineLevel="0" collapsed="false"/>
    <row r="1035761" customFormat="false" ht="12.8" hidden="false" customHeight="false" outlineLevel="0" collapsed="false"/>
    <row r="1035762" customFormat="false" ht="12.8" hidden="false" customHeight="false" outlineLevel="0" collapsed="false"/>
    <row r="1035763" customFormat="false" ht="12.8" hidden="false" customHeight="false" outlineLevel="0" collapsed="false"/>
    <row r="1035764" customFormat="false" ht="12.8" hidden="false" customHeight="false" outlineLevel="0" collapsed="false"/>
    <row r="1035765" customFormat="false" ht="12.8" hidden="false" customHeight="false" outlineLevel="0" collapsed="false"/>
    <row r="1035766" customFormat="false" ht="12.8" hidden="false" customHeight="false" outlineLevel="0" collapsed="false"/>
    <row r="1035767" customFormat="false" ht="12.8" hidden="false" customHeight="false" outlineLevel="0" collapsed="false"/>
    <row r="1035768" customFormat="false" ht="12.8" hidden="false" customHeight="false" outlineLevel="0" collapsed="false"/>
    <row r="1035769" customFormat="false" ht="12.8" hidden="false" customHeight="false" outlineLevel="0" collapsed="false"/>
    <row r="1035770" customFormat="false" ht="12.8" hidden="false" customHeight="false" outlineLevel="0" collapsed="false"/>
    <row r="1035771" customFormat="false" ht="12.8" hidden="false" customHeight="false" outlineLevel="0" collapsed="false"/>
    <row r="1035772" customFormat="false" ht="12.8" hidden="false" customHeight="false" outlineLevel="0" collapsed="false"/>
    <row r="1035773" customFormat="false" ht="12.8" hidden="false" customHeight="false" outlineLevel="0" collapsed="false"/>
    <row r="1035774" customFormat="false" ht="12.8" hidden="false" customHeight="false" outlineLevel="0" collapsed="false"/>
    <row r="1035775" customFormat="false" ht="12.8" hidden="false" customHeight="false" outlineLevel="0" collapsed="false"/>
    <row r="1035776" customFormat="false" ht="12.8" hidden="false" customHeight="false" outlineLevel="0" collapsed="false"/>
    <row r="1035777" customFormat="false" ht="12.8" hidden="false" customHeight="false" outlineLevel="0" collapsed="false"/>
    <row r="1035778" customFormat="false" ht="12.8" hidden="false" customHeight="false" outlineLevel="0" collapsed="false"/>
    <row r="1035779" customFormat="false" ht="12.8" hidden="false" customHeight="false" outlineLevel="0" collapsed="false"/>
    <row r="1035780" customFormat="false" ht="12.8" hidden="false" customHeight="false" outlineLevel="0" collapsed="false"/>
    <row r="1035781" customFormat="false" ht="12.8" hidden="false" customHeight="false" outlineLevel="0" collapsed="false"/>
    <row r="1035782" customFormat="false" ht="12.8" hidden="false" customHeight="false" outlineLevel="0" collapsed="false"/>
    <row r="1035783" customFormat="false" ht="12.8" hidden="false" customHeight="false" outlineLevel="0" collapsed="false"/>
    <row r="1035784" customFormat="false" ht="12.8" hidden="false" customHeight="false" outlineLevel="0" collapsed="false"/>
    <row r="1035785" customFormat="false" ht="12.8" hidden="false" customHeight="false" outlineLevel="0" collapsed="false"/>
    <row r="1035786" customFormat="false" ht="12.8" hidden="false" customHeight="false" outlineLevel="0" collapsed="false"/>
    <row r="1035787" customFormat="false" ht="12.8" hidden="false" customHeight="false" outlineLevel="0" collapsed="false"/>
    <row r="1035788" customFormat="false" ht="12.8" hidden="false" customHeight="false" outlineLevel="0" collapsed="false"/>
    <row r="1035789" customFormat="false" ht="12.8" hidden="false" customHeight="false" outlineLevel="0" collapsed="false"/>
    <row r="1035790" customFormat="false" ht="12.8" hidden="false" customHeight="false" outlineLevel="0" collapsed="false"/>
    <row r="1035791" customFormat="false" ht="12.8" hidden="false" customHeight="false" outlineLevel="0" collapsed="false"/>
    <row r="1035792" customFormat="false" ht="12.8" hidden="false" customHeight="false" outlineLevel="0" collapsed="false"/>
    <row r="1035793" customFormat="false" ht="12.8" hidden="false" customHeight="false" outlineLevel="0" collapsed="false"/>
    <row r="1035794" customFormat="false" ht="12.8" hidden="false" customHeight="false" outlineLevel="0" collapsed="false"/>
    <row r="1035795" customFormat="false" ht="12.8" hidden="false" customHeight="false" outlineLevel="0" collapsed="false"/>
    <row r="1035796" customFormat="false" ht="12.8" hidden="false" customHeight="false" outlineLevel="0" collapsed="false"/>
    <row r="1035797" customFormat="false" ht="12.8" hidden="false" customHeight="false" outlineLevel="0" collapsed="false"/>
    <row r="1035798" customFormat="false" ht="12.8" hidden="false" customHeight="false" outlineLevel="0" collapsed="false"/>
    <row r="1035799" customFormat="false" ht="12.8" hidden="false" customHeight="false" outlineLevel="0" collapsed="false"/>
    <row r="1035800" customFormat="false" ht="12.8" hidden="false" customHeight="false" outlineLevel="0" collapsed="false"/>
    <row r="1035801" customFormat="false" ht="12.8" hidden="false" customHeight="false" outlineLevel="0" collapsed="false"/>
    <row r="1035802" customFormat="false" ht="12.8" hidden="false" customHeight="false" outlineLevel="0" collapsed="false"/>
    <row r="1035803" customFormat="false" ht="12.8" hidden="false" customHeight="false" outlineLevel="0" collapsed="false"/>
    <row r="1035804" customFormat="false" ht="12.8" hidden="false" customHeight="false" outlineLevel="0" collapsed="false"/>
    <row r="1035805" customFormat="false" ht="12.8" hidden="false" customHeight="false" outlineLevel="0" collapsed="false"/>
    <row r="1035806" customFormat="false" ht="12.8" hidden="false" customHeight="false" outlineLevel="0" collapsed="false"/>
    <row r="1035807" customFormat="false" ht="12.8" hidden="false" customHeight="false" outlineLevel="0" collapsed="false"/>
    <row r="1035808" customFormat="false" ht="12.8" hidden="false" customHeight="false" outlineLevel="0" collapsed="false"/>
    <row r="1035809" customFormat="false" ht="12.8" hidden="false" customHeight="false" outlineLevel="0" collapsed="false"/>
    <row r="1035810" customFormat="false" ht="12.8" hidden="false" customHeight="false" outlineLevel="0" collapsed="false"/>
    <row r="1035811" customFormat="false" ht="12.8" hidden="false" customHeight="false" outlineLevel="0" collapsed="false"/>
    <row r="1035812" customFormat="false" ht="12.8" hidden="false" customHeight="false" outlineLevel="0" collapsed="false"/>
    <row r="1035813" customFormat="false" ht="12.8" hidden="false" customHeight="false" outlineLevel="0" collapsed="false"/>
    <row r="1035814" customFormat="false" ht="12.8" hidden="false" customHeight="false" outlineLevel="0" collapsed="false"/>
    <row r="1035815" customFormat="false" ht="12.8" hidden="false" customHeight="false" outlineLevel="0" collapsed="false"/>
    <row r="1035816" customFormat="false" ht="12.8" hidden="false" customHeight="false" outlineLevel="0" collapsed="false"/>
    <row r="1035817" customFormat="false" ht="12.8" hidden="false" customHeight="false" outlineLevel="0" collapsed="false"/>
    <row r="1035818" customFormat="false" ht="12.8" hidden="false" customHeight="false" outlineLevel="0" collapsed="false"/>
    <row r="1035819" customFormat="false" ht="12.8" hidden="false" customHeight="false" outlineLevel="0" collapsed="false"/>
    <row r="1035820" customFormat="false" ht="12.8" hidden="false" customHeight="false" outlineLevel="0" collapsed="false"/>
    <row r="1035821" customFormat="false" ht="12.8" hidden="false" customHeight="false" outlineLevel="0" collapsed="false"/>
    <row r="1035822" customFormat="false" ht="12.8" hidden="false" customHeight="false" outlineLevel="0" collapsed="false"/>
    <row r="1035823" customFormat="false" ht="12.8" hidden="false" customHeight="false" outlineLevel="0" collapsed="false"/>
    <row r="1035824" customFormat="false" ht="12.8" hidden="false" customHeight="false" outlineLevel="0" collapsed="false"/>
    <row r="1035825" customFormat="false" ht="12.8" hidden="false" customHeight="false" outlineLevel="0" collapsed="false"/>
    <row r="1035826" customFormat="false" ht="12.8" hidden="false" customHeight="false" outlineLevel="0" collapsed="false"/>
    <row r="1035827" customFormat="false" ht="12.8" hidden="false" customHeight="false" outlineLevel="0" collapsed="false"/>
    <row r="1035828" customFormat="false" ht="12.8" hidden="false" customHeight="false" outlineLevel="0" collapsed="false"/>
    <row r="1035829" customFormat="false" ht="12.8" hidden="false" customHeight="false" outlineLevel="0" collapsed="false"/>
    <row r="1035830" customFormat="false" ht="12.8" hidden="false" customHeight="false" outlineLevel="0" collapsed="false"/>
    <row r="1035831" customFormat="false" ht="12.8" hidden="false" customHeight="false" outlineLevel="0" collapsed="false"/>
    <row r="1035832" customFormat="false" ht="12.8" hidden="false" customHeight="false" outlineLevel="0" collapsed="false"/>
    <row r="1035833" customFormat="false" ht="12.8" hidden="false" customHeight="false" outlineLevel="0" collapsed="false"/>
    <row r="1035834" customFormat="false" ht="12.8" hidden="false" customHeight="false" outlineLevel="0" collapsed="false"/>
    <row r="1035835" customFormat="false" ht="12.8" hidden="false" customHeight="false" outlineLevel="0" collapsed="false"/>
    <row r="1035836" customFormat="false" ht="12.8" hidden="false" customHeight="false" outlineLevel="0" collapsed="false"/>
    <row r="1035837" customFormat="false" ht="12.8" hidden="false" customHeight="false" outlineLevel="0" collapsed="false"/>
    <row r="1035838" customFormat="false" ht="12.8" hidden="false" customHeight="false" outlineLevel="0" collapsed="false"/>
    <row r="1035839" customFormat="false" ht="12.8" hidden="false" customHeight="false" outlineLevel="0" collapsed="false"/>
    <row r="1035840" customFormat="false" ht="12.8" hidden="false" customHeight="false" outlineLevel="0" collapsed="false"/>
    <row r="1035841" customFormat="false" ht="12.8" hidden="false" customHeight="false" outlineLevel="0" collapsed="false"/>
    <row r="1035842" customFormat="false" ht="12.8" hidden="false" customHeight="false" outlineLevel="0" collapsed="false"/>
    <row r="1035843" customFormat="false" ht="12.8" hidden="false" customHeight="false" outlineLevel="0" collapsed="false"/>
    <row r="1035844" customFormat="false" ht="12.8" hidden="false" customHeight="false" outlineLevel="0" collapsed="false"/>
    <row r="1035845" customFormat="false" ht="12.8" hidden="false" customHeight="false" outlineLevel="0" collapsed="false"/>
    <row r="1035846" customFormat="false" ht="12.8" hidden="false" customHeight="false" outlineLevel="0" collapsed="false"/>
    <row r="1035847" customFormat="false" ht="12.8" hidden="false" customHeight="false" outlineLevel="0" collapsed="false"/>
    <row r="1035848" customFormat="false" ht="12.8" hidden="false" customHeight="false" outlineLevel="0" collapsed="false"/>
    <row r="1035849" customFormat="false" ht="12.8" hidden="false" customHeight="false" outlineLevel="0" collapsed="false"/>
    <row r="1035850" customFormat="false" ht="12.8" hidden="false" customHeight="false" outlineLevel="0" collapsed="false"/>
    <row r="1035851" customFormat="false" ht="12.8" hidden="false" customHeight="false" outlineLevel="0" collapsed="false"/>
    <row r="1035852" customFormat="false" ht="12.8" hidden="false" customHeight="false" outlineLevel="0" collapsed="false"/>
    <row r="1035853" customFormat="false" ht="12.8" hidden="false" customHeight="false" outlineLevel="0" collapsed="false"/>
    <row r="1035854" customFormat="false" ht="12.8" hidden="false" customHeight="false" outlineLevel="0" collapsed="false"/>
    <row r="1035855" customFormat="false" ht="12.8" hidden="false" customHeight="false" outlineLevel="0" collapsed="false"/>
    <row r="1035856" customFormat="false" ht="12.8" hidden="false" customHeight="false" outlineLevel="0" collapsed="false"/>
    <row r="1035857" customFormat="false" ht="12.8" hidden="false" customHeight="false" outlineLevel="0" collapsed="false"/>
    <row r="1035858" customFormat="false" ht="12.8" hidden="false" customHeight="false" outlineLevel="0" collapsed="false"/>
    <row r="1035859" customFormat="false" ht="12.8" hidden="false" customHeight="false" outlineLevel="0" collapsed="false"/>
    <row r="1035860" customFormat="false" ht="12.8" hidden="false" customHeight="false" outlineLevel="0" collapsed="false"/>
    <row r="1035861" customFormat="false" ht="12.8" hidden="false" customHeight="false" outlineLevel="0" collapsed="false"/>
    <row r="1035862" customFormat="false" ht="12.8" hidden="false" customHeight="false" outlineLevel="0" collapsed="false"/>
    <row r="1035863" customFormat="false" ht="12.8" hidden="false" customHeight="false" outlineLevel="0" collapsed="false"/>
    <row r="1035864" customFormat="false" ht="12.8" hidden="false" customHeight="false" outlineLevel="0" collapsed="false"/>
    <row r="1035865" customFormat="false" ht="12.8" hidden="false" customHeight="false" outlineLevel="0" collapsed="false"/>
    <row r="1035866" customFormat="false" ht="12.8" hidden="false" customHeight="false" outlineLevel="0" collapsed="false"/>
    <row r="1035867" customFormat="false" ht="12.8" hidden="false" customHeight="false" outlineLevel="0" collapsed="false"/>
    <row r="1035868" customFormat="false" ht="12.8" hidden="false" customHeight="false" outlineLevel="0" collapsed="false"/>
    <row r="1035869" customFormat="false" ht="12.8" hidden="false" customHeight="false" outlineLevel="0" collapsed="false"/>
    <row r="1035870" customFormat="false" ht="12.8" hidden="false" customHeight="false" outlineLevel="0" collapsed="false"/>
    <row r="1035871" customFormat="false" ht="12.8" hidden="false" customHeight="false" outlineLevel="0" collapsed="false"/>
    <row r="1035872" customFormat="false" ht="12.8" hidden="false" customHeight="false" outlineLevel="0" collapsed="false"/>
    <row r="1035873" customFormat="false" ht="12.8" hidden="false" customHeight="false" outlineLevel="0" collapsed="false"/>
    <row r="1035874" customFormat="false" ht="12.8" hidden="false" customHeight="false" outlineLevel="0" collapsed="false"/>
    <row r="1035875" customFormat="false" ht="12.8" hidden="false" customHeight="false" outlineLevel="0" collapsed="false"/>
    <row r="1035876" customFormat="false" ht="12.8" hidden="false" customHeight="false" outlineLevel="0" collapsed="false"/>
    <row r="1035877" customFormat="false" ht="12.8" hidden="false" customHeight="false" outlineLevel="0" collapsed="false"/>
    <row r="1035878" customFormat="false" ht="12.8" hidden="false" customHeight="false" outlineLevel="0" collapsed="false"/>
    <row r="1035879" customFormat="false" ht="12.8" hidden="false" customHeight="false" outlineLevel="0" collapsed="false"/>
    <row r="1035880" customFormat="false" ht="12.8" hidden="false" customHeight="false" outlineLevel="0" collapsed="false"/>
    <row r="1035881" customFormat="false" ht="12.8" hidden="false" customHeight="false" outlineLevel="0" collapsed="false"/>
    <row r="1035882" customFormat="false" ht="12.8" hidden="false" customHeight="false" outlineLevel="0" collapsed="false"/>
    <row r="1035883" customFormat="false" ht="12.8" hidden="false" customHeight="false" outlineLevel="0" collapsed="false"/>
    <row r="1035884" customFormat="false" ht="12.8" hidden="false" customHeight="false" outlineLevel="0" collapsed="false"/>
    <row r="1035885" customFormat="false" ht="12.8" hidden="false" customHeight="false" outlineLevel="0" collapsed="false"/>
    <row r="1035886" customFormat="false" ht="12.8" hidden="false" customHeight="false" outlineLevel="0" collapsed="false"/>
    <row r="1035887" customFormat="false" ht="12.8" hidden="false" customHeight="false" outlineLevel="0" collapsed="false"/>
    <row r="1035888" customFormat="false" ht="12.8" hidden="false" customHeight="false" outlineLevel="0" collapsed="false"/>
    <row r="1035889" customFormat="false" ht="12.8" hidden="false" customHeight="false" outlineLevel="0" collapsed="false"/>
    <row r="1035890" customFormat="false" ht="12.8" hidden="false" customHeight="false" outlineLevel="0" collapsed="false"/>
    <row r="1035891" customFormat="false" ht="12.8" hidden="false" customHeight="false" outlineLevel="0" collapsed="false"/>
    <row r="1035892" customFormat="false" ht="12.8" hidden="false" customHeight="false" outlineLevel="0" collapsed="false"/>
    <row r="1035893" customFormat="false" ht="12.8" hidden="false" customHeight="false" outlineLevel="0" collapsed="false"/>
    <row r="1035894" customFormat="false" ht="12.8" hidden="false" customHeight="false" outlineLevel="0" collapsed="false"/>
    <row r="1035895" customFormat="false" ht="12.8" hidden="false" customHeight="false" outlineLevel="0" collapsed="false"/>
    <row r="1035896" customFormat="false" ht="12.8" hidden="false" customHeight="false" outlineLevel="0" collapsed="false"/>
    <row r="1035897" customFormat="false" ht="12.8" hidden="false" customHeight="false" outlineLevel="0" collapsed="false"/>
    <row r="1035898" customFormat="false" ht="12.8" hidden="false" customHeight="false" outlineLevel="0" collapsed="false"/>
    <row r="1035899" customFormat="false" ht="12.8" hidden="false" customHeight="false" outlineLevel="0" collapsed="false"/>
    <row r="1035900" customFormat="false" ht="12.8" hidden="false" customHeight="false" outlineLevel="0" collapsed="false"/>
    <row r="1035901" customFormat="false" ht="12.8" hidden="false" customHeight="false" outlineLevel="0" collapsed="false"/>
    <row r="1035902" customFormat="false" ht="12.8" hidden="false" customHeight="false" outlineLevel="0" collapsed="false"/>
    <row r="1035903" customFormat="false" ht="12.8" hidden="false" customHeight="false" outlineLevel="0" collapsed="false"/>
    <row r="1035904" customFormat="false" ht="12.8" hidden="false" customHeight="false" outlineLevel="0" collapsed="false"/>
    <row r="1035905" customFormat="false" ht="12.8" hidden="false" customHeight="false" outlineLevel="0" collapsed="false"/>
    <row r="1035906" customFormat="false" ht="12.8" hidden="false" customHeight="false" outlineLevel="0" collapsed="false"/>
    <row r="1035907" customFormat="false" ht="12.8" hidden="false" customHeight="false" outlineLevel="0" collapsed="false"/>
    <row r="1035908" customFormat="false" ht="12.8" hidden="false" customHeight="false" outlineLevel="0" collapsed="false"/>
    <row r="1035909" customFormat="false" ht="12.8" hidden="false" customHeight="false" outlineLevel="0" collapsed="false"/>
    <row r="1035910" customFormat="false" ht="12.8" hidden="false" customHeight="false" outlineLevel="0" collapsed="false"/>
    <row r="1035911" customFormat="false" ht="12.8" hidden="false" customHeight="false" outlineLevel="0" collapsed="false"/>
    <row r="1035912" customFormat="false" ht="12.8" hidden="false" customHeight="false" outlineLevel="0" collapsed="false"/>
    <row r="1035913" customFormat="false" ht="12.8" hidden="false" customHeight="false" outlineLevel="0" collapsed="false"/>
    <row r="1035914" customFormat="false" ht="12.8" hidden="false" customHeight="false" outlineLevel="0" collapsed="false"/>
    <row r="1035915" customFormat="false" ht="12.8" hidden="false" customHeight="false" outlineLevel="0" collapsed="false"/>
    <row r="1035916" customFormat="false" ht="12.8" hidden="false" customHeight="false" outlineLevel="0" collapsed="false"/>
    <row r="1035917" customFormat="false" ht="12.8" hidden="false" customHeight="false" outlineLevel="0" collapsed="false"/>
    <row r="1035918" customFormat="false" ht="12.8" hidden="false" customHeight="false" outlineLevel="0" collapsed="false"/>
    <row r="1035919" customFormat="false" ht="12.8" hidden="false" customHeight="false" outlineLevel="0" collapsed="false"/>
    <row r="1035920" customFormat="false" ht="12.8" hidden="false" customHeight="false" outlineLevel="0" collapsed="false"/>
    <row r="1035921" customFormat="false" ht="12.8" hidden="false" customHeight="false" outlineLevel="0" collapsed="false"/>
    <row r="1035922" customFormat="false" ht="12.8" hidden="false" customHeight="false" outlineLevel="0" collapsed="false"/>
    <row r="1035923" customFormat="false" ht="12.8" hidden="false" customHeight="false" outlineLevel="0" collapsed="false"/>
    <row r="1035924" customFormat="false" ht="12.8" hidden="false" customHeight="false" outlineLevel="0" collapsed="false"/>
    <row r="1035925" customFormat="false" ht="12.8" hidden="false" customHeight="false" outlineLevel="0" collapsed="false"/>
    <row r="1035926" customFormat="false" ht="12.8" hidden="false" customHeight="false" outlineLevel="0" collapsed="false"/>
    <row r="1035927" customFormat="false" ht="12.8" hidden="false" customHeight="false" outlineLevel="0" collapsed="false"/>
    <row r="1035928" customFormat="false" ht="12.8" hidden="false" customHeight="false" outlineLevel="0" collapsed="false"/>
    <row r="1035929" customFormat="false" ht="12.8" hidden="false" customHeight="false" outlineLevel="0" collapsed="false"/>
    <row r="1035930" customFormat="false" ht="12.8" hidden="false" customHeight="false" outlineLevel="0" collapsed="false"/>
    <row r="1035931" customFormat="false" ht="12.8" hidden="false" customHeight="false" outlineLevel="0" collapsed="false"/>
    <row r="1035932" customFormat="false" ht="12.8" hidden="false" customHeight="false" outlineLevel="0" collapsed="false"/>
    <row r="1035933" customFormat="false" ht="12.8" hidden="false" customHeight="false" outlineLevel="0" collapsed="false"/>
    <row r="1035934" customFormat="false" ht="12.8" hidden="false" customHeight="false" outlineLevel="0" collapsed="false"/>
    <row r="1035935" customFormat="false" ht="12.8" hidden="false" customHeight="false" outlineLevel="0" collapsed="false"/>
    <row r="1035936" customFormat="false" ht="12.8" hidden="false" customHeight="false" outlineLevel="0" collapsed="false"/>
    <row r="1035937" customFormat="false" ht="12.8" hidden="false" customHeight="false" outlineLevel="0" collapsed="false"/>
    <row r="1035938" customFormat="false" ht="12.8" hidden="false" customHeight="false" outlineLevel="0" collapsed="false"/>
    <row r="1035939" customFormat="false" ht="12.8" hidden="false" customHeight="false" outlineLevel="0" collapsed="false"/>
    <row r="1035940" customFormat="false" ht="12.8" hidden="false" customHeight="false" outlineLevel="0" collapsed="false"/>
    <row r="1035941" customFormat="false" ht="12.8" hidden="false" customHeight="false" outlineLevel="0" collapsed="false"/>
    <row r="1035942" customFormat="false" ht="12.8" hidden="false" customHeight="false" outlineLevel="0" collapsed="false"/>
    <row r="1035943" customFormat="false" ht="12.8" hidden="false" customHeight="false" outlineLevel="0" collapsed="false"/>
    <row r="1035944" customFormat="false" ht="12.8" hidden="false" customHeight="false" outlineLevel="0" collapsed="false"/>
    <row r="1035945" customFormat="false" ht="12.8" hidden="false" customHeight="false" outlineLevel="0" collapsed="false"/>
    <row r="1035946" customFormat="false" ht="12.8" hidden="false" customHeight="false" outlineLevel="0" collapsed="false"/>
    <row r="1035947" customFormat="false" ht="12.8" hidden="false" customHeight="false" outlineLevel="0" collapsed="false"/>
    <row r="1035948" customFormat="false" ht="12.8" hidden="false" customHeight="false" outlineLevel="0" collapsed="false"/>
    <row r="1035949" customFormat="false" ht="12.8" hidden="false" customHeight="false" outlineLevel="0" collapsed="false"/>
    <row r="1035950" customFormat="false" ht="12.8" hidden="false" customHeight="false" outlineLevel="0" collapsed="false"/>
    <row r="1035951" customFormat="false" ht="12.8" hidden="false" customHeight="false" outlineLevel="0" collapsed="false"/>
    <row r="1035952" customFormat="false" ht="12.8" hidden="false" customHeight="false" outlineLevel="0" collapsed="false"/>
    <row r="1035953" customFormat="false" ht="12.8" hidden="false" customHeight="false" outlineLevel="0" collapsed="false"/>
    <row r="1035954" customFormat="false" ht="12.8" hidden="false" customHeight="false" outlineLevel="0" collapsed="false"/>
    <row r="1035955" customFormat="false" ht="12.8" hidden="false" customHeight="false" outlineLevel="0" collapsed="false"/>
    <row r="1035956" customFormat="false" ht="12.8" hidden="false" customHeight="false" outlineLevel="0" collapsed="false"/>
    <row r="1035957" customFormat="false" ht="12.8" hidden="false" customHeight="false" outlineLevel="0" collapsed="false"/>
    <row r="1035958" customFormat="false" ht="12.8" hidden="false" customHeight="false" outlineLevel="0" collapsed="false"/>
    <row r="1035959" customFormat="false" ht="12.8" hidden="false" customHeight="false" outlineLevel="0" collapsed="false"/>
    <row r="1035960" customFormat="false" ht="12.8" hidden="false" customHeight="false" outlineLevel="0" collapsed="false"/>
    <row r="1035961" customFormat="false" ht="12.8" hidden="false" customHeight="false" outlineLevel="0" collapsed="false"/>
    <row r="1035962" customFormat="false" ht="12.8" hidden="false" customHeight="false" outlineLevel="0" collapsed="false"/>
    <row r="1035963" customFormat="false" ht="12.8" hidden="false" customHeight="false" outlineLevel="0" collapsed="false"/>
    <row r="1035964" customFormat="false" ht="12.8" hidden="false" customHeight="false" outlineLevel="0" collapsed="false"/>
    <row r="1035965" customFormat="false" ht="12.8" hidden="false" customHeight="false" outlineLevel="0" collapsed="false"/>
    <row r="1035966" customFormat="false" ht="12.8" hidden="false" customHeight="false" outlineLevel="0" collapsed="false"/>
    <row r="1035967" customFormat="false" ht="12.8" hidden="false" customHeight="false" outlineLevel="0" collapsed="false"/>
    <row r="1035968" customFormat="false" ht="12.8" hidden="false" customHeight="false" outlineLevel="0" collapsed="false"/>
    <row r="1035969" customFormat="false" ht="12.8" hidden="false" customHeight="false" outlineLevel="0" collapsed="false"/>
    <row r="1035970" customFormat="false" ht="12.8" hidden="false" customHeight="false" outlineLevel="0" collapsed="false"/>
    <row r="1035971" customFormat="false" ht="12.8" hidden="false" customHeight="false" outlineLevel="0" collapsed="false"/>
    <row r="1035972" customFormat="false" ht="12.8" hidden="false" customHeight="false" outlineLevel="0" collapsed="false"/>
    <row r="1035973" customFormat="false" ht="12.8" hidden="false" customHeight="false" outlineLevel="0" collapsed="false"/>
    <row r="1035974" customFormat="false" ht="12.8" hidden="false" customHeight="false" outlineLevel="0" collapsed="false"/>
    <row r="1035975" customFormat="false" ht="12.8" hidden="false" customHeight="false" outlineLevel="0" collapsed="false"/>
    <row r="1035976" customFormat="false" ht="12.8" hidden="false" customHeight="false" outlineLevel="0" collapsed="false"/>
    <row r="1035977" customFormat="false" ht="12.8" hidden="false" customHeight="false" outlineLevel="0" collapsed="false"/>
    <row r="1035978" customFormat="false" ht="12.8" hidden="false" customHeight="false" outlineLevel="0" collapsed="false"/>
    <row r="1035979" customFormat="false" ht="12.8" hidden="false" customHeight="false" outlineLevel="0" collapsed="false"/>
    <row r="1035980" customFormat="false" ht="12.8" hidden="false" customHeight="false" outlineLevel="0" collapsed="false"/>
    <row r="1035981" customFormat="false" ht="12.8" hidden="false" customHeight="false" outlineLevel="0" collapsed="false"/>
    <row r="1035982" customFormat="false" ht="12.8" hidden="false" customHeight="false" outlineLevel="0" collapsed="false"/>
    <row r="1035983" customFormat="false" ht="12.8" hidden="false" customHeight="false" outlineLevel="0" collapsed="false"/>
    <row r="1035984" customFormat="false" ht="12.8" hidden="false" customHeight="false" outlineLevel="0" collapsed="false"/>
    <row r="1035985" customFormat="false" ht="12.8" hidden="false" customHeight="false" outlineLevel="0" collapsed="false"/>
    <row r="1035986" customFormat="false" ht="12.8" hidden="false" customHeight="false" outlineLevel="0" collapsed="false"/>
    <row r="1035987" customFormat="false" ht="12.8" hidden="false" customHeight="false" outlineLevel="0" collapsed="false"/>
    <row r="1035988" customFormat="false" ht="12.8" hidden="false" customHeight="false" outlineLevel="0" collapsed="false"/>
    <row r="1035989" customFormat="false" ht="12.8" hidden="false" customHeight="false" outlineLevel="0" collapsed="false"/>
    <row r="1035990" customFormat="false" ht="12.8" hidden="false" customHeight="false" outlineLevel="0" collapsed="false"/>
    <row r="1035991" customFormat="false" ht="12.8" hidden="false" customHeight="false" outlineLevel="0" collapsed="false"/>
    <row r="1035992" customFormat="false" ht="12.8" hidden="false" customHeight="false" outlineLevel="0" collapsed="false"/>
    <row r="1035993" customFormat="false" ht="12.8" hidden="false" customHeight="false" outlineLevel="0" collapsed="false"/>
    <row r="1035994" customFormat="false" ht="12.8" hidden="false" customHeight="false" outlineLevel="0" collapsed="false"/>
    <row r="1035995" customFormat="false" ht="12.8" hidden="false" customHeight="false" outlineLevel="0" collapsed="false"/>
    <row r="1035996" customFormat="false" ht="12.8" hidden="false" customHeight="false" outlineLevel="0" collapsed="false"/>
    <row r="1035997" customFormat="false" ht="12.8" hidden="false" customHeight="false" outlineLevel="0" collapsed="false"/>
    <row r="1035998" customFormat="false" ht="12.8" hidden="false" customHeight="false" outlineLevel="0" collapsed="false"/>
    <row r="1035999" customFormat="false" ht="12.8" hidden="false" customHeight="false" outlineLevel="0" collapsed="false"/>
    <row r="1036000" customFormat="false" ht="12.8" hidden="false" customHeight="false" outlineLevel="0" collapsed="false"/>
    <row r="1036001" customFormat="false" ht="12.8" hidden="false" customHeight="false" outlineLevel="0" collapsed="false"/>
    <row r="1036002" customFormat="false" ht="12.8" hidden="false" customHeight="false" outlineLevel="0" collapsed="false"/>
    <row r="1036003" customFormat="false" ht="12.8" hidden="false" customHeight="false" outlineLevel="0" collapsed="false"/>
    <row r="1036004" customFormat="false" ht="12.8" hidden="false" customHeight="false" outlineLevel="0" collapsed="false"/>
    <row r="1036005" customFormat="false" ht="12.8" hidden="false" customHeight="false" outlineLevel="0" collapsed="false"/>
    <row r="1036006" customFormat="false" ht="12.8" hidden="false" customHeight="false" outlineLevel="0" collapsed="false"/>
    <row r="1036007" customFormat="false" ht="12.8" hidden="false" customHeight="false" outlineLevel="0" collapsed="false"/>
    <row r="1036008" customFormat="false" ht="12.8" hidden="false" customHeight="false" outlineLevel="0" collapsed="false"/>
    <row r="1036009" customFormat="false" ht="12.8" hidden="false" customHeight="false" outlineLevel="0" collapsed="false"/>
    <row r="1036010" customFormat="false" ht="12.8" hidden="false" customHeight="false" outlineLevel="0" collapsed="false"/>
    <row r="1036011" customFormat="false" ht="12.8" hidden="false" customHeight="false" outlineLevel="0" collapsed="false"/>
    <row r="1036012" customFormat="false" ht="12.8" hidden="false" customHeight="false" outlineLevel="0" collapsed="false"/>
    <row r="1036013" customFormat="false" ht="12.8" hidden="false" customHeight="false" outlineLevel="0" collapsed="false"/>
    <row r="1036014" customFormat="false" ht="12.8" hidden="false" customHeight="false" outlineLevel="0" collapsed="false"/>
    <row r="1036015" customFormat="false" ht="12.8" hidden="false" customHeight="false" outlineLevel="0" collapsed="false"/>
    <row r="1036016" customFormat="false" ht="12.8" hidden="false" customHeight="false" outlineLevel="0" collapsed="false"/>
    <row r="1036017" customFormat="false" ht="12.8" hidden="false" customHeight="false" outlineLevel="0" collapsed="false"/>
    <row r="1036018" customFormat="false" ht="12.8" hidden="false" customHeight="false" outlineLevel="0" collapsed="false"/>
    <row r="1036019" customFormat="false" ht="12.8" hidden="false" customHeight="false" outlineLevel="0" collapsed="false"/>
    <row r="1036020" customFormat="false" ht="12.8" hidden="false" customHeight="false" outlineLevel="0" collapsed="false"/>
    <row r="1036021" customFormat="false" ht="12.8" hidden="false" customHeight="false" outlineLevel="0" collapsed="false"/>
    <row r="1036022" customFormat="false" ht="12.8" hidden="false" customHeight="false" outlineLevel="0" collapsed="false"/>
    <row r="1036023" customFormat="false" ht="12.8" hidden="false" customHeight="false" outlineLevel="0" collapsed="false"/>
    <row r="1036024" customFormat="false" ht="12.8" hidden="false" customHeight="false" outlineLevel="0" collapsed="false"/>
    <row r="1036025" customFormat="false" ht="12.8" hidden="false" customHeight="false" outlineLevel="0" collapsed="false"/>
    <row r="1036026" customFormat="false" ht="12.8" hidden="false" customHeight="false" outlineLevel="0" collapsed="false"/>
    <row r="1036027" customFormat="false" ht="12.8" hidden="false" customHeight="false" outlineLevel="0" collapsed="false"/>
    <row r="1036028" customFormat="false" ht="12.8" hidden="false" customHeight="false" outlineLevel="0" collapsed="false"/>
    <row r="1036029" customFormat="false" ht="12.8" hidden="false" customHeight="false" outlineLevel="0" collapsed="false"/>
    <row r="1036030" customFormat="false" ht="12.8" hidden="false" customHeight="false" outlineLevel="0" collapsed="false"/>
    <row r="1036031" customFormat="false" ht="12.8" hidden="false" customHeight="false" outlineLevel="0" collapsed="false"/>
    <row r="1036032" customFormat="false" ht="12.8" hidden="false" customHeight="false" outlineLevel="0" collapsed="false"/>
    <row r="1036033" customFormat="false" ht="12.8" hidden="false" customHeight="false" outlineLevel="0" collapsed="false"/>
    <row r="1036034" customFormat="false" ht="12.8" hidden="false" customHeight="false" outlineLevel="0" collapsed="false"/>
    <row r="1036035" customFormat="false" ht="12.8" hidden="false" customHeight="false" outlineLevel="0" collapsed="false"/>
    <row r="1036036" customFormat="false" ht="12.8" hidden="false" customHeight="false" outlineLevel="0" collapsed="false"/>
    <row r="1036037" customFormat="false" ht="12.8" hidden="false" customHeight="false" outlineLevel="0" collapsed="false"/>
    <row r="1036038" customFormat="false" ht="12.8" hidden="false" customHeight="false" outlineLevel="0" collapsed="false"/>
    <row r="1036039" customFormat="false" ht="12.8" hidden="false" customHeight="false" outlineLevel="0" collapsed="false"/>
    <row r="1036040" customFormat="false" ht="12.8" hidden="false" customHeight="false" outlineLevel="0" collapsed="false"/>
    <row r="1036041" customFormat="false" ht="12.8" hidden="false" customHeight="false" outlineLevel="0" collapsed="false"/>
    <row r="1036042" customFormat="false" ht="12.8" hidden="false" customHeight="false" outlineLevel="0" collapsed="false"/>
    <row r="1036043" customFormat="false" ht="12.8" hidden="false" customHeight="false" outlineLevel="0" collapsed="false"/>
    <row r="1036044" customFormat="false" ht="12.8" hidden="false" customHeight="false" outlineLevel="0" collapsed="false"/>
    <row r="1036045" customFormat="false" ht="12.8" hidden="false" customHeight="false" outlineLevel="0" collapsed="false"/>
    <row r="1036046" customFormat="false" ht="12.8" hidden="false" customHeight="false" outlineLevel="0" collapsed="false"/>
    <row r="1036047" customFormat="false" ht="12.8" hidden="false" customHeight="false" outlineLevel="0" collapsed="false"/>
    <row r="1036048" customFormat="false" ht="12.8" hidden="false" customHeight="false" outlineLevel="0" collapsed="false"/>
    <row r="1036049" customFormat="false" ht="12.8" hidden="false" customHeight="false" outlineLevel="0" collapsed="false"/>
    <row r="1036050" customFormat="false" ht="12.8" hidden="false" customHeight="false" outlineLevel="0" collapsed="false"/>
    <row r="1036051" customFormat="false" ht="12.8" hidden="false" customHeight="false" outlineLevel="0" collapsed="false"/>
    <row r="1036052" customFormat="false" ht="12.8" hidden="false" customHeight="false" outlineLevel="0" collapsed="false"/>
    <row r="1036053" customFormat="false" ht="12.8" hidden="false" customHeight="false" outlineLevel="0" collapsed="false"/>
    <row r="1036054" customFormat="false" ht="12.8" hidden="false" customHeight="false" outlineLevel="0" collapsed="false"/>
    <row r="1036055" customFormat="false" ht="12.8" hidden="false" customHeight="false" outlineLevel="0" collapsed="false"/>
    <row r="1036056" customFormat="false" ht="12.8" hidden="false" customHeight="false" outlineLevel="0" collapsed="false"/>
    <row r="1036057" customFormat="false" ht="12.8" hidden="false" customHeight="false" outlineLevel="0" collapsed="false"/>
    <row r="1036058" customFormat="false" ht="12.8" hidden="false" customHeight="false" outlineLevel="0" collapsed="false"/>
    <row r="1036059" customFormat="false" ht="12.8" hidden="false" customHeight="false" outlineLevel="0" collapsed="false"/>
    <row r="1036060" customFormat="false" ht="12.8" hidden="false" customHeight="false" outlineLevel="0" collapsed="false"/>
    <row r="1036061" customFormat="false" ht="12.8" hidden="false" customHeight="false" outlineLevel="0" collapsed="false"/>
    <row r="1036062" customFormat="false" ht="12.8" hidden="false" customHeight="false" outlineLevel="0" collapsed="false"/>
    <row r="1036063" customFormat="false" ht="12.8" hidden="false" customHeight="false" outlineLevel="0" collapsed="false"/>
    <row r="1036064" customFormat="false" ht="12.8" hidden="false" customHeight="false" outlineLevel="0" collapsed="false"/>
    <row r="1036065" customFormat="false" ht="12.8" hidden="false" customHeight="false" outlineLevel="0" collapsed="false"/>
    <row r="1036066" customFormat="false" ht="12.8" hidden="false" customHeight="false" outlineLevel="0" collapsed="false"/>
    <row r="1036067" customFormat="false" ht="12.8" hidden="false" customHeight="false" outlineLevel="0" collapsed="false"/>
    <row r="1036068" customFormat="false" ht="12.8" hidden="false" customHeight="false" outlineLevel="0" collapsed="false"/>
    <row r="1036069" customFormat="false" ht="12.8" hidden="false" customHeight="false" outlineLevel="0" collapsed="false"/>
    <row r="1036070" customFormat="false" ht="12.8" hidden="false" customHeight="false" outlineLevel="0" collapsed="false"/>
    <row r="1036071" customFormat="false" ht="12.8" hidden="false" customHeight="false" outlineLevel="0" collapsed="false"/>
    <row r="1036072" customFormat="false" ht="12.8" hidden="false" customHeight="false" outlineLevel="0" collapsed="false"/>
    <row r="1036073" customFormat="false" ht="12.8" hidden="false" customHeight="false" outlineLevel="0" collapsed="false"/>
    <row r="1036074" customFormat="false" ht="12.8" hidden="false" customHeight="false" outlineLevel="0" collapsed="false"/>
    <row r="1036075" customFormat="false" ht="12.8" hidden="false" customHeight="false" outlineLevel="0" collapsed="false"/>
    <row r="1036076" customFormat="false" ht="12.8" hidden="false" customHeight="false" outlineLevel="0" collapsed="false"/>
    <row r="1036077" customFormat="false" ht="12.8" hidden="false" customHeight="false" outlineLevel="0" collapsed="false"/>
    <row r="1036078" customFormat="false" ht="12.8" hidden="false" customHeight="false" outlineLevel="0" collapsed="false"/>
    <row r="1036079" customFormat="false" ht="12.8" hidden="false" customHeight="false" outlineLevel="0" collapsed="false"/>
    <row r="1036080" customFormat="false" ht="12.8" hidden="false" customHeight="false" outlineLevel="0" collapsed="false"/>
    <row r="1036081" customFormat="false" ht="12.8" hidden="false" customHeight="false" outlineLevel="0" collapsed="false"/>
    <row r="1036082" customFormat="false" ht="12.8" hidden="false" customHeight="false" outlineLevel="0" collapsed="false"/>
    <row r="1036083" customFormat="false" ht="12.8" hidden="false" customHeight="false" outlineLevel="0" collapsed="false"/>
    <row r="1036084" customFormat="false" ht="12.8" hidden="false" customHeight="false" outlineLevel="0" collapsed="false"/>
    <row r="1036085" customFormat="false" ht="12.8" hidden="false" customHeight="false" outlineLevel="0" collapsed="false"/>
    <row r="1036086" customFormat="false" ht="12.8" hidden="false" customHeight="false" outlineLevel="0" collapsed="false"/>
    <row r="1036087" customFormat="false" ht="12.8" hidden="false" customHeight="false" outlineLevel="0" collapsed="false"/>
    <row r="1036088" customFormat="false" ht="12.8" hidden="false" customHeight="false" outlineLevel="0" collapsed="false"/>
    <row r="1036089" customFormat="false" ht="12.8" hidden="false" customHeight="false" outlineLevel="0" collapsed="false"/>
    <row r="1036090" customFormat="false" ht="12.8" hidden="false" customHeight="false" outlineLevel="0" collapsed="false"/>
    <row r="1036091" customFormat="false" ht="12.8" hidden="false" customHeight="false" outlineLevel="0" collapsed="false"/>
    <row r="1036092" customFormat="false" ht="12.8" hidden="false" customHeight="false" outlineLevel="0" collapsed="false"/>
    <row r="1036093" customFormat="false" ht="12.8" hidden="false" customHeight="false" outlineLevel="0" collapsed="false"/>
    <row r="1036094" customFormat="false" ht="12.8" hidden="false" customHeight="false" outlineLevel="0" collapsed="false"/>
    <row r="1036095" customFormat="false" ht="12.8" hidden="false" customHeight="false" outlineLevel="0" collapsed="false"/>
    <row r="1036096" customFormat="false" ht="12.8" hidden="false" customHeight="false" outlineLevel="0" collapsed="false"/>
    <row r="1036097" customFormat="false" ht="12.8" hidden="false" customHeight="false" outlineLevel="0" collapsed="false"/>
    <row r="1036098" customFormat="false" ht="12.8" hidden="false" customHeight="false" outlineLevel="0" collapsed="false"/>
    <row r="1036099" customFormat="false" ht="12.8" hidden="false" customHeight="false" outlineLevel="0" collapsed="false"/>
    <row r="1036100" customFormat="false" ht="12.8" hidden="false" customHeight="false" outlineLevel="0" collapsed="false"/>
    <row r="1036101" customFormat="false" ht="12.8" hidden="false" customHeight="false" outlineLevel="0" collapsed="false"/>
    <row r="1036102" customFormat="false" ht="12.8" hidden="false" customHeight="false" outlineLevel="0" collapsed="false"/>
    <row r="1036103" customFormat="false" ht="12.8" hidden="false" customHeight="false" outlineLevel="0" collapsed="false"/>
    <row r="1036104" customFormat="false" ht="12.8" hidden="false" customHeight="false" outlineLevel="0" collapsed="false"/>
    <row r="1036105" customFormat="false" ht="12.8" hidden="false" customHeight="false" outlineLevel="0" collapsed="false"/>
    <row r="1036106" customFormat="false" ht="12.8" hidden="false" customHeight="false" outlineLevel="0" collapsed="false"/>
    <row r="1036107" customFormat="false" ht="12.8" hidden="false" customHeight="false" outlineLevel="0" collapsed="false"/>
    <row r="1036108" customFormat="false" ht="12.8" hidden="false" customHeight="false" outlineLevel="0" collapsed="false"/>
    <row r="1036109" customFormat="false" ht="12.8" hidden="false" customHeight="false" outlineLevel="0" collapsed="false"/>
    <row r="1036110" customFormat="false" ht="12.8" hidden="false" customHeight="false" outlineLevel="0" collapsed="false"/>
    <row r="1036111" customFormat="false" ht="12.8" hidden="false" customHeight="false" outlineLevel="0" collapsed="false"/>
    <row r="1036112" customFormat="false" ht="12.8" hidden="false" customHeight="false" outlineLevel="0" collapsed="false"/>
    <row r="1036113" customFormat="false" ht="12.8" hidden="false" customHeight="false" outlineLevel="0" collapsed="false"/>
    <row r="1036114" customFormat="false" ht="12.8" hidden="false" customHeight="false" outlineLevel="0" collapsed="false"/>
    <row r="1036115" customFormat="false" ht="12.8" hidden="false" customHeight="false" outlineLevel="0" collapsed="false"/>
    <row r="1036116" customFormat="false" ht="12.8" hidden="false" customHeight="false" outlineLevel="0" collapsed="false"/>
    <row r="1036117" customFormat="false" ht="12.8" hidden="false" customHeight="false" outlineLevel="0" collapsed="false"/>
    <row r="1036118" customFormat="false" ht="12.8" hidden="false" customHeight="false" outlineLevel="0" collapsed="false"/>
    <row r="1036119" customFormat="false" ht="12.8" hidden="false" customHeight="false" outlineLevel="0" collapsed="false"/>
    <row r="1036120" customFormat="false" ht="12.8" hidden="false" customHeight="false" outlineLevel="0" collapsed="false"/>
    <row r="1036121" customFormat="false" ht="12.8" hidden="false" customHeight="false" outlineLevel="0" collapsed="false"/>
    <row r="1036122" customFormat="false" ht="12.8" hidden="false" customHeight="false" outlineLevel="0" collapsed="false"/>
    <row r="1036123" customFormat="false" ht="12.8" hidden="false" customHeight="false" outlineLevel="0" collapsed="false"/>
    <row r="1036124" customFormat="false" ht="12.8" hidden="false" customHeight="false" outlineLevel="0" collapsed="false"/>
    <row r="1036125" customFormat="false" ht="12.8" hidden="false" customHeight="false" outlineLevel="0" collapsed="false"/>
    <row r="1036126" customFormat="false" ht="12.8" hidden="false" customHeight="false" outlineLevel="0" collapsed="false"/>
    <row r="1036127" customFormat="false" ht="12.8" hidden="false" customHeight="false" outlineLevel="0" collapsed="false"/>
    <row r="1036128" customFormat="false" ht="12.8" hidden="false" customHeight="false" outlineLevel="0" collapsed="false"/>
    <row r="1036129" customFormat="false" ht="12.8" hidden="false" customHeight="false" outlineLevel="0" collapsed="false"/>
    <row r="1036130" customFormat="false" ht="12.8" hidden="false" customHeight="false" outlineLevel="0" collapsed="false"/>
    <row r="1036131" customFormat="false" ht="12.8" hidden="false" customHeight="false" outlineLevel="0" collapsed="false"/>
    <row r="1036132" customFormat="false" ht="12.8" hidden="false" customHeight="false" outlineLevel="0" collapsed="false"/>
    <row r="1036133" customFormat="false" ht="12.8" hidden="false" customHeight="false" outlineLevel="0" collapsed="false"/>
    <row r="1036134" customFormat="false" ht="12.8" hidden="false" customHeight="false" outlineLevel="0" collapsed="false"/>
    <row r="1036135" customFormat="false" ht="12.8" hidden="false" customHeight="false" outlineLevel="0" collapsed="false"/>
    <row r="1036136" customFormat="false" ht="12.8" hidden="false" customHeight="false" outlineLevel="0" collapsed="false"/>
    <row r="1036137" customFormat="false" ht="12.8" hidden="false" customHeight="false" outlineLevel="0" collapsed="false"/>
    <row r="1036138" customFormat="false" ht="12.8" hidden="false" customHeight="false" outlineLevel="0" collapsed="false"/>
    <row r="1036139" customFormat="false" ht="12.8" hidden="false" customHeight="false" outlineLevel="0" collapsed="false"/>
    <row r="1036140" customFormat="false" ht="12.8" hidden="false" customHeight="false" outlineLevel="0" collapsed="false"/>
    <row r="1036141" customFormat="false" ht="12.8" hidden="false" customHeight="false" outlineLevel="0" collapsed="false"/>
    <row r="1036142" customFormat="false" ht="12.8" hidden="false" customHeight="false" outlineLevel="0" collapsed="false"/>
    <row r="1036143" customFormat="false" ht="12.8" hidden="false" customHeight="false" outlineLevel="0" collapsed="false"/>
    <row r="1036144" customFormat="false" ht="12.8" hidden="false" customHeight="false" outlineLevel="0" collapsed="false"/>
    <row r="1036145" customFormat="false" ht="12.8" hidden="false" customHeight="false" outlineLevel="0" collapsed="false"/>
    <row r="1036146" customFormat="false" ht="12.8" hidden="false" customHeight="false" outlineLevel="0" collapsed="false"/>
    <row r="1036147" customFormat="false" ht="12.8" hidden="false" customHeight="false" outlineLevel="0" collapsed="false"/>
    <row r="1036148" customFormat="false" ht="12.8" hidden="false" customHeight="false" outlineLevel="0" collapsed="false"/>
    <row r="1036149" customFormat="false" ht="12.8" hidden="false" customHeight="false" outlineLevel="0" collapsed="false"/>
    <row r="1036150" customFormat="false" ht="12.8" hidden="false" customHeight="false" outlineLevel="0" collapsed="false"/>
    <row r="1036151" customFormat="false" ht="12.8" hidden="false" customHeight="false" outlineLevel="0" collapsed="false"/>
    <row r="1036152" customFormat="false" ht="12.8" hidden="false" customHeight="false" outlineLevel="0" collapsed="false"/>
    <row r="1036153" customFormat="false" ht="12.8" hidden="false" customHeight="false" outlineLevel="0" collapsed="false"/>
    <row r="1036154" customFormat="false" ht="12.8" hidden="false" customHeight="false" outlineLevel="0" collapsed="false"/>
    <row r="1036155" customFormat="false" ht="12.8" hidden="false" customHeight="false" outlineLevel="0" collapsed="false"/>
    <row r="1036156" customFormat="false" ht="12.8" hidden="false" customHeight="false" outlineLevel="0" collapsed="false"/>
    <row r="1036157" customFormat="false" ht="12.8" hidden="false" customHeight="false" outlineLevel="0" collapsed="false"/>
    <row r="1036158" customFormat="false" ht="12.8" hidden="false" customHeight="false" outlineLevel="0" collapsed="false"/>
    <row r="1036159" customFormat="false" ht="12.8" hidden="false" customHeight="false" outlineLevel="0" collapsed="false"/>
    <row r="1036160" customFormat="false" ht="12.8" hidden="false" customHeight="false" outlineLevel="0" collapsed="false"/>
    <row r="1036161" customFormat="false" ht="12.8" hidden="false" customHeight="false" outlineLevel="0" collapsed="false"/>
    <row r="1036162" customFormat="false" ht="12.8" hidden="false" customHeight="false" outlineLevel="0" collapsed="false"/>
    <row r="1036163" customFormat="false" ht="12.8" hidden="false" customHeight="false" outlineLevel="0" collapsed="false"/>
    <row r="1036164" customFormat="false" ht="12.8" hidden="false" customHeight="false" outlineLevel="0" collapsed="false"/>
    <row r="1036165" customFormat="false" ht="12.8" hidden="false" customHeight="false" outlineLevel="0" collapsed="false"/>
    <row r="1036166" customFormat="false" ht="12.8" hidden="false" customHeight="false" outlineLevel="0" collapsed="false"/>
    <row r="1036167" customFormat="false" ht="12.8" hidden="false" customHeight="false" outlineLevel="0" collapsed="false"/>
    <row r="1036168" customFormat="false" ht="12.8" hidden="false" customHeight="false" outlineLevel="0" collapsed="false"/>
    <row r="1036169" customFormat="false" ht="12.8" hidden="false" customHeight="false" outlineLevel="0" collapsed="false"/>
    <row r="1036170" customFormat="false" ht="12.8" hidden="false" customHeight="false" outlineLevel="0" collapsed="false"/>
    <row r="1036171" customFormat="false" ht="12.8" hidden="false" customHeight="false" outlineLevel="0" collapsed="false"/>
    <row r="1036172" customFormat="false" ht="12.8" hidden="false" customHeight="false" outlineLevel="0" collapsed="false"/>
    <row r="1036173" customFormat="false" ht="12.8" hidden="false" customHeight="false" outlineLevel="0" collapsed="false"/>
    <row r="1036174" customFormat="false" ht="12.8" hidden="false" customHeight="false" outlineLevel="0" collapsed="false"/>
    <row r="1036175" customFormat="false" ht="12.8" hidden="false" customHeight="false" outlineLevel="0" collapsed="false"/>
    <row r="1036176" customFormat="false" ht="12.8" hidden="false" customHeight="false" outlineLevel="0" collapsed="false"/>
    <row r="1036177" customFormat="false" ht="12.8" hidden="false" customHeight="false" outlineLevel="0" collapsed="false"/>
    <row r="1036178" customFormat="false" ht="12.8" hidden="false" customHeight="false" outlineLevel="0" collapsed="false"/>
    <row r="1036179" customFormat="false" ht="12.8" hidden="false" customHeight="false" outlineLevel="0" collapsed="false"/>
    <row r="1036180" customFormat="false" ht="12.8" hidden="false" customHeight="false" outlineLevel="0" collapsed="false"/>
    <row r="1036181" customFormat="false" ht="12.8" hidden="false" customHeight="false" outlineLevel="0" collapsed="false"/>
    <row r="1036182" customFormat="false" ht="12.8" hidden="false" customHeight="false" outlineLevel="0" collapsed="false"/>
    <row r="1036183" customFormat="false" ht="12.8" hidden="false" customHeight="false" outlineLevel="0" collapsed="false"/>
    <row r="1036184" customFormat="false" ht="12.8" hidden="false" customHeight="false" outlineLevel="0" collapsed="false"/>
    <row r="1036185" customFormat="false" ht="12.8" hidden="false" customHeight="false" outlineLevel="0" collapsed="false"/>
    <row r="1036186" customFormat="false" ht="12.8" hidden="false" customHeight="false" outlineLevel="0" collapsed="false"/>
    <row r="1036187" customFormat="false" ht="12.8" hidden="false" customHeight="false" outlineLevel="0" collapsed="false"/>
    <row r="1036188" customFormat="false" ht="12.8" hidden="false" customHeight="false" outlineLevel="0" collapsed="false"/>
    <row r="1036189" customFormat="false" ht="12.8" hidden="false" customHeight="false" outlineLevel="0" collapsed="false"/>
    <row r="1036190" customFormat="false" ht="12.8" hidden="false" customHeight="false" outlineLevel="0" collapsed="false"/>
    <row r="1036191" customFormat="false" ht="12.8" hidden="false" customHeight="false" outlineLevel="0" collapsed="false"/>
    <row r="1036192" customFormat="false" ht="12.8" hidden="false" customHeight="false" outlineLevel="0" collapsed="false"/>
    <row r="1036193" customFormat="false" ht="12.8" hidden="false" customHeight="false" outlineLevel="0" collapsed="false"/>
    <row r="1036194" customFormat="false" ht="12.8" hidden="false" customHeight="false" outlineLevel="0" collapsed="false"/>
    <row r="1036195" customFormat="false" ht="12.8" hidden="false" customHeight="false" outlineLevel="0" collapsed="false"/>
    <row r="1036196" customFormat="false" ht="12.8" hidden="false" customHeight="false" outlineLevel="0" collapsed="false"/>
    <row r="1036197" customFormat="false" ht="12.8" hidden="false" customHeight="false" outlineLevel="0" collapsed="false"/>
    <row r="1036198" customFormat="false" ht="12.8" hidden="false" customHeight="false" outlineLevel="0" collapsed="false"/>
    <row r="1036199" customFormat="false" ht="12.8" hidden="false" customHeight="false" outlineLevel="0" collapsed="false"/>
    <row r="1036200" customFormat="false" ht="12.8" hidden="false" customHeight="false" outlineLevel="0" collapsed="false"/>
    <row r="1036201" customFormat="false" ht="12.8" hidden="false" customHeight="false" outlineLevel="0" collapsed="false"/>
    <row r="1036202" customFormat="false" ht="12.8" hidden="false" customHeight="false" outlineLevel="0" collapsed="false"/>
    <row r="1036203" customFormat="false" ht="12.8" hidden="false" customHeight="false" outlineLevel="0" collapsed="false"/>
    <row r="1036204" customFormat="false" ht="12.8" hidden="false" customHeight="false" outlineLevel="0" collapsed="false"/>
    <row r="1036205" customFormat="false" ht="12.8" hidden="false" customHeight="false" outlineLevel="0" collapsed="false"/>
    <row r="1036206" customFormat="false" ht="12.8" hidden="false" customHeight="false" outlineLevel="0" collapsed="false"/>
    <row r="1036207" customFormat="false" ht="12.8" hidden="false" customHeight="false" outlineLevel="0" collapsed="false"/>
    <row r="1036208" customFormat="false" ht="12.8" hidden="false" customHeight="false" outlineLevel="0" collapsed="false"/>
    <row r="1036209" customFormat="false" ht="12.8" hidden="false" customHeight="false" outlineLevel="0" collapsed="false"/>
    <row r="1036210" customFormat="false" ht="12.8" hidden="false" customHeight="false" outlineLevel="0" collapsed="false"/>
    <row r="1036211" customFormat="false" ht="12.8" hidden="false" customHeight="false" outlineLevel="0" collapsed="false"/>
    <row r="1036212" customFormat="false" ht="12.8" hidden="false" customHeight="false" outlineLevel="0" collapsed="false"/>
    <row r="1036213" customFormat="false" ht="12.8" hidden="false" customHeight="false" outlineLevel="0" collapsed="false"/>
    <row r="1036214" customFormat="false" ht="12.8" hidden="false" customHeight="false" outlineLevel="0" collapsed="false"/>
    <row r="1036215" customFormat="false" ht="12.8" hidden="false" customHeight="false" outlineLevel="0" collapsed="false"/>
    <row r="1036216" customFormat="false" ht="12.8" hidden="false" customHeight="false" outlineLevel="0" collapsed="false"/>
    <row r="1036217" customFormat="false" ht="12.8" hidden="false" customHeight="false" outlineLevel="0" collapsed="false"/>
    <row r="1036218" customFormat="false" ht="12.8" hidden="false" customHeight="false" outlineLevel="0" collapsed="false"/>
    <row r="1036219" customFormat="false" ht="12.8" hidden="false" customHeight="false" outlineLevel="0" collapsed="false"/>
    <row r="1036220" customFormat="false" ht="12.8" hidden="false" customHeight="false" outlineLevel="0" collapsed="false"/>
    <row r="1036221" customFormat="false" ht="12.8" hidden="false" customHeight="false" outlineLevel="0" collapsed="false"/>
    <row r="1036222" customFormat="false" ht="12.8" hidden="false" customHeight="false" outlineLevel="0" collapsed="false"/>
    <row r="1036223" customFormat="false" ht="12.8" hidden="false" customHeight="false" outlineLevel="0" collapsed="false"/>
    <row r="1036224" customFormat="false" ht="12.8" hidden="false" customHeight="false" outlineLevel="0" collapsed="false"/>
    <row r="1036225" customFormat="false" ht="12.8" hidden="false" customHeight="false" outlineLevel="0" collapsed="false"/>
    <row r="1036226" customFormat="false" ht="12.8" hidden="false" customHeight="false" outlineLevel="0" collapsed="false"/>
    <row r="1036227" customFormat="false" ht="12.8" hidden="false" customHeight="false" outlineLevel="0" collapsed="false"/>
    <row r="1036228" customFormat="false" ht="12.8" hidden="false" customHeight="false" outlineLevel="0" collapsed="false"/>
    <row r="1036229" customFormat="false" ht="12.8" hidden="false" customHeight="false" outlineLevel="0" collapsed="false"/>
    <row r="1036230" customFormat="false" ht="12.8" hidden="false" customHeight="false" outlineLevel="0" collapsed="false"/>
    <row r="1036231" customFormat="false" ht="12.8" hidden="false" customHeight="false" outlineLevel="0" collapsed="false"/>
    <row r="1036232" customFormat="false" ht="12.8" hidden="false" customHeight="false" outlineLevel="0" collapsed="false"/>
    <row r="1036233" customFormat="false" ht="12.8" hidden="false" customHeight="false" outlineLevel="0" collapsed="false"/>
    <row r="1036234" customFormat="false" ht="12.8" hidden="false" customHeight="false" outlineLevel="0" collapsed="false"/>
    <row r="1036235" customFormat="false" ht="12.8" hidden="false" customHeight="false" outlineLevel="0" collapsed="false"/>
    <row r="1036236" customFormat="false" ht="12.8" hidden="false" customHeight="false" outlineLevel="0" collapsed="false"/>
    <row r="1036237" customFormat="false" ht="12.8" hidden="false" customHeight="false" outlineLevel="0" collapsed="false"/>
    <row r="1036238" customFormat="false" ht="12.8" hidden="false" customHeight="false" outlineLevel="0" collapsed="false"/>
    <row r="1036239" customFormat="false" ht="12.8" hidden="false" customHeight="false" outlineLevel="0" collapsed="false"/>
    <row r="1036240" customFormat="false" ht="12.8" hidden="false" customHeight="false" outlineLevel="0" collapsed="false"/>
    <row r="1036241" customFormat="false" ht="12.8" hidden="false" customHeight="false" outlineLevel="0" collapsed="false"/>
    <row r="1036242" customFormat="false" ht="12.8" hidden="false" customHeight="false" outlineLevel="0" collapsed="false"/>
    <row r="1036243" customFormat="false" ht="12.8" hidden="false" customHeight="false" outlineLevel="0" collapsed="false"/>
    <row r="1036244" customFormat="false" ht="12.8" hidden="false" customHeight="false" outlineLevel="0" collapsed="false"/>
    <row r="1036245" customFormat="false" ht="12.8" hidden="false" customHeight="false" outlineLevel="0" collapsed="false"/>
    <row r="1036246" customFormat="false" ht="12.8" hidden="false" customHeight="false" outlineLevel="0" collapsed="false"/>
    <row r="1036247" customFormat="false" ht="12.8" hidden="false" customHeight="false" outlineLevel="0" collapsed="false"/>
    <row r="1036248" customFormat="false" ht="12.8" hidden="false" customHeight="false" outlineLevel="0" collapsed="false"/>
    <row r="1036249" customFormat="false" ht="12.8" hidden="false" customHeight="false" outlineLevel="0" collapsed="false"/>
    <row r="1036250" customFormat="false" ht="12.8" hidden="false" customHeight="false" outlineLevel="0" collapsed="false"/>
    <row r="1036251" customFormat="false" ht="12.8" hidden="false" customHeight="false" outlineLevel="0" collapsed="false"/>
    <row r="1036252" customFormat="false" ht="12.8" hidden="false" customHeight="false" outlineLevel="0" collapsed="false"/>
    <row r="1036253" customFormat="false" ht="12.8" hidden="false" customHeight="false" outlineLevel="0" collapsed="false"/>
    <row r="1036254" customFormat="false" ht="12.8" hidden="false" customHeight="false" outlineLevel="0" collapsed="false"/>
    <row r="1036255" customFormat="false" ht="12.8" hidden="false" customHeight="false" outlineLevel="0" collapsed="false"/>
    <row r="1036256" customFormat="false" ht="12.8" hidden="false" customHeight="false" outlineLevel="0" collapsed="false"/>
    <row r="1036257" customFormat="false" ht="12.8" hidden="false" customHeight="false" outlineLevel="0" collapsed="false"/>
    <row r="1036258" customFormat="false" ht="12.8" hidden="false" customHeight="false" outlineLevel="0" collapsed="false"/>
    <row r="1036259" customFormat="false" ht="12.8" hidden="false" customHeight="false" outlineLevel="0" collapsed="false"/>
    <row r="1036260" customFormat="false" ht="12.8" hidden="false" customHeight="false" outlineLevel="0" collapsed="false"/>
    <row r="1036261" customFormat="false" ht="12.8" hidden="false" customHeight="false" outlineLevel="0" collapsed="false"/>
    <row r="1036262" customFormat="false" ht="12.8" hidden="false" customHeight="false" outlineLevel="0" collapsed="false"/>
    <row r="1036263" customFormat="false" ht="12.8" hidden="false" customHeight="false" outlineLevel="0" collapsed="false"/>
    <row r="1036264" customFormat="false" ht="12.8" hidden="false" customHeight="false" outlineLevel="0" collapsed="false"/>
    <row r="1036265" customFormat="false" ht="12.8" hidden="false" customHeight="false" outlineLevel="0" collapsed="false"/>
    <row r="1036266" customFormat="false" ht="12.8" hidden="false" customHeight="false" outlineLevel="0" collapsed="false"/>
    <row r="1036267" customFormat="false" ht="12.8" hidden="false" customHeight="false" outlineLevel="0" collapsed="false"/>
    <row r="1036268" customFormat="false" ht="12.8" hidden="false" customHeight="false" outlineLevel="0" collapsed="false"/>
    <row r="1036269" customFormat="false" ht="12.8" hidden="false" customHeight="false" outlineLevel="0" collapsed="false"/>
    <row r="1036270" customFormat="false" ht="12.8" hidden="false" customHeight="false" outlineLevel="0" collapsed="false"/>
    <row r="1036271" customFormat="false" ht="12.8" hidden="false" customHeight="false" outlineLevel="0" collapsed="false"/>
    <row r="1036272" customFormat="false" ht="12.8" hidden="false" customHeight="false" outlineLevel="0" collapsed="false"/>
    <row r="1036273" customFormat="false" ht="12.8" hidden="false" customHeight="false" outlineLevel="0" collapsed="false"/>
    <row r="1036274" customFormat="false" ht="12.8" hidden="false" customHeight="false" outlineLevel="0" collapsed="false"/>
    <row r="1036275" customFormat="false" ht="12.8" hidden="false" customHeight="false" outlineLevel="0" collapsed="false"/>
    <row r="1036276" customFormat="false" ht="12.8" hidden="false" customHeight="false" outlineLevel="0" collapsed="false"/>
    <row r="1036277" customFormat="false" ht="12.8" hidden="false" customHeight="false" outlineLevel="0" collapsed="false"/>
    <row r="1036278" customFormat="false" ht="12.8" hidden="false" customHeight="false" outlineLevel="0" collapsed="false"/>
    <row r="1036279" customFormat="false" ht="12.8" hidden="false" customHeight="false" outlineLevel="0" collapsed="false"/>
    <row r="1036280" customFormat="false" ht="12.8" hidden="false" customHeight="false" outlineLevel="0" collapsed="false"/>
    <row r="1036281" customFormat="false" ht="12.8" hidden="false" customHeight="false" outlineLevel="0" collapsed="false"/>
    <row r="1036282" customFormat="false" ht="12.8" hidden="false" customHeight="false" outlineLevel="0" collapsed="false"/>
    <row r="1036283" customFormat="false" ht="12.8" hidden="false" customHeight="false" outlineLevel="0" collapsed="false"/>
    <row r="1036284" customFormat="false" ht="12.8" hidden="false" customHeight="false" outlineLevel="0" collapsed="false"/>
    <row r="1036285" customFormat="false" ht="12.8" hidden="false" customHeight="false" outlineLevel="0" collapsed="false"/>
    <row r="1036286" customFormat="false" ht="12.8" hidden="false" customHeight="false" outlineLevel="0" collapsed="false"/>
    <row r="1036287" customFormat="false" ht="12.8" hidden="false" customHeight="false" outlineLevel="0" collapsed="false"/>
    <row r="1036288" customFormat="false" ht="12.8" hidden="false" customHeight="false" outlineLevel="0" collapsed="false"/>
    <row r="1036289" customFormat="false" ht="12.8" hidden="false" customHeight="false" outlineLevel="0" collapsed="false"/>
    <row r="1036290" customFormat="false" ht="12.8" hidden="false" customHeight="false" outlineLevel="0" collapsed="false"/>
    <row r="1036291" customFormat="false" ht="12.8" hidden="false" customHeight="false" outlineLevel="0" collapsed="false"/>
    <row r="1036292" customFormat="false" ht="12.8" hidden="false" customHeight="false" outlineLevel="0" collapsed="false"/>
    <row r="1036293" customFormat="false" ht="12.8" hidden="false" customHeight="false" outlineLevel="0" collapsed="false"/>
    <row r="1036294" customFormat="false" ht="12.8" hidden="false" customHeight="false" outlineLevel="0" collapsed="false"/>
    <row r="1036295" customFormat="false" ht="12.8" hidden="false" customHeight="false" outlineLevel="0" collapsed="false"/>
    <row r="1036296" customFormat="false" ht="12.8" hidden="false" customHeight="false" outlineLevel="0" collapsed="false"/>
    <row r="1036297" customFormat="false" ht="12.8" hidden="false" customHeight="false" outlineLevel="0" collapsed="false"/>
    <row r="1036298" customFormat="false" ht="12.8" hidden="false" customHeight="false" outlineLevel="0" collapsed="false"/>
    <row r="1036299" customFormat="false" ht="12.8" hidden="false" customHeight="false" outlineLevel="0" collapsed="false"/>
    <row r="1036300" customFormat="false" ht="12.8" hidden="false" customHeight="false" outlineLevel="0" collapsed="false"/>
    <row r="1036301" customFormat="false" ht="12.8" hidden="false" customHeight="false" outlineLevel="0" collapsed="false"/>
    <row r="1036302" customFormat="false" ht="12.8" hidden="false" customHeight="false" outlineLevel="0" collapsed="false"/>
    <row r="1036303" customFormat="false" ht="12.8" hidden="false" customHeight="false" outlineLevel="0" collapsed="false"/>
    <row r="1036304" customFormat="false" ht="12.8" hidden="false" customHeight="false" outlineLevel="0" collapsed="false"/>
    <row r="1036305" customFormat="false" ht="12.8" hidden="false" customHeight="false" outlineLevel="0" collapsed="false"/>
    <row r="1036306" customFormat="false" ht="12.8" hidden="false" customHeight="false" outlineLevel="0" collapsed="false"/>
    <row r="1036307" customFormat="false" ht="12.8" hidden="false" customHeight="false" outlineLevel="0" collapsed="false"/>
    <row r="1036308" customFormat="false" ht="12.8" hidden="false" customHeight="false" outlineLevel="0" collapsed="false"/>
    <row r="1036309" customFormat="false" ht="12.8" hidden="false" customHeight="false" outlineLevel="0" collapsed="false"/>
    <row r="1036310" customFormat="false" ht="12.8" hidden="false" customHeight="false" outlineLevel="0" collapsed="false"/>
    <row r="1036311" customFormat="false" ht="12.8" hidden="false" customHeight="false" outlineLevel="0" collapsed="false"/>
    <row r="1036312" customFormat="false" ht="12.8" hidden="false" customHeight="false" outlineLevel="0" collapsed="false"/>
    <row r="1036313" customFormat="false" ht="12.8" hidden="false" customHeight="false" outlineLevel="0" collapsed="false"/>
    <row r="1036314" customFormat="false" ht="12.8" hidden="false" customHeight="false" outlineLevel="0" collapsed="false"/>
    <row r="1036315" customFormat="false" ht="12.8" hidden="false" customHeight="false" outlineLevel="0" collapsed="false"/>
    <row r="1036316" customFormat="false" ht="12.8" hidden="false" customHeight="false" outlineLevel="0" collapsed="false"/>
    <row r="1036317" customFormat="false" ht="12.8" hidden="false" customHeight="false" outlineLevel="0" collapsed="false"/>
    <row r="1036318" customFormat="false" ht="12.8" hidden="false" customHeight="false" outlineLevel="0" collapsed="false"/>
    <row r="1036319" customFormat="false" ht="12.8" hidden="false" customHeight="false" outlineLevel="0" collapsed="false"/>
    <row r="1036320" customFormat="false" ht="12.8" hidden="false" customHeight="false" outlineLevel="0" collapsed="false"/>
    <row r="1036321" customFormat="false" ht="12.8" hidden="false" customHeight="false" outlineLevel="0" collapsed="false"/>
    <row r="1036322" customFormat="false" ht="12.8" hidden="false" customHeight="false" outlineLevel="0" collapsed="false"/>
    <row r="1036323" customFormat="false" ht="12.8" hidden="false" customHeight="false" outlineLevel="0" collapsed="false"/>
    <row r="1036324" customFormat="false" ht="12.8" hidden="false" customHeight="false" outlineLevel="0" collapsed="false"/>
    <row r="1036325" customFormat="false" ht="12.8" hidden="false" customHeight="false" outlineLevel="0" collapsed="false"/>
    <row r="1036326" customFormat="false" ht="12.8" hidden="false" customHeight="false" outlineLevel="0" collapsed="false"/>
    <row r="1036327" customFormat="false" ht="12.8" hidden="false" customHeight="false" outlineLevel="0" collapsed="false"/>
    <row r="1036328" customFormat="false" ht="12.8" hidden="false" customHeight="false" outlineLevel="0" collapsed="false"/>
    <row r="1036329" customFormat="false" ht="12.8" hidden="false" customHeight="false" outlineLevel="0" collapsed="false"/>
    <row r="1036330" customFormat="false" ht="12.8" hidden="false" customHeight="false" outlineLevel="0" collapsed="false"/>
    <row r="1036331" customFormat="false" ht="12.8" hidden="false" customHeight="false" outlineLevel="0" collapsed="false"/>
    <row r="1036332" customFormat="false" ht="12.8" hidden="false" customHeight="false" outlineLevel="0" collapsed="false"/>
    <row r="1036333" customFormat="false" ht="12.8" hidden="false" customHeight="false" outlineLevel="0" collapsed="false"/>
    <row r="1036334" customFormat="false" ht="12.8" hidden="false" customHeight="false" outlineLevel="0" collapsed="false"/>
    <row r="1036335" customFormat="false" ht="12.8" hidden="false" customHeight="false" outlineLevel="0" collapsed="false"/>
    <row r="1036336" customFormat="false" ht="12.8" hidden="false" customHeight="false" outlineLevel="0" collapsed="false"/>
    <row r="1036337" customFormat="false" ht="12.8" hidden="false" customHeight="false" outlineLevel="0" collapsed="false"/>
    <row r="1036338" customFormat="false" ht="12.8" hidden="false" customHeight="false" outlineLevel="0" collapsed="false"/>
    <row r="1036339" customFormat="false" ht="12.8" hidden="false" customHeight="false" outlineLevel="0" collapsed="false"/>
    <row r="1036340" customFormat="false" ht="12.8" hidden="false" customHeight="false" outlineLevel="0" collapsed="false"/>
    <row r="1036341" customFormat="false" ht="12.8" hidden="false" customHeight="false" outlineLevel="0" collapsed="false"/>
    <row r="1036342" customFormat="false" ht="12.8" hidden="false" customHeight="false" outlineLevel="0" collapsed="false"/>
    <row r="1036343" customFormat="false" ht="12.8" hidden="false" customHeight="false" outlineLevel="0" collapsed="false"/>
    <row r="1036344" customFormat="false" ht="12.8" hidden="false" customHeight="false" outlineLevel="0" collapsed="false"/>
    <row r="1036345" customFormat="false" ht="12.8" hidden="false" customHeight="false" outlineLevel="0" collapsed="false"/>
    <row r="1036346" customFormat="false" ht="12.8" hidden="false" customHeight="false" outlineLevel="0" collapsed="false"/>
    <row r="1036347" customFormat="false" ht="12.8" hidden="false" customHeight="false" outlineLevel="0" collapsed="false"/>
    <row r="1036348" customFormat="false" ht="12.8" hidden="false" customHeight="false" outlineLevel="0" collapsed="false"/>
    <row r="1036349" customFormat="false" ht="12.8" hidden="false" customHeight="false" outlineLevel="0" collapsed="false"/>
    <row r="1036350" customFormat="false" ht="12.8" hidden="false" customHeight="false" outlineLevel="0" collapsed="false"/>
    <row r="1036351" customFormat="false" ht="12.8" hidden="false" customHeight="false" outlineLevel="0" collapsed="false"/>
    <row r="1036352" customFormat="false" ht="12.8" hidden="false" customHeight="false" outlineLevel="0" collapsed="false"/>
    <row r="1036353" customFormat="false" ht="12.8" hidden="false" customHeight="false" outlineLevel="0" collapsed="false"/>
    <row r="1036354" customFormat="false" ht="12.8" hidden="false" customHeight="false" outlineLevel="0" collapsed="false"/>
    <row r="1036355" customFormat="false" ht="12.8" hidden="false" customHeight="false" outlineLevel="0" collapsed="false"/>
    <row r="1036356" customFormat="false" ht="12.8" hidden="false" customHeight="false" outlineLevel="0" collapsed="false"/>
    <row r="1036357" customFormat="false" ht="12.8" hidden="false" customHeight="false" outlineLevel="0" collapsed="false"/>
    <row r="1036358" customFormat="false" ht="12.8" hidden="false" customHeight="false" outlineLevel="0" collapsed="false"/>
    <row r="1036359" customFormat="false" ht="12.8" hidden="false" customHeight="false" outlineLevel="0" collapsed="false"/>
    <row r="1036360" customFormat="false" ht="12.8" hidden="false" customHeight="false" outlineLevel="0" collapsed="false"/>
    <row r="1036361" customFormat="false" ht="12.8" hidden="false" customHeight="false" outlineLevel="0" collapsed="false"/>
    <row r="1036362" customFormat="false" ht="12.8" hidden="false" customHeight="false" outlineLevel="0" collapsed="false"/>
    <row r="1036363" customFormat="false" ht="12.8" hidden="false" customHeight="false" outlineLevel="0" collapsed="false"/>
    <row r="1036364" customFormat="false" ht="12.8" hidden="false" customHeight="false" outlineLevel="0" collapsed="false"/>
    <row r="1036365" customFormat="false" ht="12.8" hidden="false" customHeight="false" outlineLevel="0" collapsed="false"/>
    <row r="1036366" customFormat="false" ht="12.8" hidden="false" customHeight="false" outlineLevel="0" collapsed="false"/>
    <row r="1036367" customFormat="false" ht="12.8" hidden="false" customHeight="false" outlineLevel="0" collapsed="false"/>
    <row r="1036368" customFormat="false" ht="12.8" hidden="false" customHeight="false" outlineLevel="0" collapsed="false"/>
    <row r="1036369" customFormat="false" ht="12.8" hidden="false" customHeight="false" outlineLevel="0" collapsed="false"/>
    <row r="1036370" customFormat="false" ht="12.8" hidden="false" customHeight="false" outlineLevel="0" collapsed="false"/>
    <row r="1036371" customFormat="false" ht="12.8" hidden="false" customHeight="false" outlineLevel="0" collapsed="false"/>
    <row r="1036372" customFormat="false" ht="12.8" hidden="false" customHeight="false" outlineLevel="0" collapsed="false"/>
    <row r="1036373" customFormat="false" ht="12.8" hidden="false" customHeight="false" outlineLevel="0" collapsed="false"/>
    <row r="1036374" customFormat="false" ht="12.8" hidden="false" customHeight="false" outlineLevel="0" collapsed="false"/>
    <row r="1036375" customFormat="false" ht="12.8" hidden="false" customHeight="false" outlineLevel="0" collapsed="false"/>
    <row r="1036376" customFormat="false" ht="12.8" hidden="false" customHeight="false" outlineLevel="0" collapsed="false"/>
    <row r="1036377" customFormat="false" ht="12.8" hidden="false" customHeight="false" outlineLevel="0" collapsed="false"/>
    <row r="1036378" customFormat="false" ht="12.8" hidden="false" customHeight="false" outlineLevel="0" collapsed="false"/>
    <row r="1036379" customFormat="false" ht="12.8" hidden="false" customHeight="false" outlineLevel="0" collapsed="false"/>
    <row r="1036380" customFormat="false" ht="12.8" hidden="false" customHeight="false" outlineLevel="0" collapsed="false"/>
    <row r="1036381" customFormat="false" ht="12.8" hidden="false" customHeight="false" outlineLevel="0" collapsed="false"/>
    <row r="1036382" customFormat="false" ht="12.8" hidden="false" customHeight="false" outlineLevel="0" collapsed="false"/>
    <row r="1036383" customFormat="false" ht="12.8" hidden="false" customHeight="false" outlineLevel="0" collapsed="false"/>
    <row r="1036384" customFormat="false" ht="12.8" hidden="false" customHeight="false" outlineLevel="0" collapsed="false"/>
    <row r="1036385" customFormat="false" ht="12.8" hidden="false" customHeight="false" outlineLevel="0" collapsed="false"/>
    <row r="1036386" customFormat="false" ht="12.8" hidden="false" customHeight="false" outlineLevel="0" collapsed="false"/>
    <row r="1036387" customFormat="false" ht="12.8" hidden="false" customHeight="false" outlineLevel="0" collapsed="false"/>
    <row r="1036388" customFormat="false" ht="12.8" hidden="false" customHeight="false" outlineLevel="0" collapsed="false"/>
    <row r="1036389" customFormat="false" ht="12.8" hidden="false" customHeight="false" outlineLevel="0" collapsed="false"/>
    <row r="1036390" customFormat="false" ht="12.8" hidden="false" customHeight="false" outlineLevel="0" collapsed="false"/>
    <row r="1036391" customFormat="false" ht="12.8" hidden="false" customHeight="false" outlineLevel="0" collapsed="false"/>
    <row r="1036392" customFormat="false" ht="12.8" hidden="false" customHeight="false" outlineLevel="0" collapsed="false"/>
    <row r="1036393" customFormat="false" ht="12.8" hidden="false" customHeight="false" outlineLevel="0" collapsed="false"/>
    <row r="1036394" customFormat="false" ht="12.8" hidden="false" customHeight="false" outlineLevel="0" collapsed="false"/>
    <row r="1036395" customFormat="false" ht="12.8" hidden="false" customHeight="false" outlineLevel="0" collapsed="false"/>
    <row r="1036396" customFormat="false" ht="12.8" hidden="false" customHeight="false" outlineLevel="0" collapsed="false"/>
    <row r="1036397" customFormat="false" ht="12.8" hidden="false" customHeight="false" outlineLevel="0" collapsed="false"/>
    <row r="1036398" customFormat="false" ht="12.8" hidden="false" customHeight="false" outlineLevel="0" collapsed="false"/>
    <row r="1036399" customFormat="false" ht="12.8" hidden="false" customHeight="false" outlineLevel="0" collapsed="false"/>
    <row r="1036400" customFormat="false" ht="12.8" hidden="false" customHeight="false" outlineLevel="0" collapsed="false"/>
    <row r="1036401" customFormat="false" ht="12.8" hidden="false" customHeight="false" outlineLevel="0" collapsed="false"/>
    <row r="1036402" customFormat="false" ht="12.8" hidden="false" customHeight="false" outlineLevel="0" collapsed="false"/>
    <row r="1036403" customFormat="false" ht="12.8" hidden="false" customHeight="false" outlineLevel="0" collapsed="false"/>
    <row r="1036404" customFormat="false" ht="12.8" hidden="false" customHeight="false" outlineLevel="0" collapsed="false"/>
    <row r="1036405" customFormat="false" ht="12.8" hidden="false" customHeight="false" outlineLevel="0" collapsed="false"/>
    <row r="1036406" customFormat="false" ht="12.8" hidden="false" customHeight="false" outlineLevel="0" collapsed="false"/>
    <row r="1036407" customFormat="false" ht="12.8" hidden="false" customHeight="false" outlineLevel="0" collapsed="false"/>
    <row r="1036408" customFormat="false" ht="12.8" hidden="false" customHeight="false" outlineLevel="0" collapsed="false"/>
    <row r="1036409" customFormat="false" ht="12.8" hidden="false" customHeight="false" outlineLevel="0" collapsed="false"/>
    <row r="1036410" customFormat="false" ht="12.8" hidden="false" customHeight="false" outlineLevel="0" collapsed="false"/>
    <row r="1036411" customFormat="false" ht="12.8" hidden="false" customHeight="false" outlineLevel="0" collapsed="false"/>
    <row r="1036412" customFormat="false" ht="12.8" hidden="false" customHeight="false" outlineLevel="0" collapsed="false"/>
    <row r="1036413" customFormat="false" ht="12.8" hidden="false" customHeight="false" outlineLevel="0" collapsed="false"/>
    <row r="1036414" customFormat="false" ht="12.8" hidden="false" customHeight="false" outlineLevel="0" collapsed="false"/>
    <row r="1036415" customFormat="false" ht="12.8" hidden="false" customHeight="false" outlineLevel="0" collapsed="false"/>
    <row r="1036416" customFormat="false" ht="12.8" hidden="false" customHeight="false" outlineLevel="0" collapsed="false"/>
    <row r="1036417" customFormat="false" ht="12.8" hidden="false" customHeight="false" outlineLevel="0" collapsed="false"/>
    <row r="1036418" customFormat="false" ht="12.8" hidden="false" customHeight="false" outlineLevel="0" collapsed="false"/>
    <row r="1036419" customFormat="false" ht="12.8" hidden="false" customHeight="false" outlineLevel="0" collapsed="false"/>
    <row r="1036420" customFormat="false" ht="12.8" hidden="false" customHeight="false" outlineLevel="0" collapsed="false"/>
    <row r="1036421" customFormat="false" ht="12.8" hidden="false" customHeight="false" outlineLevel="0" collapsed="false"/>
    <row r="1036422" customFormat="false" ht="12.8" hidden="false" customHeight="false" outlineLevel="0" collapsed="false"/>
    <row r="1036423" customFormat="false" ht="12.8" hidden="false" customHeight="false" outlineLevel="0" collapsed="false"/>
    <row r="1036424" customFormat="false" ht="12.8" hidden="false" customHeight="false" outlineLevel="0" collapsed="false"/>
    <row r="1036425" customFormat="false" ht="12.8" hidden="false" customHeight="false" outlineLevel="0" collapsed="false"/>
    <row r="1036426" customFormat="false" ht="12.8" hidden="false" customHeight="false" outlineLevel="0" collapsed="false"/>
    <row r="1036427" customFormat="false" ht="12.8" hidden="false" customHeight="false" outlineLevel="0" collapsed="false"/>
    <row r="1036428" customFormat="false" ht="12.8" hidden="false" customHeight="false" outlineLevel="0" collapsed="false"/>
    <row r="1036429" customFormat="false" ht="12.8" hidden="false" customHeight="false" outlineLevel="0" collapsed="false"/>
    <row r="1036430" customFormat="false" ht="12.8" hidden="false" customHeight="false" outlineLevel="0" collapsed="false"/>
    <row r="1036431" customFormat="false" ht="12.8" hidden="false" customHeight="false" outlineLevel="0" collapsed="false"/>
    <row r="1036432" customFormat="false" ht="12.8" hidden="false" customHeight="false" outlineLevel="0" collapsed="false"/>
    <row r="1036433" customFormat="false" ht="12.8" hidden="false" customHeight="false" outlineLevel="0" collapsed="false"/>
    <row r="1036434" customFormat="false" ht="12.8" hidden="false" customHeight="false" outlineLevel="0" collapsed="false"/>
    <row r="1036435" customFormat="false" ht="12.8" hidden="false" customHeight="false" outlineLevel="0" collapsed="false"/>
    <row r="1036436" customFormat="false" ht="12.8" hidden="false" customHeight="false" outlineLevel="0" collapsed="false"/>
    <row r="1036437" customFormat="false" ht="12.8" hidden="false" customHeight="false" outlineLevel="0" collapsed="false"/>
    <row r="1036438" customFormat="false" ht="12.8" hidden="false" customHeight="false" outlineLevel="0" collapsed="false"/>
    <row r="1036439" customFormat="false" ht="12.8" hidden="false" customHeight="false" outlineLevel="0" collapsed="false"/>
    <row r="1036440" customFormat="false" ht="12.8" hidden="false" customHeight="false" outlineLevel="0" collapsed="false"/>
    <row r="1036441" customFormat="false" ht="12.8" hidden="false" customHeight="false" outlineLevel="0" collapsed="false"/>
    <row r="1036442" customFormat="false" ht="12.8" hidden="false" customHeight="false" outlineLevel="0" collapsed="false"/>
    <row r="1036443" customFormat="false" ht="12.8" hidden="false" customHeight="false" outlineLevel="0" collapsed="false"/>
    <row r="1036444" customFormat="false" ht="12.8" hidden="false" customHeight="false" outlineLevel="0" collapsed="false"/>
    <row r="1036445" customFormat="false" ht="12.8" hidden="false" customHeight="false" outlineLevel="0" collapsed="false"/>
    <row r="1036446" customFormat="false" ht="12.8" hidden="false" customHeight="false" outlineLevel="0" collapsed="false"/>
    <row r="1036447" customFormat="false" ht="12.8" hidden="false" customHeight="false" outlineLevel="0" collapsed="false"/>
    <row r="1036448" customFormat="false" ht="12.8" hidden="false" customHeight="false" outlineLevel="0" collapsed="false"/>
    <row r="1036449" customFormat="false" ht="12.8" hidden="false" customHeight="false" outlineLevel="0" collapsed="false"/>
    <row r="1036450" customFormat="false" ht="12.8" hidden="false" customHeight="false" outlineLevel="0" collapsed="false"/>
    <row r="1036451" customFormat="false" ht="12.8" hidden="false" customHeight="false" outlineLevel="0" collapsed="false"/>
    <row r="1036452" customFormat="false" ht="12.8" hidden="false" customHeight="false" outlineLevel="0" collapsed="false"/>
    <row r="1036453" customFormat="false" ht="12.8" hidden="false" customHeight="false" outlineLevel="0" collapsed="false"/>
    <row r="1036454" customFormat="false" ht="12.8" hidden="false" customHeight="false" outlineLevel="0" collapsed="false"/>
    <row r="1036455" customFormat="false" ht="12.8" hidden="false" customHeight="false" outlineLevel="0" collapsed="false"/>
    <row r="1036456" customFormat="false" ht="12.8" hidden="false" customHeight="false" outlineLevel="0" collapsed="false"/>
    <row r="1036457" customFormat="false" ht="12.8" hidden="false" customHeight="false" outlineLevel="0" collapsed="false"/>
    <row r="1036458" customFormat="false" ht="12.8" hidden="false" customHeight="false" outlineLevel="0" collapsed="false"/>
    <row r="1036459" customFormat="false" ht="12.8" hidden="false" customHeight="false" outlineLevel="0" collapsed="false"/>
    <row r="1036460" customFormat="false" ht="12.8" hidden="false" customHeight="false" outlineLevel="0" collapsed="false"/>
    <row r="1036461" customFormat="false" ht="12.8" hidden="false" customHeight="false" outlineLevel="0" collapsed="false"/>
    <row r="1036462" customFormat="false" ht="12.8" hidden="false" customHeight="false" outlineLevel="0" collapsed="false"/>
    <row r="1036463" customFormat="false" ht="12.8" hidden="false" customHeight="false" outlineLevel="0" collapsed="false"/>
    <row r="1036464" customFormat="false" ht="12.8" hidden="false" customHeight="false" outlineLevel="0" collapsed="false"/>
    <row r="1036465" customFormat="false" ht="12.8" hidden="false" customHeight="false" outlineLevel="0" collapsed="false"/>
    <row r="1036466" customFormat="false" ht="12.8" hidden="false" customHeight="false" outlineLevel="0" collapsed="false"/>
    <row r="1036467" customFormat="false" ht="12.8" hidden="false" customHeight="false" outlineLevel="0" collapsed="false"/>
    <row r="1036468" customFormat="false" ht="12.8" hidden="false" customHeight="false" outlineLevel="0" collapsed="false"/>
    <row r="1036469" customFormat="false" ht="12.8" hidden="false" customHeight="false" outlineLevel="0" collapsed="false"/>
    <row r="1036470" customFormat="false" ht="12.8" hidden="false" customHeight="false" outlineLevel="0" collapsed="false"/>
    <row r="1036471" customFormat="false" ht="12.8" hidden="false" customHeight="false" outlineLevel="0" collapsed="false"/>
    <row r="1036472" customFormat="false" ht="12.8" hidden="false" customHeight="false" outlineLevel="0" collapsed="false"/>
    <row r="1036473" customFormat="false" ht="12.8" hidden="false" customHeight="false" outlineLevel="0" collapsed="false"/>
    <row r="1036474" customFormat="false" ht="12.8" hidden="false" customHeight="false" outlineLevel="0" collapsed="false"/>
    <row r="1036475" customFormat="false" ht="12.8" hidden="false" customHeight="false" outlineLevel="0" collapsed="false"/>
    <row r="1036476" customFormat="false" ht="12.8" hidden="false" customHeight="false" outlineLevel="0" collapsed="false"/>
    <row r="1036477" customFormat="false" ht="12.8" hidden="false" customHeight="false" outlineLevel="0" collapsed="false"/>
    <row r="1036478" customFormat="false" ht="12.8" hidden="false" customHeight="false" outlineLevel="0" collapsed="false"/>
    <row r="1036479" customFormat="false" ht="12.8" hidden="false" customHeight="false" outlineLevel="0" collapsed="false"/>
    <row r="1036480" customFormat="false" ht="12.8" hidden="false" customHeight="false" outlineLevel="0" collapsed="false"/>
    <row r="1036481" customFormat="false" ht="12.8" hidden="false" customHeight="false" outlineLevel="0" collapsed="false"/>
    <row r="1036482" customFormat="false" ht="12.8" hidden="false" customHeight="false" outlineLevel="0" collapsed="false"/>
    <row r="1036483" customFormat="false" ht="12.8" hidden="false" customHeight="false" outlineLevel="0" collapsed="false"/>
    <row r="1036484" customFormat="false" ht="12.8" hidden="false" customHeight="false" outlineLevel="0" collapsed="false"/>
    <row r="1036485" customFormat="false" ht="12.8" hidden="false" customHeight="false" outlineLevel="0" collapsed="false"/>
    <row r="1036486" customFormat="false" ht="12.8" hidden="false" customHeight="false" outlineLevel="0" collapsed="false"/>
    <row r="1036487" customFormat="false" ht="12.8" hidden="false" customHeight="false" outlineLevel="0" collapsed="false"/>
    <row r="1036488" customFormat="false" ht="12.8" hidden="false" customHeight="false" outlineLevel="0" collapsed="false"/>
    <row r="1036489" customFormat="false" ht="12.8" hidden="false" customHeight="false" outlineLevel="0" collapsed="false"/>
    <row r="1036490" customFormat="false" ht="12.8" hidden="false" customHeight="false" outlineLevel="0" collapsed="false"/>
    <row r="1036491" customFormat="false" ht="12.8" hidden="false" customHeight="false" outlineLevel="0" collapsed="false"/>
    <row r="1036492" customFormat="false" ht="12.8" hidden="false" customHeight="false" outlineLevel="0" collapsed="false"/>
    <row r="1036493" customFormat="false" ht="12.8" hidden="false" customHeight="false" outlineLevel="0" collapsed="false"/>
    <row r="1036494" customFormat="false" ht="12.8" hidden="false" customHeight="false" outlineLevel="0" collapsed="false"/>
    <row r="1036495" customFormat="false" ht="12.8" hidden="false" customHeight="false" outlineLevel="0" collapsed="false"/>
    <row r="1036496" customFormat="false" ht="12.8" hidden="false" customHeight="false" outlineLevel="0" collapsed="false"/>
    <row r="1036497" customFormat="false" ht="12.8" hidden="false" customHeight="false" outlineLevel="0" collapsed="false"/>
    <row r="1036498" customFormat="false" ht="12.8" hidden="false" customHeight="false" outlineLevel="0" collapsed="false"/>
    <row r="1036499" customFormat="false" ht="12.8" hidden="false" customHeight="false" outlineLevel="0" collapsed="false"/>
    <row r="1036500" customFormat="false" ht="12.8" hidden="false" customHeight="false" outlineLevel="0" collapsed="false"/>
    <row r="1036501" customFormat="false" ht="12.8" hidden="false" customHeight="false" outlineLevel="0" collapsed="false"/>
    <row r="1036502" customFormat="false" ht="12.8" hidden="false" customHeight="false" outlineLevel="0" collapsed="false"/>
    <row r="1036503" customFormat="false" ht="12.8" hidden="false" customHeight="false" outlineLevel="0" collapsed="false"/>
    <row r="1036504" customFormat="false" ht="12.8" hidden="false" customHeight="false" outlineLevel="0" collapsed="false"/>
    <row r="1036505" customFormat="false" ht="12.8" hidden="false" customHeight="false" outlineLevel="0" collapsed="false"/>
    <row r="1036506" customFormat="false" ht="12.8" hidden="false" customHeight="false" outlineLevel="0" collapsed="false"/>
    <row r="1036507" customFormat="false" ht="12.8" hidden="false" customHeight="false" outlineLevel="0" collapsed="false"/>
    <row r="1036508" customFormat="false" ht="12.8" hidden="false" customHeight="false" outlineLevel="0" collapsed="false"/>
    <row r="1036509" customFormat="false" ht="12.8" hidden="false" customHeight="false" outlineLevel="0" collapsed="false"/>
    <row r="1036510" customFormat="false" ht="12.8" hidden="false" customHeight="false" outlineLevel="0" collapsed="false"/>
    <row r="1036511" customFormat="false" ht="12.8" hidden="false" customHeight="false" outlineLevel="0" collapsed="false"/>
    <row r="1036512" customFormat="false" ht="12.8" hidden="false" customHeight="false" outlineLevel="0" collapsed="false"/>
    <row r="1036513" customFormat="false" ht="12.8" hidden="false" customHeight="false" outlineLevel="0" collapsed="false"/>
    <row r="1036514" customFormat="false" ht="12.8" hidden="false" customHeight="false" outlineLevel="0" collapsed="false"/>
    <row r="1036515" customFormat="false" ht="12.8" hidden="false" customHeight="false" outlineLevel="0" collapsed="false"/>
    <row r="1036516" customFormat="false" ht="12.8" hidden="false" customHeight="false" outlineLevel="0" collapsed="false"/>
    <row r="1036517" customFormat="false" ht="12.8" hidden="false" customHeight="false" outlineLevel="0" collapsed="false"/>
    <row r="1036518" customFormat="false" ht="12.8" hidden="false" customHeight="false" outlineLevel="0" collapsed="false"/>
    <row r="1036519" customFormat="false" ht="12.8" hidden="false" customHeight="false" outlineLevel="0" collapsed="false"/>
    <row r="1036520" customFormat="false" ht="12.8" hidden="false" customHeight="false" outlineLevel="0" collapsed="false"/>
    <row r="1036521" customFormat="false" ht="12.8" hidden="false" customHeight="false" outlineLevel="0" collapsed="false"/>
    <row r="1036522" customFormat="false" ht="12.8" hidden="false" customHeight="false" outlineLevel="0" collapsed="false"/>
    <row r="1036523" customFormat="false" ht="12.8" hidden="false" customHeight="false" outlineLevel="0" collapsed="false"/>
    <row r="1036524" customFormat="false" ht="12.8" hidden="false" customHeight="false" outlineLevel="0" collapsed="false"/>
    <row r="1036525" customFormat="false" ht="12.8" hidden="false" customHeight="false" outlineLevel="0" collapsed="false"/>
    <row r="1036526" customFormat="false" ht="12.8" hidden="false" customHeight="false" outlineLevel="0" collapsed="false"/>
    <row r="1036527" customFormat="false" ht="12.8" hidden="false" customHeight="false" outlineLevel="0" collapsed="false"/>
    <row r="1036528" customFormat="false" ht="12.8" hidden="false" customHeight="false" outlineLevel="0" collapsed="false"/>
    <row r="1036529" customFormat="false" ht="12.8" hidden="false" customHeight="false" outlineLevel="0" collapsed="false"/>
    <row r="1036530" customFormat="false" ht="12.8" hidden="false" customHeight="false" outlineLevel="0" collapsed="false"/>
    <row r="1036531" customFormat="false" ht="12.8" hidden="false" customHeight="false" outlineLevel="0" collapsed="false"/>
    <row r="1036532" customFormat="false" ht="12.8" hidden="false" customHeight="false" outlineLevel="0" collapsed="false"/>
    <row r="1036533" customFormat="false" ht="12.8" hidden="false" customHeight="false" outlineLevel="0" collapsed="false"/>
    <row r="1036534" customFormat="false" ht="12.8" hidden="false" customHeight="false" outlineLevel="0" collapsed="false"/>
    <row r="1036535" customFormat="false" ht="12.8" hidden="false" customHeight="false" outlineLevel="0" collapsed="false"/>
    <row r="1036536" customFormat="false" ht="12.8" hidden="false" customHeight="false" outlineLevel="0" collapsed="false"/>
    <row r="1036537" customFormat="false" ht="12.8" hidden="false" customHeight="false" outlineLevel="0" collapsed="false"/>
    <row r="1036538" customFormat="false" ht="12.8" hidden="false" customHeight="false" outlineLevel="0" collapsed="false"/>
    <row r="1036539" customFormat="false" ht="12.8" hidden="false" customHeight="false" outlineLevel="0" collapsed="false"/>
    <row r="1036540" customFormat="false" ht="12.8" hidden="false" customHeight="false" outlineLevel="0" collapsed="false"/>
    <row r="1036541" customFormat="false" ht="12.8" hidden="false" customHeight="false" outlineLevel="0" collapsed="false"/>
    <row r="1036542" customFormat="false" ht="12.8" hidden="false" customHeight="false" outlineLevel="0" collapsed="false"/>
    <row r="1036543" customFormat="false" ht="12.8" hidden="false" customHeight="false" outlineLevel="0" collapsed="false"/>
    <row r="1036544" customFormat="false" ht="12.8" hidden="false" customHeight="false" outlineLevel="0" collapsed="false"/>
    <row r="1036545" customFormat="false" ht="12.8" hidden="false" customHeight="false" outlineLevel="0" collapsed="false"/>
    <row r="1036546" customFormat="false" ht="12.8" hidden="false" customHeight="false" outlineLevel="0" collapsed="false"/>
    <row r="1036547" customFormat="false" ht="12.8" hidden="false" customHeight="false" outlineLevel="0" collapsed="false"/>
    <row r="1036548" customFormat="false" ht="12.8" hidden="false" customHeight="false" outlineLevel="0" collapsed="false"/>
    <row r="1036549" customFormat="false" ht="12.8" hidden="false" customHeight="false" outlineLevel="0" collapsed="false"/>
    <row r="1036550" customFormat="false" ht="12.8" hidden="false" customHeight="false" outlineLevel="0" collapsed="false"/>
    <row r="1036551" customFormat="false" ht="12.8" hidden="false" customHeight="false" outlineLevel="0" collapsed="false"/>
    <row r="1036552" customFormat="false" ht="12.8" hidden="false" customHeight="false" outlineLevel="0" collapsed="false"/>
    <row r="1036553" customFormat="false" ht="12.8" hidden="false" customHeight="false" outlineLevel="0" collapsed="false"/>
    <row r="1036554" customFormat="false" ht="12.8" hidden="false" customHeight="false" outlineLevel="0" collapsed="false"/>
    <row r="1036555" customFormat="false" ht="12.8" hidden="false" customHeight="false" outlineLevel="0" collapsed="false"/>
    <row r="1036556" customFormat="false" ht="12.8" hidden="false" customHeight="false" outlineLevel="0" collapsed="false"/>
    <row r="1036557" customFormat="false" ht="12.8" hidden="false" customHeight="false" outlineLevel="0" collapsed="false"/>
    <row r="1036558" customFormat="false" ht="12.8" hidden="false" customHeight="false" outlineLevel="0" collapsed="false"/>
    <row r="1036559" customFormat="false" ht="12.8" hidden="false" customHeight="false" outlineLevel="0" collapsed="false"/>
    <row r="1036560" customFormat="false" ht="12.8" hidden="false" customHeight="false" outlineLevel="0" collapsed="false"/>
    <row r="1036561" customFormat="false" ht="12.8" hidden="false" customHeight="false" outlineLevel="0" collapsed="false"/>
    <row r="1036562" customFormat="false" ht="12.8" hidden="false" customHeight="false" outlineLevel="0" collapsed="false"/>
    <row r="1036563" customFormat="false" ht="12.8" hidden="false" customHeight="false" outlineLevel="0" collapsed="false"/>
    <row r="1036564" customFormat="false" ht="12.8" hidden="false" customHeight="false" outlineLevel="0" collapsed="false"/>
    <row r="1036565" customFormat="false" ht="12.8" hidden="false" customHeight="false" outlineLevel="0" collapsed="false"/>
    <row r="1036566" customFormat="false" ht="12.8" hidden="false" customHeight="false" outlineLevel="0" collapsed="false"/>
    <row r="1036567" customFormat="false" ht="12.8" hidden="false" customHeight="false" outlineLevel="0" collapsed="false"/>
    <row r="1036568" customFormat="false" ht="12.8" hidden="false" customHeight="false" outlineLevel="0" collapsed="false"/>
    <row r="1036569" customFormat="false" ht="12.8" hidden="false" customHeight="false" outlineLevel="0" collapsed="false"/>
    <row r="1036570" customFormat="false" ht="12.8" hidden="false" customHeight="false" outlineLevel="0" collapsed="false"/>
    <row r="1036571" customFormat="false" ht="12.8" hidden="false" customHeight="false" outlineLevel="0" collapsed="false"/>
    <row r="1036572" customFormat="false" ht="12.8" hidden="false" customHeight="false" outlineLevel="0" collapsed="false"/>
    <row r="1036573" customFormat="false" ht="12.8" hidden="false" customHeight="false" outlineLevel="0" collapsed="false"/>
    <row r="1036574" customFormat="false" ht="12.8" hidden="false" customHeight="false" outlineLevel="0" collapsed="false"/>
    <row r="1036575" customFormat="false" ht="12.8" hidden="false" customHeight="false" outlineLevel="0" collapsed="false"/>
    <row r="1036576" customFormat="false" ht="12.8" hidden="false" customHeight="false" outlineLevel="0" collapsed="false"/>
    <row r="1036577" customFormat="false" ht="12.8" hidden="false" customHeight="false" outlineLevel="0" collapsed="false"/>
    <row r="1036578" customFormat="false" ht="12.8" hidden="false" customHeight="false" outlineLevel="0" collapsed="false"/>
    <row r="1036579" customFormat="false" ht="12.8" hidden="false" customHeight="false" outlineLevel="0" collapsed="false"/>
    <row r="1036580" customFormat="false" ht="12.8" hidden="false" customHeight="false" outlineLevel="0" collapsed="false"/>
    <row r="1036581" customFormat="false" ht="12.8" hidden="false" customHeight="false" outlineLevel="0" collapsed="false"/>
    <row r="1036582" customFormat="false" ht="12.8" hidden="false" customHeight="false" outlineLevel="0" collapsed="false"/>
    <row r="1036583" customFormat="false" ht="12.8" hidden="false" customHeight="false" outlineLevel="0" collapsed="false"/>
    <row r="1036584" customFormat="false" ht="12.8" hidden="false" customHeight="false" outlineLevel="0" collapsed="false"/>
    <row r="1036585" customFormat="false" ht="12.8" hidden="false" customHeight="false" outlineLevel="0" collapsed="false"/>
    <row r="1036586" customFormat="false" ht="12.8" hidden="false" customHeight="false" outlineLevel="0" collapsed="false"/>
    <row r="1036587" customFormat="false" ht="12.8" hidden="false" customHeight="false" outlineLevel="0" collapsed="false"/>
    <row r="1036588" customFormat="false" ht="12.8" hidden="false" customHeight="false" outlineLevel="0" collapsed="false"/>
    <row r="1036589" customFormat="false" ht="12.8" hidden="false" customHeight="false" outlineLevel="0" collapsed="false"/>
    <row r="1036590" customFormat="false" ht="12.8" hidden="false" customHeight="false" outlineLevel="0" collapsed="false"/>
    <row r="1036591" customFormat="false" ht="12.8" hidden="false" customHeight="false" outlineLevel="0" collapsed="false"/>
    <row r="1036592" customFormat="false" ht="12.8" hidden="false" customHeight="false" outlineLevel="0" collapsed="false"/>
    <row r="1036593" customFormat="false" ht="12.8" hidden="false" customHeight="false" outlineLevel="0" collapsed="false"/>
    <row r="1036594" customFormat="false" ht="12.8" hidden="false" customHeight="false" outlineLevel="0" collapsed="false"/>
    <row r="1036595" customFormat="false" ht="12.8" hidden="false" customHeight="false" outlineLevel="0" collapsed="false"/>
    <row r="1036596" customFormat="false" ht="12.8" hidden="false" customHeight="false" outlineLevel="0" collapsed="false"/>
    <row r="1036597" customFormat="false" ht="12.8" hidden="false" customHeight="false" outlineLevel="0" collapsed="false"/>
    <row r="1036598" customFormat="false" ht="12.8" hidden="false" customHeight="false" outlineLevel="0" collapsed="false"/>
    <row r="1036599" customFormat="false" ht="12.8" hidden="false" customHeight="false" outlineLevel="0" collapsed="false"/>
    <row r="1036600" customFormat="false" ht="12.8" hidden="false" customHeight="false" outlineLevel="0" collapsed="false"/>
    <row r="1036601" customFormat="false" ht="12.8" hidden="false" customHeight="false" outlineLevel="0" collapsed="false"/>
    <row r="1036602" customFormat="false" ht="12.8" hidden="false" customHeight="false" outlineLevel="0" collapsed="false"/>
    <row r="1036603" customFormat="false" ht="12.8" hidden="false" customHeight="false" outlineLevel="0" collapsed="false"/>
    <row r="1036604" customFormat="false" ht="12.8" hidden="false" customHeight="false" outlineLevel="0" collapsed="false"/>
    <row r="1036605" customFormat="false" ht="12.8" hidden="false" customHeight="false" outlineLevel="0" collapsed="false"/>
    <row r="1036606" customFormat="false" ht="12.8" hidden="false" customHeight="false" outlineLevel="0" collapsed="false"/>
    <row r="1036607" customFormat="false" ht="12.8" hidden="false" customHeight="false" outlineLevel="0" collapsed="false"/>
    <row r="1036608" customFormat="false" ht="12.8" hidden="false" customHeight="false" outlineLevel="0" collapsed="false"/>
    <row r="1036609" customFormat="false" ht="12.8" hidden="false" customHeight="false" outlineLevel="0" collapsed="false"/>
    <row r="1036610" customFormat="false" ht="12.8" hidden="false" customHeight="false" outlineLevel="0" collapsed="false"/>
    <row r="1036611" customFormat="false" ht="12.8" hidden="false" customHeight="false" outlineLevel="0" collapsed="false"/>
    <row r="1036612" customFormat="false" ht="12.8" hidden="false" customHeight="false" outlineLevel="0" collapsed="false"/>
    <row r="1036613" customFormat="false" ht="12.8" hidden="false" customHeight="false" outlineLevel="0" collapsed="false"/>
    <row r="1036614" customFormat="false" ht="12.8" hidden="false" customHeight="false" outlineLevel="0" collapsed="false"/>
    <row r="1036615" customFormat="false" ht="12.8" hidden="false" customHeight="false" outlineLevel="0" collapsed="false"/>
    <row r="1036616" customFormat="false" ht="12.8" hidden="false" customHeight="false" outlineLevel="0" collapsed="false"/>
    <row r="1036617" customFormat="false" ht="12.8" hidden="false" customHeight="false" outlineLevel="0" collapsed="false"/>
    <row r="1036618" customFormat="false" ht="12.8" hidden="false" customHeight="false" outlineLevel="0" collapsed="false"/>
    <row r="1036619" customFormat="false" ht="12.8" hidden="false" customHeight="false" outlineLevel="0" collapsed="false"/>
    <row r="1036620" customFormat="false" ht="12.8" hidden="false" customHeight="false" outlineLevel="0" collapsed="false"/>
    <row r="1036621" customFormat="false" ht="12.8" hidden="false" customHeight="false" outlineLevel="0" collapsed="false"/>
    <row r="1036622" customFormat="false" ht="12.8" hidden="false" customHeight="false" outlineLevel="0" collapsed="false"/>
    <row r="1036623" customFormat="false" ht="12.8" hidden="false" customHeight="false" outlineLevel="0" collapsed="false"/>
    <row r="1036624" customFormat="false" ht="12.8" hidden="false" customHeight="false" outlineLevel="0" collapsed="false"/>
    <row r="1036625" customFormat="false" ht="12.8" hidden="false" customHeight="false" outlineLevel="0" collapsed="false"/>
    <row r="1036626" customFormat="false" ht="12.8" hidden="false" customHeight="false" outlineLevel="0" collapsed="false"/>
    <row r="1036627" customFormat="false" ht="12.8" hidden="false" customHeight="false" outlineLevel="0" collapsed="false"/>
    <row r="1036628" customFormat="false" ht="12.8" hidden="false" customHeight="false" outlineLevel="0" collapsed="false"/>
    <row r="1036629" customFormat="false" ht="12.8" hidden="false" customHeight="false" outlineLevel="0" collapsed="false"/>
    <row r="1036630" customFormat="false" ht="12.8" hidden="false" customHeight="false" outlineLevel="0" collapsed="false"/>
    <row r="1036631" customFormat="false" ht="12.8" hidden="false" customHeight="false" outlineLevel="0" collapsed="false"/>
    <row r="1036632" customFormat="false" ht="12.8" hidden="false" customHeight="false" outlineLevel="0" collapsed="false"/>
    <row r="1036633" customFormat="false" ht="12.8" hidden="false" customHeight="false" outlineLevel="0" collapsed="false"/>
    <row r="1036634" customFormat="false" ht="12.8" hidden="false" customHeight="false" outlineLevel="0" collapsed="false"/>
    <row r="1036635" customFormat="false" ht="12.8" hidden="false" customHeight="false" outlineLevel="0" collapsed="false"/>
    <row r="1036636" customFormat="false" ht="12.8" hidden="false" customHeight="false" outlineLevel="0" collapsed="false"/>
    <row r="1036637" customFormat="false" ht="12.8" hidden="false" customHeight="false" outlineLevel="0" collapsed="false"/>
    <row r="1036638" customFormat="false" ht="12.8" hidden="false" customHeight="false" outlineLevel="0" collapsed="false"/>
    <row r="1036639" customFormat="false" ht="12.8" hidden="false" customHeight="false" outlineLevel="0" collapsed="false"/>
    <row r="1036640" customFormat="false" ht="12.8" hidden="false" customHeight="false" outlineLevel="0" collapsed="false"/>
    <row r="1036641" customFormat="false" ht="12.8" hidden="false" customHeight="false" outlineLevel="0" collapsed="false"/>
    <row r="1036642" customFormat="false" ht="12.8" hidden="false" customHeight="false" outlineLevel="0" collapsed="false"/>
    <row r="1036643" customFormat="false" ht="12.8" hidden="false" customHeight="false" outlineLevel="0" collapsed="false"/>
    <row r="1036644" customFormat="false" ht="12.8" hidden="false" customHeight="false" outlineLevel="0" collapsed="false"/>
    <row r="1036645" customFormat="false" ht="12.8" hidden="false" customHeight="false" outlineLevel="0" collapsed="false"/>
    <row r="1036646" customFormat="false" ht="12.8" hidden="false" customHeight="false" outlineLevel="0" collapsed="false"/>
    <row r="1036647" customFormat="false" ht="12.8" hidden="false" customHeight="false" outlineLevel="0" collapsed="false"/>
    <row r="1036648" customFormat="false" ht="12.8" hidden="false" customHeight="false" outlineLevel="0" collapsed="false"/>
    <row r="1036649" customFormat="false" ht="12.8" hidden="false" customHeight="false" outlineLevel="0" collapsed="false"/>
    <row r="1036650" customFormat="false" ht="12.8" hidden="false" customHeight="false" outlineLevel="0" collapsed="false"/>
    <row r="1036651" customFormat="false" ht="12.8" hidden="false" customHeight="false" outlineLevel="0" collapsed="false"/>
    <row r="1036652" customFormat="false" ht="12.8" hidden="false" customHeight="false" outlineLevel="0" collapsed="false"/>
    <row r="1036653" customFormat="false" ht="12.8" hidden="false" customHeight="false" outlineLevel="0" collapsed="false"/>
    <row r="1036654" customFormat="false" ht="12.8" hidden="false" customHeight="false" outlineLevel="0" collapsed="false"/>
    <row r="1036655" customFormat="false" ht="12.8" hidden="false" customHeight="false" outlineLevel="0" collapsed="false"/>
    <row r="1036656" customFormat="false" ht="12.8" hidden="false" customHeight="false" outlineLevel="0" collapsed="false"/>
    <row r="1036657" customFormat="false" ht="12.8" hidden="false" customHeight="false" outlineLevel="0" collapsed="false"/>
    <row r="1036658" customFormat="false" ht="12.8" hidden="false" customHeight="false" outlineLevel="0" collapsed="false"/>
    <row r="1036659" customFormat="false" ht="12.8" hidden="false" customHeight="false" outlineLevel="0" collapsed="false"/>
    <row r="1036660" customFormat="false" ht="12.8" hidden="false" customHeight="false" outlineLevel="0" collapsed="false"/>
    <row r="1036661" customFormat="false" ht="12.8" hidden="false" customHeight="false" outlineLevel="0" collapsed="false"/>
    <row r="1036662" customFormat="false" ht="12.8" hidden="false" customHeight="false" outlineLevel="0" collapsed="false"/>
    <row r="1036663" customFormat="false" ht="12.8" hidden="false" customHeight="false" outlineLevel="0" collapsed="false"/>
    <row r="1036664" customFormat="false" ht="12.8" hidden="false" customHeight="false" outlineLevel="0" collapsed="false"/>
    <row r="1036665" customFormat="false" ht="12.8" hidden="false" customHeight="false" outlineLevel="0" collapsed="false"/>
    <row r="1036666" customFormat="false" ht="12.8" hidden="false" customHeight="false" outlineLevel="0" collapsed="false"/>
    <row r="1036667" customFormat="false" ht="12.8" hidden="false" customHeight="false" outlineLevel="0" collapsed="false"/>
    <row r="1036668" customFormat="false" ht="12.8" hidden="false" customHeight="false" outlineLevel="0" collapsed="false"/>
    <row r="1036669" customFormat="false" ht="12.8" hidden="false" customHeight="false" outlineLevel="0" collapsed="false"/>
    <row r="1036670" customFormat="false" ht="12.8" hidden="false" customHeight="false" outlineLevel="0" collapsed="false"/>
    <row r="1036671" customFormat="false" ht="12.8" hidden="false" customHeight="false" outlineLevel="0" collapsed="false"/>
    <row r="1036672" customFormat="false" ht="12.8" hidden="false" customHeight="false" outlineLevel="0" collapsed="false"/>
    <row r="1036673" customFormat="false" ht="12.8" hidden="false" customHeight="false" outlineLevel="0" collapsed="false"/>
    <row r="1036674" customFormat="false" ht="12.8" hidden="false" customHeight="false" outlineLevel="0" collapsed="false"/>
    <row r="1036675" customFormat="false" ht="12.8" hidden="false" customHeight="false" outlineLevel="0" collapsed="false"/>
    <row r="1036676" customFormat="false" ht="12.8" hidden="false" customHeight="false" outlineLevel="0" collapsed="false"/>
    <row r="1036677" customFormat="false" ht="12.8" hidden="false" customHeight="false" outlineLevel="0" collapsed="false"/>
    <row r="1036678" customFormat="false" ht="12.8" hidden="false" customHeight="false" outlineLevel="0" collapsed="false"/>
    <row r="1036679" customFormat="false" ht="12.8" hidden="false" customHeight="false" outlineLevel="0" collapsed="false"/>
    <row r="1036680" customFormat="false" ht="12.8" hidden="false" customHeight="false" outlineLevel="0" collapsed="false"/>
    <row r="1036681" customFormat="false" ht="12.8" hidden="false" customHeight="false" outlineLevel="0" collapsed="false"/>
    <row r="1036682" customFormat="false" ht="12.8" hidden="false" customHeight="false" outlineLevel="0" collapsed="false"/>
    <row r="1036683" customFormat="false" ht="12.8" hidden="false" customHeight="false" outlineLevel="0" collapsed="false"/>
    <row r="1036684" customFormat="false" ht="12.8" hidden="false" customHeight="false" outlineLevel="0" collapsed="false"/>
    <row r="1036685" customFormat="false" ht="12.8" hidden="false" customHeight="false" outlineLevel="0" collapsed="false"/>
    <row r="1036686" customFormat="false" ht="12.8" hidden="false" customHeight="false" outlineLevel="0" collapsed="false"/>
    <row r="1036687" customFormat="false" ht="12.8" hidden="false" customHeight="false" outlineLevel="0" collapsed="false"/>
    <row r="1036688" customFormat="false" ht="12.8" hidden="false" customHeight="false" outlineLevel="0" collapsed="false"/>
    <row r="1036689" customFormat="false" ht="12.8" hidden="false" customHeight="false" outlineLevel="0" collapsed="false"/>
    <row r="1036690" customFormat="false" ht="12.8" hidden="false" customHeight="false" outlineLevel="0" collapsed="false"/>
    <row r="1036691" customFormat="false" ht="12.8" hidden="false" customHeight="false" outlineLevel="0" collapsed="false"/>
    <row r="1036692" customFormat="false" ht="12.8" hidden="false" customHeight="false" outlineLevel="0" collapsed="false"/>
    <row r="1036693" customFormat="false" ht="12.8" hidden="false" customHeight="false" outlineLevel="0" collapsed="false"/>
    <row r="1036694" customFormat="false" ht="12.8" hidden="false" customHeight="false" outlineLevel="0" collapsed="false"/>
    <row r="1036695" customFormat="false" ht="12.8" hidden="false" customHeight="false" outlineLevel="0" collapsed="false"/>
    <row r="1036696" customFormat="false" ht="12.8" hidden="false" customHeight="false" outlineLevel="0" collapsed="false"/>
    <row r="1036697" customFormat="false" ht="12.8" hidden="false" customHeight="false" outlineLevel="0" collapsed="false"/>
    <row r="1036698" customFormat="false" ht="12.8" hidden="false" customHeight="false" outlineLevel="0" collapsed="false"/>
    <row r="1036699" customFormat="false" ht="12.8" hidden="false" customHeight="false" outlineLevel="0" collapsed="false"/>
    <row r="1036700" customFormat="false" ht="12.8" hidden="false" customHeight="false" outlineLevel="0" collapsed="false"/>
    <row r="1036701" customFormat="false" ht="12.8" hidden="false" customHeight="false" outlineLevel="0" collapsed="false"/>
    <row r="1036702" customFormat="false" ht="12.8" hidden="false" customHeight="false" outlineLevel="0" collapsed="false"/>
    <row r="1036703" customFormat="false" ht="12.8" hidden="false" customHeight="false" outlineLevel="0" collapsed="false"/>
    <row r="1036704" customFormat="false" ht="12.8" hidden="false" customHeight="false" outlineLevel="0" collapsed="false"/>
    <row r="1036705" customFormat="false" ht="12.8" hidden="false" customHeight="false" outlineLevel="0" collapsed="false"/>
    <row r="1036706" customFormat="false" ht="12.8" hidden="false" customHeight="false" outlineLevel="0" collapsed="false"/>
    <row r="1036707" customFormat="false" ht="12.8" hidden="false" customHeight="false" outlineLevel="0" collapsed="false"/>
    <row r="1036708" customFormat="false" ht="12.8" hidden="false" customHeight="false" outlineLevel="0" collapsed="false"/>
    <row r="1036709" customFormat="false" ht="12.8" hidden="false" customHeight="false" outlineLevel="0" collapsed="false"/>
    <row r="1036710" customFormat="false" ht="12.8" hidden="false" customHeight="false" outlineLevel="0" collapsed="false"/>
    <row r="1036711" customFormat="false" ht="12.8" hidden="false" customHeight="false" outlineLevel="0" collapsed="false"/>
    <row r="1036712" customFormat="false" ht="12.8" hidden="false" customHeight="false" outlineLevel="0" collapsed="false"/>
    <row r="1036713" customFormat="false" ht="12.8" hidden="false" customHeight="false" outlineLevel="0" collapsed="false"/>
    <row r="1036714" customFormat="false" ht="12.8" hidden="false" customHeight="false" outlineLevel="0" collapsed="false"/>
    <row r="1036715" customFormat="false" ht="12.8" hidden="false" customHeight="false" outlineLevel="0" collapsed="false"/>
    <row r="1036716" customFormat="false" ht="12.8" hidden="false" customHeight="false" outlineLevel="0" collapsed="false"/>
    <row r="1036717" customFormat="false" ht="12.8" hidden="false" customHeight="false" outlineLevel="0" collapsed="false"/>
    <row r="1036718" customFormat="false" ht="12.8" hidden="false" customHeight="false" outlineLevel="0" collapsed="false"/>
    <row r="1036719" customFormat="false" ht="12.8" hidden="false" customHeight="false" outlineLevel="0" collapsed="false"/>
    <row r="1036720" customFormat="false" ht="12.8" hidden="false" customHeight="false" outlineLevel="0" collapsed="false"/>
    <row r="1036721" customFormat="false" ht="12.8" hidden="false" customHeight="false" outlineLevel="0" collapsed="false"/>
    <row r="1036722" customFormat="false" ht="12.8" hidden="false" customHeight="false" outlineLevel="0" collapsed="false"/>
    <row r="1036723" customFormat="false" ht="12.8" hidden="false" customHeight="false" outlineLevel="0" collapsed="false"/>
    <row r="1036724" customFormat="false" ht="12.8" hidden="false" customHeight="false" outlineLevel="0" collapsed="false"/>
    <row r="1036725" customFormat="false" ht="12.8" hidden="false" customHeight="false" outlineLevel="0" collapsed="false"/>
    <row r="1036726" customFormat="false" ht="12.8" hidden="false" customHeight="false" outlineLevel="0" collapsed="false"/>
    <row r="1036727" customFormat="false" ht="12.8" hidden="false" customHeight="false" outlineLevel="0" collapsed="false"/>
    <row r="1036728" customFormat="false" ht="12.8" hidden="false" customHeight="false" outlineLevel="0" collapsed="false"/>
    <row r="1036729" customFormat="false" ht="12.8" hidden="false" customHeight="false" outlineLevel="0" collapsed="false"/>
    <row r="1036730" customFormat="false" ht="12.8" hidden="false" customHeight="false" outlineLevel="0" collapsed="false"/>
    <row r="1036731" customFormat="false" ht="12.8" hidden="false" customHeight="false" outlineLevel="0" collapsed="false"/>
    <row r="1036732" customFormat="false" ht="12.8" hidden="false" customHeight="false" outlineLevel="0" collapsed="false"/>
    <row r="1036733" customFormat="false" ht="12.8" hidden="false" customHeight="false" outlineLevel="0" collapsed="false"/>
    <row r="1036734" customFormat="false" ht="12.8" hidden="false" customHeight="false" outlineLevel="0" collapsed="false"/>
    <row r="1036735" customFormat="false" ht="12.8" hidden="false" customHeight="false" outlineLevel="0" collapsed="false"/>
    <row r="1036736" customFormat="false" ht="12.8" hidden="false" customHeight="false" outlineLevel="0" collapsed="false"/>
    <row r="1036737" customFormat="false" ht="12.8" hidden="false" customHeight="false" outlineLevel="0" collapsed="false"/>
    <row r="1036738" customFormat="false" ht="12.8" hidden="false" customHeight="false" outlineLevel="0" collapsed="false"/>
    <row r="1036739" customFormat="false" ht="12.8" hidden="false" customHeight="false" outlineLevel="0" collapsed="false"/>
    <row r="1036740" customFormat="false" ht="12.8" hidden="false" customHeight="false" outlineLevel="0" collapsed="false"/>
    <row r="1036741" customFormat="false" ht="12.8" hidden="false" customHeight="false" outlineLevel="0" collapsed="false"/>
    <row r="1036742" customFormat="false" ht="12.8" hidden="false" customHeight="false" outlineLevel="0" collapsed="false"/>
    <row r="1036743" customFormat="false" ht="12.8" hidden="false" customHeight="false" outlineLevel="0" collapsed="false"/>
    <row r="1036744" customFormat="false" ht="12.8" hidden="false" customHeight="false" outlineLevel="0" collapsed="false"/>
    <row r="1036745" customFormat="false" ht="12.8" hidden="false" customHeight="false" outlineLevel="0" collapsed="false"/>
    <row r="1036746" customFormat="false" ht="12.8" hidden="false" customHeight="false" outlineLevel="0" collapsed="false"/>
    <row r="1036747" customFormat="false" ht="12.8" hidden="false" customHeight="false" outlineLevel="0" collapsed="false"/>
    <row r="1036748" customFormat="false" ht="12.8" hidden="false" customHeight="false" outlineLevel="0" collapsed="false"/>
    <row r="1036749" customFormat="false" ht="12.8" hidden="false" customHeight="false" outlineLevel="0" collapsed="false"/>
    <row r="1036750" customFormat="false" ht="12.8" hidden="false" customHeight="false" outlineLevel="0" collapsed="false"/>
    <row r="1036751" customFormat="false" ht="12.8" hidden="false" customHeight="false" outlineLevel="0" collapsed="false"/>
    <row r="1036752" customFormat="false" ht="12.8" hidden="false" customHeight="false" outlineLevel="0" collapsed="false"/>
    <row r="1036753" customFormat="false" ht="12.8" hidden="false" customHeight="false" outlineLevel="0" collapsed="false"/>
    <row r="1036754" customFormat="false" ht="12.8" hidden="false" customHeight="false" outlineLevel="0" collapsed="false"/>
    <row r="1036755" customFormat="false" ht="12.8" hidden="false" customHeight="false" outlineLevel="0" collapsed="false"/>
    <row r="1036756" customFormat="false" ht="12.8" hidden="false" customHeight="false" outlineLevel="0" collapsed="false"/>
    <row r="1036757" customFormat="false" ht="12.8" hidden="false" customHeight="false" outlineLevel="0" collapsed="false"/>
    <row r="1036758" customFormat="false" ht="12.8" hidden="false" customHeight="false" outlineLevel="0" collapsed="false"/>
    <row r="1036759" customFormat="false" ht="12.8" hidden="false" customHeight="false" outlineLevel="0" collapsed="false"/>
    <row r="1036760" customFormat="false" ht="12.8" hidden="false" customHeight="false" outlineLevel="0" collapsed="false"/>
    <row r="1036761" customFormat="false" ht="12.8" hidden="false" customHeight="false" outlineLevel="0" collapsed="false"/>
    <row r="1036762" customFormat="false" ht="12.8" hidden="false" customHeight="false" outlineLevel="0" collapsed="false"/>
    <row r="1036763" customFormat="false" ht="12.8" hidden="false" customHeight="false" outlineLevel="0" collapsed="false"/>
    <row r="1036764" customFormat="false" ht="12.8" hidden="false" customHeight="false" outlineLevel="0" collapsed="false"/>
    <row r="1036765" customFormat="false" ht="12.8" hidden="false" customHeight="false" outlineLevel="0" collapsed="false"/>
    <row r="1036766" customFormat="false" ht="12.8" hidden="false" customHeight="false" outlineLevel="0" collapsed="false"/>
    <row r="1036767" customFormat="false" ht="12.8" hidden="false" customHeight="false" outlineLevel="0" collapsed="false"/>
    <row r="1036768" customFormat="false" ht="12.8" hidden="false" customHeight="false" outlineLevel="0" collapsed="false"/>
    <row r="1036769" customFormat="false" ht="12.8" hidden="false" customHeight="false" outlineLevel="0" collapsed="false"/>
    <row r="1036770" customFormat="false" ht="12.8" hidden="false" customHeight="false" outlineLevel="0" collapsed="false"/>
    <row r="1036771" customFormat="false" ht="12.8" hidden="false" customHeight="false" outlineLevel="0" collapsed="false"/>
    <row r="1036772" customFormat="false" ht="12.8" hidden="false" customHeight="false" outlineLevel="0" collapsed="false"/>
    <row r="1036773" customFormat="false" ht="12.8" hidden="false" customHeight="false" outlineLevel="0" collapsed="false"/>
    <row r="1036774" customFormat="false" ht="12.8" hidden="false" customHeight="false" outlineLevel="0" collapsed="false"/>
    <row r="1036775" customFormat="false" ht="12.8" hidden="false" customHeight="false" outlineLevel="0" collapsed="false"/>
    <row r="1036776" customFormat="false" ht="12.8" hidden="false" customHeight="false" outlineLevel="0" collapsed="false"/>
    <row r="1036777" customFormat="false" ht="12.8" hidden="false" customHeight="false" outlineLevel="0" collapsed="false"/>
    <row r="1036778" customFormat="false" ht="12.8" hidden="false" customHeight="false" outlineLevel="0" collapsed="false"/>
    <row r="1036779" customFormat="false" ht="12.8" hidden="false" customHeight="false" outlineLevel="0" collapsed="false"/>
    <row r="1036780" customFormat="false" ht="12.8" hidden="false" customHeight="false" outlineLevel="0" collapsed="false"/>
    <row r="1036781" customFormat="false" ht="12.8" hidden="false" customHeight="false" outlineLevel="0" collapsed="false"/>
    <row r="1036782" customFormat="false" ht="12.8" hidden="false" customHeight="false" outlineLevel="0" collapsed="false"/>
    <row r="1036783" customFormat="false" ht="12.8" hidden="false" customHeight="false" outlineLevel="0" collapsed="false"/>
    <row r="1036784" customFormat="false" ht="12.8" hidden="false" customHeight="false" outlineLevel="0" collapsed="false"/>
    <row r="1036785" customFormat="false" ht="12.8" hidden="false" customHeight="false" outlineLevel="0" collapsed="false"/>
    <row r="1036786" customFormat="false" ht="12.8" hidden="false" customHeight="false" outlineLevel="0" collapsed="false"/>
    <row r="1036787" customFormat="false" ht="12.8" hidden="false" customHeight="false" outlineLevel="0" collapsed="false"/>
    <row r="1036788" customFormat="false" ht="12.8" hidden="false" customHeight="false" outlineLevel="0" collapsed="false"/>
    <row r="1036789" customFormat="false" ht="12.8" hidden="false" customHeight="false" outlineLevel="0" collapsed="false"/>
    <row r="1036790" customFormat="false" ht="12.8" hidden="false" customHeight="false" outlineLevel="0" collapsed="false"/>
    <row r="1036791" customFormat="false" ht="12.8" hidden="false" customHeight="false" outlineLevel="0" collapsed="false"/>
    <row r="1036792" customFormat="false" ht="12.8" hidden="false" customHeight="false" outlineLevel="0" collapsed="false"/>
    <row r="1036793" customFormat="false" ht="12.8" hidden="false" customHeight="false" outlineLevel="0" collapsed="false"/>
    <row r="1036794" customFormat="false" ht="12.8" hidden="false" customHeight="false" outlineLevel="0" collapsed="false"/>
    <row r="1036795" customFormat="false" ht="12.8" hidden="false" customHeight="false" outlineLevel="0" collapsed="false"/>
    <row r="1036796" customFormat="false" ht="12.8" hidden="false" customHeight="false" outlineLevel="0" collapsed="false"/>
    <row r="1036797" customFormat="false" ht="12.8" hidden="false" customHeight="false" outlineLevel="0" collapsed="false"/>
    <row r="1036798" customFormat="false" ht="12.8" hidden="false" customHeight="false" outlineLevel="0" collapsed="false"/>
    <row r="1036799" customFormat="false" ht="12.8" hidden="false" customHeight="false" outlineLevel="0" collapsed="false"/>
    <row r="1036800" customFormat="false" ht="12.8" hidden="false" customHeight="false" outlineLevel="0" collapsed="false"/>
    <row r="1036801" customFormat="false" ht="12.8" hidden="false" customHeight="false" outlineLevel="0" collapsed="false"/>
    <row r="1036802" customFormat="false" ht="12.8" hidden="false" customHeight="false" outlineLevel="0" collapsed="false"/>
    <row r="1036803" customFormat="false" ht="12.8" hidden="false" customHeight="false" outlineLevel="0" collapsed="false"/>
    <row r="1036804" customFormat="false" ht="12.8" hidden="false" customHeight="false" outlineLevel="0" collapsed="false"/>
    <row r="1036805" customFormat="false" ht="12.8" hidden="false" customHeight="false" outlineLevel="0" collapsed="false"/>
    <row r="1036806" customFormat="false" ht="12.8" hidden="false" customHeight="false" outlineLevel="0" collapsed="false"/>
    <row r="1036807" customFormat="false" ht="12.8" hidden="false" customHeight="false" outlineLevel="0" collapsed="false"/>
    <row r="1036808" customFormat="false" ht="12.8" hidden="false" customHeight="false" outlineLevel="0" collapsed="false"/>
    <row r="1036809" customFormat="false" ht="12.8" hidden="false" customHeight="false" outlineLevel="0" collapsed="false"/>
    <row r="1036810" customFormat="false" ht="12.8" hidden="false" customHeight="false" outlineLevel="0" collapsed="false"/>
    <row r="1036811" customFormat="false" ht="12.8" hidden="false" customHeight="false" outlineLevel="0" collapsed="false"/>
    <row r="1036812" customFormat="false" ht="12.8" hidden="false" customHeight="false" outlineLevel="0" collapsed="false"/>
    <row r="1036813" customFormat="false" ht="12.8" hidden="false" customHeight="false" outlineLevel="0" collapsed="false"/>
    <row r="1036814" customFormat="false" ht="12.8" hidden="false" customHeight="false" outlineLevel="0" collapsed="false"/>
    <row r="1036815" customFormat="false" ht="12.8" hidden="false" customHeight="false" outlineLevel="0" collapsed="false"/>
    <row r="1036816" customFormat="false" ht="12.8" hidden="false" customHeight="false" outlineLevel="0" collapsed="false"/>
    <row r="1036817" customFormat="false" ht="12.8" hidden="false" customHeight="false" outlineLevel="0" collapsed="false"/>
    <row r="1036818" customFormat="false" ht="12.8" hidden="false" customHeight="false" outlineLevel="0" collapsed="false"/>
    <row r="1036819" customFormat="false" ht="12.8" hidden="false" customHeight="false" outlineLevel="0" collapsed="false"/>
    <row r="1036820" customFormat="false" ht="12.8" hidden="false" customHeight="false" outlineLevel="0" collapsed="false"/>
    <row r="1036821" customFormat="false" ht="12.8" hidden="false" customHeight="false" outlineLevel="0" collapsed="false"/>
    <row r="1036822" customFormat="false" ht="12.8" hidden="false" customHeight="false" outlineLevel="0" collapsed="false"/>
    <row r="1036823" customFormat="false" ht="12.8" hidden="false" customHeight="false" outlineLevel="0" collapsed="false"/>
    <row r="1036824" customFormat="false" ht="12.8" hidden="false" customHeight="false" outlineLevel="0" collapsed="false"/>
    <row r="1036825" customFormat="false" ht="12.8" hidden="false" customHeight="false" outlineLevel="0" collapsed="false"/>
    <row r="1036826" customFormat="false" ht="12.8" hidden="false" customHeight="false" outlineLevel="0" collapsed="false"/>
    <row r="1036827" customFormat="false" ht="12.8" hidden="false" customHeight="false" outlineLevel="0" collapsed="false"/>
    <row r="1036828" customFormat="false" ht="12.8" hidden="false" customHeight="false" outlineLevel="0" collapsed="false"/>
    <row r="1036829" customFormat="false" ht="12.8" hidden="false" customHeight="false" outlineLevel="0" collapsed="false"/>
    <row r="1036830" customFormat="false" ht="12.8" hidden="false" customHeight="false" outlineLevel="0" collapsed="false"/>
    <row r="1036831" customFormat="false" ht="12.8" hidden="false" customHeight="false" outlineLevel="0" collapsed="false"/>
    <row r="1036832" customFormat="false" ht="12.8" hidden="false" customHeight="false" outlineLevel="0" collapsed="false"/>
    <row r="1036833" customFormat="false" ht="12.8" hidden="false" customHeight="false" outlineLevel="0" collapsed="false"/>
    <row r="1036834" customFormat="false" ht="12.8" hidden="false" customHeight="false" outlineLevel="0" collapsed="false"/>
    <row r="1036835" customFormat="false" ht="12.8" hidden="false" customHeight="false" outlineLevel="0" collapsed="false"/>
    <row r="1036836" customFormat="false" ht="12.8" hidden="false" customHeight="false" outlineLevel="0" collapsed="false"/>
    <row r="1036837" customFormat="false" ht="12.8" hidden="false" customHeight="false" outlineLevel="0" collapsed="false"/>
    <row r="1036838" customFormat="false" ht="12.8" hidden="false" customHeight="false" outlineLevel="0" collapsed="false"/>
    <row r="1036839" customFormat="false" ht="12.8" hidden="false" customHeight="false" outlineLevel="0" collapsed="false"/>
    <row r="1036840" customFormat="false" ht="12.8" hidden="false" customHeight="false" outlineLevel="0" collapsed="false"/>
    <row r="1036841" customFormat="false" ht="12.8" hidden="false" customHeight="false" outlineLevel="0" collapsed="false"/>
    <row r="1036842" customFormat="false" ht="12.8" hidden="false" customHeight="false" outlineLevel="0" collapsed="false"/>
    <row r="1036843" customFormat="false" ht="12.8" hidden="false" customHeight="false" outlineLevel="0" collapsed="false"/>
    <row r="1036844" customFormat="false" ht="12.8" hidden="false" customHeight="false" outlineLevel="0" collapsed="false"/>
    <row r="1036845" customFormat="false" ht="12.8" hidden="false" customHeight="false" outlineLevel="0" collapsed="false"/>
    <row r="1036846" customFormat="false" ht="12.8" hidden="false" customHeight="false" outlineLevel="0" collapsed="false"/>
    <row r="1036847" customFormat="false" ht="12.8" hidden="false" customHeight="false" outlineLevel="0" collapsed="false"/>
    <row r="1036848" customFormat="false" ht="12.8" hidden="false" customHeight="false" outlineLevel="0" collapsed="false"/>
    <row r="1036849" customFormat="false" ht="12.8" hidden="false" customHeight="false" outlineLevel="0" collapsed="false"/>
    <row r="1036850" customFormat="false" ht="12.8" hidden="false" customHeight="false" outlineLevel="0" collapsed="false"/>
    <row r="1036851" customFormat="false" ht="12.8" hidden="false" customHeight="false" outlineLevel="0" collapsed="false"/>
    <row r="1036852" customFormat="false" ht="12.8" hidden="false" customHeight="false" outlineLevel="0" collapsed="false"/>
    <row r="1036853" customFormat="false" ht="12.8" hidden="false" customHeight="false" outlineLevel="0" collapsed="false"/>
    <row r="1036854" customFormat="false" ht="12.8" hidden="false" customHeight="false" outlineLevel="0" collapsed="false"/>
    <row r="1036855" customFormat="false" ht="12.8" hidden="false" customHeight="false" outlineLevel="0" collapsed="false"/>
    <row r="1036856" customFormat="false" ht="12.8" hidden="false" customHeight="false" outlineLevel="0" collapsed="false"/>
    <row r="1036857" customFormat="false" ht="12.8" hidden="false" customHeight="false" outlineLevel="0" collapsed="false"/>
    <row r="1036858" customFormat="false" ht="12.8" hidden="false" customHeight="false" outlineLevel="0" collapsed="false"/>
    <row r="1036859" customFormat="false" ht="12.8" hidden="false" customHeight="false" outlineLevel="0" collapsed="false"/>
    <row r="1036860" customFormat="false" ht="12.8" hidden="false" customHeight="false" outlineLevel="0" collapsed="false"/>
    <row r="1036861" customFormat="false" ht="12.8" hidden="false" customHeight="false" outlineLevel="0" collapsed="false"/>
    <row r="1036862" customFormat="false" ht="12.8" hidden="false" customHeight="false" outlineLevel="0" collapsed="false"/>
    <row r="1036863" customFormat="false" ht="12.8" hidden="false" customHeight="false" outlineLevel="0" collapsed="false"/>
    <row r="1036864" customFormat="false" ht="12.8" hidden="false" customHeight="false" outlineLevel="0" collapsed="false"/>
    <row r="1036865" customFormat="false" ht="12.8" hidden="false" customHeight="false" outlineLevel="0" collapsed="false"/>
    <row r="1036866" customFormat="false" ht="12.8" hidden="false" customHeight="false" outlineLevel="0" collapsed="false"/>
    <row r="1036867" customFormat="false" ht="12.8" hidden="false" customHeight="false" outlineLevel="0" collapsed="false"/>
    <row r="1036868" customFormat="false" ht="12.8" hidden="false" customHeight="false" outlineLevel="0" collapsed="false"/>
    <row r="1036869" customFormat="false" ht="12.8" hidden="false" customHeight="false" outlineLevel="0" collapsed="false"/>
    <row r="1036870" customFormat="false" ht="12.8" hidden="false" customHeight="false" outlineLevel="0" collapsed="false"/>
    <row r="1036871" customFormat="false" ht="12.8" hidden="false" customHeight="false" outlineLevel="0" collapsed="false"/>
    <row r="1036872" customFormat="false" ht="12.8" hidden="false" customHeight="false" outlineLevel="0" collapsed="false"/>
    <row r="1036873" customFormat="false" ht="12.8" hidden="false" customHeight="false" outlineLevel="0" collapsed="false"/>
    <row r="1036874" customFormat="false" ht="12.8" hidden="false" customHeight="false" outlineLevel="0" collapsed="false"/>
    <row r="1036875" customFormat="false" ht="12.8" hidden="false" customHeight="false" outlineLevel="0" collapsed="false"/>
    <row r="1036876" customFormat="false" ht="12.8" hidden="false" customHeight="false" outlineLevel="0" collapsed="false"/>
    <row r="1036877" customFormat="false" ht="12.8" hidden="false" customHeight="false" outlineLevel="0" collapsed="false"/>
    <row r="1036878" customFormat="false" ht="12.8" hidden="false" customHeight="false" outlineLevel="0" collapsed="false"/>
    <row r="1036879" customFormat="false" ht="12.8" hidden="false" customHeight="false" outlineLevel="0" collapsed="false"/>
    <row r="1036880" customFormat="false" ht="12.8" hidden="false" customHeight="false" outlineLevel="0" collapsed="false"/>
    <row r="1036881" customFormat="false" ht="12.8" hidden="false" customHeight="false" outlineLevel="0" collapsed="false"/>
    <row r="1036882" customFormat="false" ht="12.8" hidden="false" customHeight="false" outlineLevel="0" collapsed="false"/>
    <row r="1036883" customFormat="false" ht="12.8" hidden="false" customHeight="false" outlineLevel="0" collapsed="false"/>
    <row r="1036884" customFormat="false" ht="12.8" hidden="false" customHeight="false" outlineLevel="0" collapsed="false"/>
    <row r="1036885" customFormat="false" ht="12.8" hidden="false" customHeight="false" outlineLevel="0" collapsed="false"/>
    <row r="1036886" customFormat="false" ht="12.8" hidden="false" customHeight="false" outlineLevel="0" collapsed="false"/>
    <row r="1036887" customFormat="false" ht="12.8" hidden="false" customHeight="false" outlineLevel="0" collapsed="false"/>
    <row r="1036888" customFormat="false" ht="12.8" hidden="false" customHeight="false" outlineLevel="0" collapsed="false"/>
    <row r="1036889" customFormat="false" ht="12.8" hidden="false" customHeight="false" outlineLevel="0" collapsed="false"/>
    <row r="1036890" customFormat="false" ht="12.8" hidden="false" customHeight="false" outlineLevel="0" collapsed="false"/>
    <row r="1036891" customFormat="false" ht="12.8" hidden="false" customHeight="false" outlineLevel="0" collapsed="false"/>
    <row r="1036892" customFormat="false" ht="12.8" hidden="false" customHeight="false" outlineLevel="0" collapsed="false"/>
    <row r="1036893" customFormat="false" ht="12.8" hidden="false" customHeight="false" outlineLevel="0" collapsed="false"/>
    <row r="1036894" customFormat="false" ht="12.8" hidden="false" customHeight="false" outlineLevel="0" collapsed="false"/>
    <row r="1036895" customFormat="false" ht="12.8" hidden="false" customHeight="false" outlineLevel="0" collapsed="false"/>
    <row r="1036896" customFormat="false" ht="12.8" hidden="false" customHeight="false" outlineLevel="0" collapsed="false"/>
    <row r="1036897" customFormat="false" ht="12.8" hidden="false" customHeight="false" outlineLevel="0" collapsed="false"/>
    <row r="1036898" customFormat="false" ht="12.8" hidden="false" customHeight="false" outlineLevel="0" collapsed="false"/>
    <row r="1036899" customFormat="false" ht="12.8" hidden="false" customHeight="false" outlineLevel="0" collapsed="false"/>
    <row r="1036900" customFormat="false" ht="12.8" hidden="false" customHeight="false" outlineLevel="0" collapsed="false"/>
    <row r="1036901" customFormat="false" ht="12.8" hidden="false" customHeight="false" outlineLevel="0" collapsed="false"/>
    <row r="1036902" customFormat="false" ht="12.8" hidden="false" customHeight="false" outlineLevel="0" collapsed="false"/>
    <row r="1036903" customFormat="false" ht="12.8" hidden="false" customHeight="false" outlineLevel="0" collapsed="false"/>
    <row r="1036904" customFormat="false" ht="12.8" hidden="false" customHeight="false" outlineLevel="0" collapsed="false"/>
    <row r="1036905" customFormat="false" ht="12.8" hidden="false" customHeight="false" outlineLevel="0" collapsed="false"/>
    <row r="1036906" customFormat="false" ht="12.8" hidden="false" customHeight="false" outlineLevel="0" collapsed="false"/>
    <row r="1036907" customFormat="false" ht="12.8" hidden="false" customHeight="false" outlineLevel="0" collapsed="false"/>
    <row r="1036908" customFormat="false" ht="12.8" hidden="false" customHeight="false" outlineLevel="0" collapsed="false"/>
    <row r="1036909" customFormat="false" ht="12.8" hidden="false" customHeight="false" outlineLevel="0" collapsed="false"/>
    <row r="1036910" customFormat="false" ht="12.8" hidden="false" customHeight="false" outlineLevel="0" collapsed="false"/>
    <row r="1036911" customFormat="false" ht="12.8" hidden="false" customHeight="false" outlineLevel="0" collapsed="false"/>
    <row r="1036912" customFormat="false" ht="12.8" hidden="false" customHeight="false" outlineLevel="0" collapsed="false"/>
    <row r="1036913" customFormat="false" ht="12.8" hidden="false" customHeight="false" outlineLevel="0" collapsed="false"/>
    <row r="1036914" customFormat="false" ht="12.8" hidden="false" customHeight="false" outlineLevel="0" collapsed="false"/>
    <row r="1036915" customFormat="false" ht="12.8" hidden="false" customHeight="false" outlineLevel="0" collapsed="false"/>
    <row r="1036916" customFormat="false" ht="12.8" hidden="false" customHeight="false" outlineLevel="0" collapsed="false"/>
    <row r="1036917" customFormat="false" ht="12.8" hidden="false" customHeight="false" outlineLevel="0" collapsed="false"/>
    <row r="1036918" customFormat="false" ht="12.8" hidden="false" customHeight="false" outlineLevel="0" collapsed="false"/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true" gridLines="tru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2018-08-06T14:45:52Z</dcterms:created>
  <dc:creator>Ricardo Auad</dc:creator>
  <dc:description/>
  <dc:language>es-CL</dc:language>
  <cp:lastModifiedBy/>
  <cp:lastPrinted>2024-06-10T20:04:20Z</cp:lastPrinted>
  <dcterms:modified xsi:type="dcterms:W3CDTF">2026-07-01T19:23:44Z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