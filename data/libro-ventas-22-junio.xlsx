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ITIDAS" sheetId="1" state="visible" r:id="rId3"/>
    <sheet name="Hoja1" sheetId="2" state="hidden" r:id="rId4"/>
  </sheets>
  <definedNames>
    <definedName function="false" hidden="true" localSheetId="0" name="_xlnm._FilterDatabase" vbProcedure="false">EMITIDAS!$A$1:$X$426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Miguel Angel Romero Blachet</author>
  </authors>
  <commentList>
    <comment ref="C7" authorId="0">
      <text>
        <r>
          <rPr>
            <sz val="10"/>
            <rFont val="Arial"/>
            <family val="2"/>
          </rPr>
          <t xml:space="preserve">Miguel Angel Romero Blachet:
</t>
        </r>
        <r>
          <rPr>
            <sz val="10"/>
            <color rgb="FF000000"/>
            <rFont val="Calibri"/>
            <family val="2"/>
            <charset val="1"/>
          </rPr>
          <t xml:space="preserve">nula 291</t>
        </r>
      </text>
      <mc:AlternateContent>
        <mc:Choice Requires="v2">
          <commentPr autoFill="false" autoScale="false" colHidden="false" locked="false" rowHidden="false" textHAlign="justify" textVAlign="top">
            <anchor moveWithCells="false" sizeWithCells="false">
              <xdr:from>
                <xdr:col>3</xdr:col>
                <xdr:colOff>12</xdr:colOff>
                <xdr:row>5</xdr:row>
                <xdr:rowOff>4</xdr:rowOff>
              </xdr:from>
              <xdr:to>
                <xdr:col>4</xdr:col>
                <xdr:colOff>-67</xdr:colOff>
                <xdr:row>9</xdr:row>
                <xdr:rowOff>4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Miguel Angel Romero Blachet:
</t>
        </r>
        <r>
          <rPr>
            <sz val="10"/>
            <color rgb="FF000000"/>
            <rFont val="Calibri"/>
            <family val="2"/>
            <charset val="1"/>
          </rPr>
          <t xml:space="preserve">nula 291</t>
        </r>
      </text>
      <mc:AlternateContent>
        <mc:Choice Requires="v2">
          <commentPr autoFill="false" autoScale="false" colHidden="false" locked="false" rowHidden="false" textHAlign="justify" textVAlign="top">
            <anchor moveWithCells="false" sizeWithCells="false">
              <xdr:from>
                <xdr:col>3</xdr:col>
                <xdr:colOff>12</xdr:colOff>
                <xdr:row>25</xdr:row>
                <xdr:rowOff>4</xdr:rowOff>
              </xdr:from>
              <xdr:to>
                <xdr:col>4</xdr:col>
                <xdr:colOff>-67</xdr:colOff>
                <xdr:row>29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<sst xmlns="http://schemas.openxmlformats.org/spreadsheetml/2006/main" count="1930" uniqueCount="214">
  <si>
    <t xml:space="preserve">RUT</t>
  </si>
  <si>
    <t xml:space="preserve">RAZON SOCIAL</t>
  </si>
  <si>
    <t xml:space="preserve">FACTORING</t>
  </si>
  <si>
    <t xml:space="preserve">CRUCE/PAGO</t>
  </si>
  <si>
    <t xml:space="preserve">TIPO</t>
  </si>
  <si>
    <t xml:space="preserve">N° dcto</t>
  </si>
  <si>
    <t xml:space="preserve">EMISION</t>
  </si>
  <si>
    <t xml:space="preserve">VENCIMIENTO</t>
  </si>
  <si>
    <t xml:space="preserve">TOTAL</t>
  </si>
  <si>
    <t xml:space="preserve">NETO</t>
  </si>
  <si>
    <t xml:space="preserve">IVA</t>
  </si>
  <si>
    <t xml:space="preserve">MES</t>
  </si>
  <si>
    <t xml:space="preserve">AÑO</t>
  </si>
  <si>
    <t xml:space="preserve">PAGO/ABONO</t>
  </si>
  <si>
    <t xml:space="preserve">SALDO</t>
  </si>
  <si>
    <t xml:space="preserve">ESTADO</t>
  </si>
  <si>
    <t xml:space="preserve">REGISTRO DE PAGO</t>
  </si>
  <si>
    <t xml:space="preserve">OBSERVACIONES</t>
  </si>
  <si>
    <t xml:space="preserve">EN REVISION</t>
  </si>
  <si>
    <t xml:space="preserve">gestion duemint</t>
  </si>
  <si>
    <t xml:space="preserve">COMENTARIO</t>
  </si>
  <si>
    <t xml:space="preserve">UF</t>
  </si>
  <si>
    <t xml:space="preserve">77225460-1</t>
  </si>
  <si>
    <t xml:space="preserve">INMOBILIARIA LOS PARQUES LIMITADA</t>
  </si>
  <si>
    <t xml:space="preserve">F-EL</t>
  </si>
  <si>
    <t xml:space="preserve">DICIEMBRE</t>
  </si>
  <si>
    <t xml:space="preserve">93129000-2</t>
  </si>
  <si>
    <t xml:space="preserve">ROSEN S.A.</t>
  </si>
  <si>
    <t xml:space="preserve">77343990-7</t>
  </si>
  <si>
    <t xml:space="preserve">DOBLEGIRO DISENO Y PUBLICIDAD S A</t>
  </si>
  <si>
    <t xml:space="preserve">85275900-3</t>
  </si>
  <si>
    <t xml:space="preserve">INTERWINS S.A.</t>
  </si>
  <si>
    <t xml:space="preserve">76415572-6</t>
  </si>
  <si>
    <t xml:space="preserve">LA DEHESA COMERCIO S.A.</t>
  </si>
  <si>
    <t xml:space="preserve">NC 466</t>
  </si>
  <si>
    <t xml:space="preserve">NC-EL</t>
  </si>
  <si>
    <t xml:space="preserve">NC</t>
  </si>
  <si>
    <t xml:space="preserve">60901002-9</t>
  </si>
  <si>
    <t xml:space="preserve">SUBSECRETARÍA DE LAS CULTURAS Y LAS ARTES</t>
  </si>
  <si>
    <t xml:space="preserve">96567040-8</t>
  </si>
  <si>
    <t xml:space="preserve">COMPANIA MINERA TECK QUEBRADA BLANCA S.A.</t>
  </si>
  <si>
    <t xml:space="preserve">90193000-7</t>
  </si>
  <si>
    <t xml:space="preserve">EMPRESA EL MERCURIO S A P</t>
  </si>
  <si>
    <t xml:space="preserve">89689900-7</t>
  </si>
  <si>
    <t xml:space="preserve">DVP S.A.</t>
  </si>
  <si>
    <t xml:space="preserve">76085514-6</t>
  </si>
  <si>
    <t xml:space="preserve">INSIGNI LEADERSHIP CONSULTING S.A.</t>
  </si>
  <si>
    <t xml:space="preserve">78562160-3</t>
  </si>
  <si>
    <t xml:space="preserve">OQO SA</t>
  </si>
  <si>
    <t xml:space="preserve">92893000- 9</t>
  </si>
  <si>
    <t xml:space="preserve">PRODUCTOS QUIMICOS TANAX S A C E I</t>
  </si>
  <si>
    <t xml:space="preserve">90331000-6</t>
  </si>
  <si>
    <t xml:space="preserve">CRISTALERIAS DE CHILE S A</t>
  </si>
  <si>
    <t xml:space="preserve">76242779-6</t>
  </si>
  <si>
    <t xml:space="preserve">INMOBILIARIA VISTA KENNEDY SPA</t>
  </si>
  <si>
    <t xml:space="preserve">76154749-6</t>
  </si>
  <si>
    <t xml:space="preserve">CONSTRUCTORA E INMOBILIARIA BERSA CERRO COLORADO S.A.</t>
  </si>
  <si>
    <t xml:space="preserve">73055400-1</t>
  </si>
  <si>
    <t xml:space="preserve">FUNDACION GREENPEACE PACIFICO SUR</t>
  </si>
  <si>
    <t xml:space="preserve">96692790-9</t>
  </si>
  <si>
    <t xml:space="preserve">MATERIALES Y SOLUCIONES S A</t>
  </si>
  <si>
    <t xml:space="preserve">SI</t>
  </si>
  <si>
    <t xml:space="preserve">BCI FACTORING OP 17-12-2025</t>
  </si>
  <si>
    <t xml:space="preserve">NULA POR SISTEMA</t>
  </si>
  <si>
    <t xml:space="preserve">80186300-0</t>
  </si>
  <si>
    <t xml:space="preserve">CONSORCIO INDUSTRIAL DE ALIMENTOS S.A.</t>
  </si>
  <si>
    <t xml:space="preserve">81698900-0</t>
  </si>
  <si>
    <t xml:space="preserve">PONTIFICIA UNIVERSIDAD CATOLICA DE CHILE</t>
  </si>
  <si>
    <t xml:space="preserve">76146366-7</t>
  </si>
  <si>
    <t xml:space="preserve">QUANTUM INTEGRAL, S.A.</t>
  </si>
  <si>
    <t xml:space="preserve">94668000-1</t>
  </si>
  <si>
    <t xml:space="preserve">CODELPA CHILE S.A.</t>
  </si>
  <si>
    <t xml:space="preserve">76120080-1</t>
  </si>
  <si>
    <t xml:space="preserve">COMERCIAL LA LIQUIDADORA LIMITADA</t>
  </si>
  <si>
    <t xml:space="preserve">76227000-5</t>
  </si>
  <si>
    <t xml:space="preserve">COMERCIAL LIQUINORTE LIMITADA</t>
  </si>
  <si>
    <t xml:space="preserve">77927120-K</t>
  </si>
  <si>
    <t xml:space="preserve">COMERCIALIZADORA LIQUIMARKET LIMITADA</t>
  </si>
  <si>
    <t xml:space="preserve">96511460-2</t>
  </si>
  <si>
    <t xml:space="preserve">CONSTRUMART S.A.</t>
  </si>
  <si>
    <t xml:space="preserve">NC 468</t>
  </si>
  <si>
    <t xml:space="preserve">76344054-0</t>
  </si>
  <si>
    <t xml:space="preserve">MORETO CLIMA LIMITADA</t>
  </si>
  <si>
    <t xml:space="preserve">76517759-6</t>
  </si>
  <si>
    <t xml:space="preserve">HISENSE GORENJE CHILE SPA</t>
  </si>
  <si>
    <t xml:space="preserve">FACTORING BCI OP 23-12-2025</t>
  </si>
  <si>
    <t xml:space="preserve">78127000-8</t>
  </si>
  <si>
    <t xml:space="preserve">TECK RESOURCES CHILE LIMITADA</t>
  </si>
  <si>
    <t xml:space="preserve">76206616-5</t>
  </si>
  <si>
    <t xml:space="preserve">SANCHEZ CANO Y COMPANIA LIMITADA</t>
  </si>
  <si>
    <t xml:space="preserve">NC 469</t>
  </si>
  <si>
    <t xml:space="preserve">NC 470</t>
  </si>
  <si>
    <t xml:space="preserve">78187230-K</t>
  </si>
  <si>
    <t xml:space="preserve">AGRICOLA CASAS DEL BOSQUE LIMITADA</t>
  </si>
  <si>
    <t xml:space="preserve">76552930-1</t>
  </si>
  <si>
    <t xml:space="preserve">VINOS TURISMO Y GASTRONOMIA TANINO LIMITADA</t>
  </si>
  <si>
    <t xml:space="preserve">ENERO</t>
  </si>
  <si>
    <t xml:space="preserve">76185964-1</t>
  </si>
  <si>
    <t xml:space="preserve">MEGAMEDIA S.A.</t>
  </si>
  <si>
    <t xml:space="preserve">62000750-1</t>
  </si>
  <si>
    <t xml:space="preserve">CENTRO DE FORMACION TECNICA DE LA REGION METROPOLITANA DE SANTIAGO</t>
  </si>
  <si>
    <t xml:space="preserve">NC 472</t>
  </si>
  <si>
    <t xml:space="preserve">70885500-6</t>
  </si>
  <si>
    <t xml:space="preserve">UNIVERSIDAD DE TALCA</t>
  </si>
  <si>
    <t xml:space="preserve">NC 471</t>
  </si>
  <si>
    <t xml:space="preserve">96511460- 2</t>
  </si>
  <si>
    <t xml:space="preserve">81689800-5</t>
  </si>
  <si>
    <t xml:space="preserve">TELEVISION NACIONAL DE CHILE</t>
  </si>
  <si>
    <t xml:space="preserve">24-2-2026 banco santander</t>
  </si>
  <si>
    <t xml:space="preserve">92893000-9</t>
  </si>
  <si>
    <t xml:space="preserve">NC 473</t>
  </si>
  <si>
    <t xml:space="preserve">NC 474</t>
  </si>
  <si>
    <t xml:space="preserve">NC 475</t>
  </si>
  <si>
    <t xml:space="preserve">76705500-5</t>
  </si>
  <si>
    <t xml:space="preserve">AIRE ACONDICIONADO LUIS SEBASTIAN VERGARA MARQUEZ E.I.R.L.</t>
  </si>
  <si>
    <t xml:space="preserve">nc 477</t>
  </si>
  <si>
    <t xml:space="preserve">76792857-2</t>
  </si>
  <si>
    <t xml:space="preserve">ACONDIPARTS CENTER SPA</t>
  </si>
  <si>
    <t xml:space="preserve">nc 478</t>
  </si>
  <si>
    <t xml:space="preserve">76227381-0</t>
  </si>
  <si>
    <t xml:space="preserve">SOCIEDAD DE PROFEFIONALES ASESORIAS GRUPO DEFENSA LIMITADA</t>
  </si>
  <si>
    <t xml:space="preserve">FEBRERO</t>
  </si>
  <si>
    <t xml:space="preserve">91520000-1</t>
  </si>
  <si>
    <t xml:space="preserve">FUNERARIA DEL HOGAR DE CRISTO LTDA</t>
  </si>
  <si>
    <t xml:space="preserve">65020518-9</t>
  </si>
  <si>
    <t xml:space="preserve">CORPORACION RED DE ALIMENTOS</t>
  </si>
  <si>
    <t xml:space="preserve">NC 476</t>
  </si>
  <si>
    <t xml:space="preserve">76660828-0</t>
  </si>
  <si>
    <t xml:space="preserve">AGENCIA PUNTUAL SPA</t>
  </si>
  <si>
    <t xml:space="preserve">12-6-2026 rebajada contra fact 977</t>
  </si>
  <si>
    <t xml:space="preserve">MARZO</t>
  </si>
  <si>
    <t xml:space="preserve">84383200-8</t>
  </si>
  <si>
    <t xml:space="preserve">GLOBAL MEDIA SPA</t>
  </si>
  <si>
    <t xml:space="preserve">CRUCE CON FA 37503</t>
  </si>
  <si>
    <t xml:space="preserve">12-03-2026 y 13-3-2026</t>
  </si>
  <si>
    <t xml:space="preserve">BCI FACTORING OP 8-4-2026</t>
  </si>
  <si>
    <t xml:space="preserve">nc 479</t>
  </si>
  <si>
    <t xml:space="preserve">nc</t>
  </si>
  <si>
    <t xml:space="preserve">76085514- 6</t>
  </si>
  <si>
    <t xml:space="preserve">AGRICOLA CASAS DEL BOSQUE  LIMITADA</t>
  </si>
  <si>
    <t xml:space="preserve">28-05-2026 y 19-6-2026</t>
  </si>
  <si>
    <t xml:space="preserve">65018149-2</t>
  </si>
  <si>
    <t xml:space="preserve">ASOCIACION GREMIAL DE CANALES REGIONALES DE TELEVISION DE SENAL ABIERTA DE CHILE</t>
  </si>
  <si>
    <t xml:space="preserve">factoring BCI 24-03-2026</t>
  </si>
  <si>
    <t xml:space="preserve">99557160-9</t>
  </si>
  <si>
    <t xml:space="preserve">CINECOLOR FILMS CHILE SPA</t>
  </si>
  <si>
    <t xml:space="preserve">ABRIL</t>
  </si>
  <si>
    <t xml:space="preserve">NC 480</t>
  </si>
  <si>
    <t xml:space="preserve">OP FACTORING BCI 15-4-2026</t>
  </si>
  <si>
    <t xml:space="preserve">76869338-2</t>
  </si>
  <si>
    <t xml:space="preserve">ZANCO SPA</t>
  </si>
  <si>
    <t xml:space="preserve">99538470-1</t>
  </si>
  <si>
    <t xml:space="preserve">PORTALES DE NEGOCIO SA</t>
  </si>
  <si>
    <t xml:space="preserve">CONSTRUCC E INMOB BERSA CERRO COLORADO SA</t>
  </si>
  <si>
    <t xml:space="preserve">NC 481</t>
  </si>
  <si>
    <t xml:space="preserve">96810030-0</t>
  </si>
  <si>
    <t xml:space="preserve">RDF MEDIA SPA</t>
  </si>
  <si>
    <t xml:space="preserve">bci fACTORING OP 29-4-2026</t>
  </si>
  <si>
    <t xml:space="preserve">NC 484-485</t>
  </si>
  <si>
    <t xml:space="preserve">MAYO</t>
  </si>
  <si>
    <t xml:space="preserve">NC 482</t>
  </si>
  <si>
    <t xml:space="preserve">NC 483</t>
  </si>
  <si>
    <t xml:space="preserve">76268685-6</t>
  </si>
  <si>
    <t xml:space="preserve">ALPO CORREDORES DE SEGUROS LIMITADA</t>
  </si>
  <si>
    <t xml:space="preserve">76383990-7</t>
  </si>
  <si>
    <t xml:space="preserve">ABOUTMEDIA PUBLICIDAD Y MARKETING SPA</t>
  </si>
  <si>
    <t xml:space="preserve">76831420-9</t>
  </si>
  <si>
    <t xml:space="preserve">AGENCIA LOS QUILTROS SPA</t>
  </si>
  <si>
    <t xml:space="preserve">bci fACTORING OP 12-5-2026</t>
  </si>
  <si>
    <t xml:space="preserve">op bci factoring 27-5</t>
  </si>
  <si>
    <t xml:space="preserve">69070300- 9</t>
  </si>
  <si>
    <t xml:space="preserve">I MUNICIPALIDAD DE PROVIDENCIA</t>
  </si>
  <si>
    <t xml:space="preserve">confirming</t>
  </si>
  <si>
    <t xml:space="preserve">76552930- 1</t>
  </si>
  <si>
    <t xml:space="preserve">JUNIO</t>
  </si>
  <si>
    <t xml:space="preserve">76047103-8</t>
  </si>
  <si>
    <t xml:space="preserve">GESTION REGIONAL DE MEDIOS S.A.</t>
  </si>
  <si>
    <t xml:space="preserve">78095634-8</t>
  </si>
  <si>
    <t xml:space="preserve">EVERGREEN SPA</t>
  </si>
  <si>
    <t xml:space="preserve">NC 486</t>
  </si>
  <si>
    <t xml:space="preserve">96669520- K</t>
  </si>
  <si>
    <t xml:space="preserve">RED DE TELEVISION CHILEVISION SA</t>
  </si>
  <si>
    <t xml:space="preserve">eConfirming 25-6-2026</t>
  </si>
  <si>
    <t xml:space="preserve">NC 488</t>
  </si>
  <si>
    <t xml:space="preserve">70016160-9</t>
  </si>
  <si>
    <t xml:space="preserve">LA ARAUCANA C C A F</t>
  </si>
  <si>
    <t xml:space="preserve">79947310- 0</t>
  </si>
  <si>
    <t xml:space="preserve">PRISA MEDIA CHILE S.A.</t>
  </si>
  <si>
    <t xml:space="preserve">NC 487</t>
  </si>
  <si>
    <t xml:space="preserve">BCI FACTORING 24-6-2026</t>
  </si>
  <si>
    <t xml:space="preserve">78319760-K</t>
  </si>
  <si>
    <t xml:space="preserve">SOC RADIODIFUSORA FM 102 LIMITADA</t>
  </si>
  <si>
    <t xml:space="preserve">96516560-6</t>
  </si>
  <si>
    <t xml:space="preserve">BIO BIO COMUNICACIONES S A</t>
  </si>
  <si>
    <t xml:space="preserve">77050443-0</t>
  </si>
  <si>
    <t xml:space="preserve">FLESAD CHILE SPA</t>
  </si>
  <si>
    <t xml:space="preserve">CLP</t>
  </si>
  <si>
    <t xml:space="preserve">USD</t>
  </si>
  <si>
    <t xml:space="preserve">PLAYLATAM SPA</t>
  </si>
  <si>
    <t xml:space="preserve">año factura</t>
  </si>
  <si>
    <t xml:space="preserve">saldo</t>
  </si>
  <si>
    <t xml:space="preserve">cubierto (1) en el 2017</t>
  </si>
  <si>
    <t xml:space="preserve">marzo</t>
  </si>
  <si>
    <t xml:space="preserve">julio</t>
  </si>
  <si>
    <t xml:space="preserve">agosto</t>
  </si>
  <si>
    <t xml:space="preserve">noviembre</t>
  </si>
  <si>
    <t xml:space="preserve">saldo cubre facturas 2017</t>
  </si>
  <si>
    <t xml:space="preserve">diciembre</t>
  </si>
  <si>
    <t xml:space="preserve">por abonar (0) en el 2017</t>
  </si>
  <si>
    <t xml:space="preserve">Nota de Credito Electronica</t>
  </si>
  <si>
    <t xml:space="preserve">Documento Emitido</t>
  </si>
  <si>
    <t xml:space="preserve">Factura Electronica</t>
  </si>
  <si>
    <t xml:space="preserve">NOVIEMBRE</t>
  </si>
  <si>
    <t xml:space="preserve">OCTUBRE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</si>
</sst>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0"/>
    <numFmt numFmtId="167" formatCode="0"/>
    <numFmt numFmtId="168" formatCode="_ * #,##0_ ;_ * \-#,##0_ ;_ * \-_ ;_ @_ "/>
    <numFmt numFmtId="169" formatCode="_ \$* #,##0_ ;_ \$* \-#,##0_ ;_ \$* \-_ ;_ @_ "/>
  </numFmts>
  <fonts count="2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0"/>
      <color theme="1"/>
      <name val="Microsoft JhengHei UI Light"/>
      <family val="2"/>
      <charset val="1"/>
    </font>
    <font>
      <b val="true"/>
      <sz val="10"/>
      <color rgb="FF0033CC"/>
      <name val="Microsoft JhengHei UI Light"/>
      <family val="2"/>
      <charset val="1"/>
    </font>
    <font>
      <b val="true"/>
      <sz val="10"/>
      <color rgb="FFFF0000"/>
      <name val="Microsoft JhengHei UI Light"/>
      <family val="2"/>
      <charset val="1"/>
    </font>
    <font>
      <b val="true"/>
      <sz val="10"/>
      <name val="Microsoft JhengHei UI Light"/>
      <family val="2"/>
      <charset val="1"/>
    </font>
    <font>
      <b val="true"/>
      <sz val="11"/>
      <color theme="1"/>
      <name val="Microsoft JhengHei UI Light"/>
      <family val="2"/>
      <charset val="1"/>
    </font>
    <font>
      <b val="true"/>
      <sz val="11"/>
      <color rgb="FFFF0000"/>
      <name val="Microsoft JhengHei UI Light"/>
      <family val="2"/>
      <charset val="1"/>
    </font>
    <font>
      <b val="true"/>
      <sz val="11"/>
      <name val="Microsoft JhengHei UI Light"/>
      <family val="2"/>
      <charset val="1"/>
    </font>
    <font>
      <b val="true"/>
      <sz val="11"/>
      <color rgb="FF002060"/>
      <name val="Calibri"/>
      <family val="2"/>
      <charset val="1"/>
    </font>
    <font>
      <b val="true"/>
      <sz val="10"/>
      <name val="Arial Nova"/>
      <family val="2"/>
      <charset val="1"/>
    </font>
    <font>
      <b val="true"/>
      <sz val="10"/>
      <color rgb="FFFF0000"/>
      <name val="Arial Nova"/>
      <family val="2"/>
      <charset val="1"/>
    </font>
    <font>
      <b val="true"/>
      <sz val="10"/>
      <color theme="1"/>
      <name val="Arial Nova"/>
      <family val="2"/>
      <charset val="1"/>
    </font>
    <font>
      <b val="true"/>
      <sz val="10"/>
      <color rgb="FF0033CC"/>
      <name val="Arial Nova"/>
      <family val="2"/>
      <charset val="1"/>
    </font>
    <font>
      <sz val="11"/>
      <color rgb="FF666666"/>
      <name val="Arial"/>
      <family val="2"/>
      <charset val="1"/>
    </font>
    <font>
      <sz val="11"/>
      <color rgb="FF706F6F"/>
      <name val="Helvetica Neue"/>
      <family val="2"/>
      <charset val="1"/>
    </font>
    <font>
      <sz val="10"/>
      <name val="Arial"/>
      <family val="2"/>
    </font>
    <font>
      <sz val="10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theme="9" tint="0.79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theme="9" tint="0.5999"/>
        <bgColor rgb="FFE2F0D9"/>
      </patternFill>
    </fill>
    <fill>
      <patternFill patternType="solid">
        <fgColor rgb="FF92D050"/>
        <bgColor rgb="FFB2B2B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3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3" borderId="2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3" borderId="2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3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6" borderId="2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3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4" fillId="3" borderId="2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6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7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tas 2" xfId="21"/>
    <cellStyle name="Excel Built-in Comma [0]" xfId="22"/>
    <cellStyle name="Excel Built-in Currency [0]" xfId="23"/>
  </cellStyles>
  <dxfs count="8"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00206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666666"/>
      <rgbColor rgb="FF9999FF"/>
      <rgbColor rgb="FF993366"/>
      <rgbColor rgb="FFFFFFCC"/>
      <rgbColor rgb="FFCCFFFF"/>
      <rgbColor rgb="FF660066"/>
      <rgbColor rgb="FFFF8080"/>
      <rgbColor rgb="FF0066CC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706F6F"/>
      <rgbColor rgb="FF969696"/>
      <rgbColor rgb="FF002060"/>
      <rgbColor rgb="FF339966"/>
      <rgbColor rgb="FF003300"/>
      <rgbColor rgb="FF333300"/>
      <rgbColor rgb="FF993300"/>
      <rgbColor rgb="FF993366"/>
      <rgbColor rgb="FF0033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048576"/>
  <sheetViews>
    <sheetView showFormulas="false" showGridLines="false" showRowColHeaders="true" showZeros="true" rightToLeft="false" tabSelected="true" showOutlineSymbols="true" defaultGridColor="true" view="normal" topLeftCell="A1" colorId="64" zoomScale="93" zoomScaleNormal="93" zoomScalePageLayoutView="100" workbookViewId="0">
      <pane xSplit="0" ySplit="1" topLeftCell="A2" activePane="bottomLeft" state="frozen"/>
      <selection pane="topLeft" activeCell="A1" activeCellId="0" sqref="A1"/>
      <selection pane="bottomLeft" activeCell="A427" activeCellId="0" sqref="A427"/>
    </sheetView>
  </sheetViews>
  <sheetFormatPr defaultColWidth="11.00390625" defaultRowHeight="13.5" customHeight="false" zeroHeight="false" outlineLevelRow="0" outlineLevelCol="0"/>
  <cols>
    <col collapsed="false" customWidth="true" hidden="false" outlineLevel="0" max="1" min="1" style="1" width="14.6"/>
    <col collapsed="false" customWidth="true" hidden="false" outlineLevel="0" max="2" min="2" style="1" width="90.3"/>
    <col collapsed="false" customWidth="true" hidden="false" outlineLevel="0" max="3" min="3" style="2" width="11.79"/>
    <col collapsed="false" customWidth="true" hidden="false" outlineLevel="0" max="4" min="4" style="2" width="20.5"/>
    <col collapsed="false" customWidth="true" hidden="false" outlineLevel="0" max="5" min="5" style="1" width="7"/>
    <col collapsed="false" customWidth="true" hidden="false" outlineLevel="0" max="6" min="6" style="1" width="8.29"/>
    <col collapsed="false" customWidth="true" hidden="false" outlineLevel="0" max="7" min="7" style="3" width="12.5"/>
    <col collapsed="false" customWidth="true" hidden="false" outlineLevel="0" max="8" min="8" style="3" width="14.2"/>
    <col collapsed="false" customWidth="true" hidden="true" outlineLevel="0" max="9" min="9" style="3" width="8.1"/>
    <col collapsed="false" customWidth="true" hidden="false" outlineLevel="0" max="10" min="10" style="4" width="12.4"/>
    <col collapsed="false" customWidth="true" hidden="false" outlineLevel="0" max="11" min="11" style="5" width="0.6"/>
    <col collapsed="false" customWidth="true" hidden="false" outlineLevel="0" max="13" min="12" style="4" width="11.5"/>
    <col collapsed="false" customWidth="true" hidden="false" outlineLevel="0" max="14" min="14" style="1" width="11.4"/>
    <col collapsed="false" customWidth="true" hidden="false" outlineLevel="0" max="15" min="15" style="6" width="8"/>
    <col collapsed="false" customWidth="true" hidden="false" outlineLevel="0" max="16" min="16" style="7" width="16.4"/>
    <col collapsed="false" customWidth="true" hidden="false" outlineLevel="0" max="17" min="17" style="1" width="10.9"/>
    <col collapsed="false" customWidth="true" hidden="false" outlineLevel="0" max="18" min="18" style="1" width="11.7"/>
    <col collapsed="false" customWidth="true" hidden="false" outlineLevel="0" max="19" min="19" style="8" width="31.4"/>
    <col collapsed="false" customWidth="true" hidden="false" outlineLevel="0" max="21" min="20" style="1" width="25.6"/>
    <col collapsed="false" customWidth="true" hidden="false" outlineLevel="0" max="22" min="22" style="1" width="19.7"/>
    <col collapsed="false" customWidth="true" hidden="false" outlineLevel="0" max="23" min="23" style="1" width="20.7"/>
    <col collapsed="false" customWidth="false" hidden="false" outlineLevel="0" max="16384" min="24" style="1" width="11"/>
  </cols>
  <sheetData>
    <row r="1" s="15" customFormat="true" ht="13.8" hidden="false" customHeight="false" outlineLevel="0" collapsed="false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2</v>
      </c>
      <c r="J1" s="9" t="s">
        <v>8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P1" s="11" t="s">
        <v>13</v>
      </c>
      <c r="Q1" s="9" t="s">
        <v>14</v>
      </c>
      <c r="R1" s="9" t="s">
        <v>15</v>
      </c>
      <c r="S1" s="12" t="s">
        <v>16</v>
      </c>
      <c r="T1" s="13" t="s">
        <v>17</v>
      </c>
      <c r="U1" s="13" t="s">
        <v>18</v>
      </c>
      <c r="V1" s="13" t="s">
        <v>19</v>
      </c>
      <c r="W1" s="14" t="s">
        <v>20</v>
      </c>
      <c r="X1" s="14" t="s">
        <v>15</v>
      </c>
      <c r="Y1" s="15" t="s">
        <v>21</v>
      </c>
    </row>
    <row r="2" s="8" customFormat="true" ht="13.5" hidden="false" customHeight="false" outlineLevel="0" collapsed="false">
      <c r="A2" s="16" t="s">
        <v>22</v>
      </c>
      <c r="B2" s="16" t="s">
        <v>23</v>
      </c>
      <c r="C2" s="17"/>
      <c r="D2" s="17"/>
      <c r="E2" s="16" t="s">
        <v>24</v>
      </c>
      <c r="F2" s="16" t="n">
        <v>4592</v>
      </c>
      <c r="G2" s="18" t="n">
        <v>45994</v>
      </c>
      <c r="H2" s="18" t="n">
        <f aca="false">+G2+30</f>
        <v>46024</v>
      </c>
      <c r="I2" s="18"/>
      <c r="J2" s="19" t="n">
        <v>13589949</v>
      </c>
      <c r="K2" s="19" t="n">
        <f aca="false">+J2</f>
        <v>13589949</v>
      </c>
      <c r="L2" s="19" t="n">
        <f aca="false">+J2/1.19</f>
        <v>11420125.210084</v>
      </c>
      <c r="M2" s="19" t="n">
        <f aca="false">+L2*19%</f>
        <v>2169823.78991597</v>
      </c>
      <c r="N2" s="16" t="s">
        <v>25</v>
      </c>
      <c r="O2" s="20" t="n">
        <v>2025</v>
      </c>
      <c r="P2" s="21" t="n">
        <f aca="false">+J2</f>
        <v>13589949</v>
      </c>
      <c r="Q2" s="19" t="n">
        <f aca="false">+J2-P2</f>
        <v>0</v>
      </c>
      <c r="R2" s="22" t="str">
        <f aca="false">IF(J2-P2=0,"PAGADA","PENDIENTE")</f>
        <v>PAGADA</v>
      </c>
      <c r="S2" s="18" t="n">
        <v>46030</v>
      </c>
      <c r="T2" s="16"/>
      <c r="U2" s="16"/>
      <c r="V2" s="16"/>
      <c r="W2" s="16"/>
      <c r="X2" s="16"/>
    </row>
    <row r="3" s="8" customFormat="true" ht="13.5" hidden="false" customHeight="false" outlineLevel="0" collapsed="false">
      <c r="A3" s="16" t="s">
        <v>22</v>
      </c>
      <c r="B3" s="16" t="s">
        <v>23</v>
      </c>
      <c r="C3" s="17"/>
      <c r="D3" s="17"/>
      <c r="E3" s="16" t="s">
        <v>24</v>
      </c>
      <c r="F3" s="16" t="n">
        <v>4593</v>
      </c>
      <c r="G3" s="18" t="n">
        <v>45994</v>
      </c>
      <c r="H3" s="18" t="n">
        <f aca="false">+G3+30</f>
        <v>46024</v>
      </c>
      <c r="I3" s="18"/>
      <c r="J3" s="19" t="n">
        <v>10077552</v>
      </c>
      <c r="K3" s="19" t="n">
        <f aca="false">+J3</f>
        <v>10077552</v>
      </c>
      <c r="L3" s="19" t="n">
        <f aca="false">+J3/1.19</f>
        <v>8468531.09243698</v>
      </c>
      <c r="M3" s="19" t="n">
        <f aca="false">+L3*19%</f>
        <v>1609020.90756303</v>
      </c>
      <c r="N3" s="16" t="s">
        <v>25</v>
      </c>
      <c r="O3" s="20" t="n">
        <v>2025</v>
      </c>
      <c r="P3" s="21" t="n">
        <f aca="false">+J3</f>
        <v>10077552</v>
      </c>
      <c r="Q3" s="19" t="n">
        <f aca="false">+J3-P3</f>
        <v>0</v>
      </c>
      <c r="R3" s="22" t="str">
        <f aca="false">IF(J3-P3=0,"PAGADA","PENDIENTE")</f>
        <v>PAGADA</v>
      </c>
      <c r="S3" s="18" t="n">
        <v>46030</v>
      </c>
      <c r="T3" s="16"/>
      <c r="U3" s="16"/>
      <c r="V3" s="16"/>
      <c r="W3" s="16"/>
      <c r="X3" s="16"/>
    </row>
    <row r="4" s="8" customFormat="true" ht="13.5" hidden="false" customHeight="false" outlineLevel="0" collapsed="false">
      <c r="A4" s="16" t="s">
        <v>22</v>
      </c>
      <c r="B4" s="16" t="s">
        <v>23</v>
      </c>
      <c r="C4" s="17"/>
      <c r="D4" s="17"/>
      <c r="E4" s="16" t="s">
        <v>24</v>
      </c>
      <c r="F4" s="16" t="n">
        <v>4594</v>
      </c>
      <c r="G4" s="18" t="n">
        <v>45994</v>
      </c>
      <c r="H4" s="18" t="n">
        <f aca="false">+G4+30</f>
        <v>46024</v>
      </c>
      <c r="I4" s="18"/>
      <c r="J4" s="19" t="n">
        <v>5281653</v>
      </c>
      <c r="K4" s="19" t="n">
        <f aca="false">+J4</f>
        <v>5281653</v>
      </c>
      <c r="L4" s="19" t="n">
        <f aca="false">+J4/1.19</f>
        <v>4438363.86554622</v>
      </c>
      <c r="M4" s="19" t="n">
        <f aca="false">+L4*19%</f>
        <v>843289.134453782</v>
      </c>
      <c r="N4" s="16" t="s">
        <v>25</v>
      </c>
      <c r="O4" s="20" t="n">
        <v>2025</v>
      </c>
      <c r="P4" s="21" t="n">
        <f aca="false">+J4</f>
        <v>5281653</v>
      </c>
      <c r="Q4" s="19" t="n">
        <f aca="false">+J4-P4</f>
        <v>0</v>
      </c>
      <c r="R4" s="22" t="str">
        <f aca="false">IF(J4-P4=0,"PAGADA","PENDIENTE")</f>
        <v>PAGADA</v>
      </c>
      <c r="S4" s="18" t="n">
        <v>46030</v>
      </c>
      <c r="T4" s="16"/>
      <c r="U4" s="16"/>
      <c r="V4" s="16"/>
      <c r="W4" s="16"/>
      <c r="X4" s="16"/>
    </row>
    <row r="5" s="8" customFormat="true" ht="13.5" hidden="false" customHeight="false" outlineLevel="0" collapsed="false">
      <c r="A5" s="16" t="s">
        <v>22</v>
      </c>
      <c r="B5" s="16" t="s">
        <v>23</v>
      </c>
      <c r="C5" s="17"/>
      <c r="D5" s="17"/>
      <c r="E5" s="16" t="s">
        <v>24</v>
      </c>
      <c r="F5" s="16" t="n">
        <v>4596</v>
      </c>
      <c r="G5" s="18" t="n">
        <v>45994</v>
      </c>
      <c r="H5" s="18" t="n">
        <f aca="false">+G5+30</f>
        <v>46024</v>
      </c>
      <c r="I5" s="18"/>
      <c r="J5" s="19" t="n">
        <v>122534</v>
      </c>
      <c r="K5" s="19" t="n">
        <f aca="false">+J5</f>
        <v>122534</v>
      </c>
      <c r="L5" s="19" t="n">
        <f aca="false">+J5/1.19</f>
        <v>102969.74789916</v>
      </c>
      <c r="M5" s="19" t="n">
        <f aca="false">+L5*19%</f>
        <v>19564.2521008403</v>
      </c>
      <c r="N5" s="16" t="s">
        <v>25</v>
      </c>
      <c r="O5" s="20" t="n">
        <v>2025</v>
      </c>
      <c r="P5" s="21" t="n">
        <f aca="false">+J5</f>
        <v>122534</v>
      </c>
      <c r="Q5" s="19" t="n">
        <f aca="false">+J5-P5</f>
        <v>0</v>
      </c>
      <c r="R5" s="22" t="str">
        <f aca="false">IF(J5-P5=0,"PAGADA","PENDIENTE")</f>
        <v>PAGADA</v>
      </c>
      <c r="S5" s="18" t="n">
        <v>46030</v>
      </c>
      <c r="T5" s="16"/>
      <c r="U5" s="16"/>
      <c r="V5" s="16"/>
      <c r="W5" s="16"/>
      <c r="X5" s="16"/>
    </row>
    <row r="6" s="8" customFormat="true" ht="13.5" hidden="false" customHeight="false" outlineLevel="0" collapsed="false">
      <c r="A6" s="16" t="s">
        <v>22</v>
      </c>
      <c r="B6" s="16" t="s">
        <v>23</v>
      </c>
      <c r="C6" s="17"/>
      <c r="D6" s="17"/>
      <c r="E6" s="16" t="s">
        <v>24</v>
      </c>
      <c r="F6" s="16" t="n">
        <v>4597</v>
      </c>
      <c r="G6" s="18" t="n">
        <v>45994</v>
      </c>
      <c r="H6" s="18" t="n">
        <f aca="false">+G6+30</f>
        <v>46024</v>
      </c>
      <c r="I6" s="18"/>
      <c r="J6" s="19" t="n">
        <v>2871815</v>
      </c>
      <c r="K6" s="19" t="n">
        <f aca="false">+J6</f>
        <v>2871815</v>
      </c>
      <c r="L6" s="19" t="n">
        <f aca="false">+J6/1.19</f>
        <v>2413289.91596639</v>
      </c>
      <c r="M6" s="19" t="n">
        <f aca="false">+L6*19%</f>
        <v>458525.084033613</v>
      </c>
      <c r="N6" s="16" t="s">
        <v>25</v>
      </c>
      <c r="O6" s="20" t="n">
        <v>2025</v>
      </c>
      <c r="P6" s="21" t="n">
        <f aca="false">+J6</f>
        <v>2871815</v>
      </c>
      <c r="Q6" s="19" t="n">
        <f aca="false">+J6-P6</f>
        <v>0</v>
      </c>
      <c r="R6" s="22" t="str">
        <f aca="false">IF(J6-P6=0,"PAGADA","PENDIENTE")</f>
        <v>PAGADA</v>
      </c>
      <c r="S6" s="18" t="n">
        <v>46030</v>
      </c>
      <c r="T6" s="16"/>
      <c r="U6" s="16"/>
      <c r="V6" s="16"/>
      <c r="W6" s="16"/>
      <c r="X6" s="16"/>
    </row>
    <row r="7" s="8" customFormat="true" ht="13.5" hidden="false" customHeight="false" outlineLevel="0" collapsed="false">
      <c r="A7" s="16" t="s">
        <v>22</v>
      </c>
      <c r="B7" s="16" t="s">
        <v>23</v>
      </c>
      <c r="C7" s="17"/>
      <c r="D7" s="17"/>
      <c r="E7" s="16" t="s">
        <v>24</v>
      </c>
      <c r="F7" s="16" t="n">
        <v>4598</v>
      </c>
      <c r="G7" s="18" t="n">
        <v>45994</v>
      </c>
      <c r="H7" s="18" t="n">
        <f aca="false">+G7+30</f>
        <v>46024</v>
      </c>
      <c r="I7" s="18"/>
      <c r="J7" s="19" t="n">
        <v>219555</v>
      </c>
      <c r="K7" s="19" t="n">
        <f aca="false">+J7</f>
        <v>219555</v>
      </c>
      <c r="L7" s="19" t="n">
        <f aca="false">+J7/1.19</f>
        <v>184500</v>
      </c>
      <c r="M7" s="19" t="n">
        <f aca="false">+L7*19%</f>
        <v>35055</v>
      </c>
      <c r="N7" s="16" t="s">
        <v>25</v>
      </c>
      <c r="O7" s="20" t="n">
        <v>2025</v>
      </c>
      <c r="P7" s="21" t="n">
        <f aca="false">+J7</f>
        <v>219555</v>
      </c>
      <c r="Q7" s="19" t="n">
        <f aca="false">+J7-P7</f>
        <v>0</v>
      </c>
      <c r="R7" s="22" t="str">
        <f aca="false">IF(J7-P7=0,"PAGADA","PENDIENTE")</f>
        <v>PAGADA</v>
      </c>
      <c r="S7" s="18" t="n">
        <v>46030</v>
      </c>
      <c r="T7" s="16"/>
      <c r="U7" s="16"/>
      <c r="V7" s="16"/>
      <c r="W7" s="16"/>
      <c r="X7" s="16"/>
    </row>
    <row r="8" s="8" customFormat="true" ht="13.5" hidden="false" customHeight="false" outlineLevel="0" collapsed="false">
      <c r="A8" s="16" t="s">
        <v>22</v>
      </c>
      <c r="B8" s="16" t="s">
        <v>23</v>
      </c>
      <c r="C8" s="17"/>
      <c r="D8" s="17"/>
      <c r="E8" s="16" t="s">
        <v>24</v>
      </c>
      <c r="F8" s="16" t="n">
        <v>4595</v>
      </c>
      <c r="G8" s="18" t="n">
        <v>45994</v>
      </c>
      <c r="H8" s="18" t="n">
        <f aca="false">+G8+30</f>
        <v>46024</v>
      </c>
      <c r="I8" s="18"/>
      <c r="J8" s="19" t="n">
        <v>8825040</v>
      </c>
      <c r="K8" s="19" t="n">
        <f aca="false">+J8</f>
        <v>8825040</v>
      </c>
      <c r="L8" s="19" t="n">
        <f aca="false">+J8/1.19</f>
        <v>7416000</v>
      </c>
      <c r="M8" s="19" t="n">
        <f aca="false">+L8*19%</f>
        <v>1409040</v>
      </c>
      <c r="N8" s="16" t="s">
        <v>25</v>
      </c>
      <c r="O8" s="20" t="n">
        <v>2025</v>
      </c>
      <c r="P8" s="21" t="n">
        <f aca="false">+J8</f>
        <v>8825040</v>
      </c>
      <c r="Q8" s="19" t="n">
        <f aca="false">+J8-P8</f>
        <v>0</v>
      </c>
      <c r="R8" s="22" t="str">
        <f aca="false">IF(J8-P8=0,"PAGADA","PENDIENTE")</f>
        <v>PAGADA</v>
      </c>
      <c r="S8" s="18" t="n">
        <v>46036</v>
      </c>
      <c r="T8" s="16"/>
      <c r="U8" s="16"/>
      <c r="V8" s="16"/>
      <c r="W8" s="16"/>
      <c r="X8" s="16"/>
    </row>
    <row r="9" s="8" customFormat="true" ht="13.5" hidden="false" customHeight="false" outlineLevel="0" collapsed="false">
      <c r="A9" s="16" t="s">
        <v>22</v>
      </c>
      <c r="B9" s="16" t="s">
        <v>23</v>
      </c>
      <c r="C9" s="17"/>
      <c r="D9" s="17"/>
      <c r="E9" s="16" t="s">
        <v>24</v>
      </c>
      <c r="F9" s="16" t="n">
        <v>4599</v>
      </c>
      <c r="G9" s="18" t="n">
        <v>45994</v>
      </c>
      <c r="H9" s="18" t="n">
        <f aca="false">+G9+30</f>
        <v>46024</v>
      </c>
      <c r="I9" s="18"/>
      <c r="J9" s="19" t="n">
        <v>15087225</v>
      </c>
      <c r="K9" s="19" t="n">
        <f aca="false">+J9</f>
        <v>15087225</v>
      </c>
      <c r="L9" s="19" t="n">
        <f aca="false">+J9/1.19</f>
        <v>12678340.3361345</v>
      </c>
      <c r="M9" s="19" t="n">
        <f aca="false">+L9*19%</f>
        <v>2408884.66386555</v>
      </c>
      <c r="N9" s="16" t="s">
        <v>25</v>
      </c>
      <c r="O9" s="20" t="n">
        <v>2025</v>
      </c>
      <c r="P9" s="21" t="n">
        <f aca="false">+J9</f>
        <v>15087225</v>
      </c>
      <c r="Q9" s="19" t="n">
        <f aca="false">+J9-P9</f>
        <v>0</v>
      </c>
      <c r="R9" s="22" t="str">
        <f aca="false">IF(J9-P9=0,"PAGADA","PENDIENTE")</f>
        <v>PAGADA</v>
      </c>
      <c r="S9" s="18" t="n">
        <v>46036</v>
      </c>
      <c r="T9" s="16"/>
      <c r="U9" s="16"/>
      <c r="V9" s="16"/>
      <c r="W9" s="16"/>
      <c r="X9" s="16"/>
    </row>
    <row r="10" s="8" customFormat="true" ht="13.5" hidden="false" customHeight="false" outlineLevel="0" collapsed="false">
      <c r="A10" s="16" t="s">
        <v>22</v>
      </c>
      <c r="B10" s="16" t="s">
        <v>23</v>
      </c>
      <c r="C10" s="17"/>
      <c r="D10" s="23"/>
      <c r="E10" s="16" t="s">
        <v>24</v>
      </c>
      <c r="F10" s="16" t="n">
        <v>4623</v>
      </c>
      <c r="G10" s="18" t="n">
        <v>45995</v>
      </c>
      <c r="H10" s="18" t="n">
        <f aca="false">+G10+30</f>
        <v>46025</v>
      </c>
      <c r="I10" s="18"/>
      <c r="J10" s="19" t="n">
        <v>385560</v>
      </c>
      <c r="K10" s="19" t="n">
        <f aca="false">+J10</f>
        <v>385560</v>
      </c>
      <c r="L10" s="19" t="n">
        <f aca="false">+J10/1.19</f>
        <v>324000</v>
      </c>
      <c r="M10" s="19" t="n">
        <f aca="false">+L10*19%</f>
        <v>61560</v>
      </c>
      <c r="N10" s="16" t="s">
        <v>25</v>
      </c>
      <c r="O10" s="20" t="n">
        <v>2025</v>
      </c>
      <c r="P10" s="21" t="n">
        <f aca="false">+J10</f>
        <v>385560</v>
      </c>
      <c r="Q10" s="19" t="n">
        <f aca="false">+J10-P10</f>
        <v>0</v>
      </c>
      <c r="R10" s="22" t="str">
        <f aca="false">IF(J10-P10=0,"PAGADA","PENDIENTE")</f>
        <v>PAGADA</v>
      </c>
      <c r="S10" s="18" t="n">
        <v>46030</v>
      </c>
      <c r="T10" s="16"/>
      <c r="U10" s="16"/>
      <c r="V10" s="16"/>
      <c r="W10" s="16"/>
      <c r="X10" s="16"/>
    </row>
    <row r="11" s="8" customFormat="true" ht="13.5" hidden="false" customHeight="false" outlineLevel="0" collapsed="false">
      <c r="A11" s="16" t="s">
        <v>26</v>
      </c>
      <c r="B11" s="16" t="s">
        <v>27</v>
      </c>
      <c r="C11" s="17"/>
      <c r="D11" s="17"/>
      <c r="E11" s="16" t="s">
        <v>24</v>
      </c>
      <c r="F11" s="16" t="n">
        <v>4608</v>
      </c>
      <c r="G11" s="18" t="n">
        <v>45995</v>
      </c>
      <c r="H11" s="18" t="n">
        <f aca="false">+G11+30</f>
        <v>46025</v>
      </c>
      <c r="I11" s="18"/>
      <c r="J11" s="19" t="n">
        <v>8684546</v>
      </c>
      <c r="K11" s="19" t="n">
        <f aca="false">+J11</f>
        <v>8684546</v>
      </c>
      <c r="L11" s="19" t="n">
        <f aca="false">+J11/1.19</f>
        <v>7297937.81512605</v>
      </c>
      <c r="M11" s="19" t="n">
        <f aca="false">+L11*19%</f>
        <v>1386608.18487395</v>
      </c>
      <c r="N11" s="16" t="s">
        <v>25</v>
      </c>
      <c r="O11" s="20" t="n">
        <v>2025</v>
      </c>
      <c r="P11" s="21" t="n">
        <f aca="false">+J11</f>
        <v>8684546</v>
      </c>
      <c r="Q11" s="19" t="n">
        <f aca="false">+J11-P11</f>
        <v>0</v>
      </c>
      <c r="R11" s="22" t="str">
        <f aca="false">IF(J11-P11=0,"PAGADA","PENDIENTE")</f>
        <v>PAGADA</v>
      </c>
      <c r="S11" s="18" t="n">
        <v>46031</v>
      </c>
      <c r="T11" s="16"/>
      <c r="U11" s="16"/>
      <c r="V11" s="16"/>
      <c r="W11" s="16"/>
      <c r="X11" s="16"/>
    </row>
    <row r="12" s="8" customFormat="true" ht="13.5" hidden="false" customHeight="false" outlineLevel="0" collapsed="false">
      <c r="A12" s="16" t="s">
        <v>26</v>
      </c>
      <c r="B12" s="16" t="s">
        <v>27</v>
      </c>
      <c r="C12" s="17"/>
      <c r="D12" s="17"/>
      <c r="E12" s="16" t="s">
        <v>24</v>
      </c>
      <c r="F12" s="16" t="n">
        <v>4609</v>
      </c>
      <c r="G12" s="18" t="n">
        <v>45995</v>
      </c>
      <c r="H12" s="18" t="n">
        <f aca="false">+G12+30</f>
        <v>46025</v>
      </c>
      <c r="I12" s="18"/>
      <c r="J12" s="19" t="n">
        <v>390804</v>
      </c>
      <c r="K12" s="19" t="n">
        <f aca="false">+J12</f>
        <v>390804</v>
      </c>
      <c r="L12" s="19" t="n">
        <f aca="false">+J12/1.19</f>
        <v>328406.722689076</v>
      </c>
      <c r="M12" s="19" t="n">
        <f aca="false">+L12*19%</f>
        <v>62397.2773109244</v>
      </c>
      <c r="N12" s="16" t="s">
        <v>25</v>
      </c>
      <c r="O12" s="20" t="n">
        <v>2025</v>
      </c>
      <c r="P12" s="21" t="n">
        <f aca="false">+J12</f>
        <v>390804</v>
      </c>
      <c r="Q12" s="19" t="n">
        <f aca="false">+J12-P12</f>
        <v>0</v>
      </c>
      <c r="R12" s="22" t="str">
        <f aca="false">IF(J12-P12=0,"PAGADA","PENDIENTE")</f>
        <v>PAGADA</v>
      </c>
      <c r="S12" s="18" t="n">
        <v>46031</v>
      </c>
      <c r="T12" s="16"/>
      <c r="U12" s="16"/>
      <c r="V12" s="16"/>
      <c r="W12" s="16"/>
      <c r="X12" s="16"/>
    </row>
    <row r="13" s="8" customFormat="true" ht="13.5" hidden="false" customHeight="false" outlineLevel="0" collapsed="false">
      <c r="A13" s="16" t="s">
        <v>26</v>
      </c>
      <c r="B13" s="16" t="s">
        <v>27</v>
      </c>
      <c r="C13" s="17"/>
      <c r="D13" s="17"/>
      <c r="E13" s="16" t="s">
        <v>24</v>
      </c>
      <c r="F13" s="16" t="n">
        <v>4610</v>
      </c>
      <c r="G13" s="18" t="n">
        <v>45995</v>
      </c>
      <c r="H13" s="18" t="n">
        <f aca="false">+G13+30</f>
        <v>46025</v>
      </c>
      <c r="I13" s="18"/>
      <c r="J13" s="19" t="n">
        <v>1189085</v>
      </c>
      <c r="K13" s="19" t="n">
        <f aca="false">+J13</f>
        <v>1189085</v>
      </c>
      <c r="L13" s="19" t="n">
        <f aca="false">+J13/1.19</f>
        <v>999231.092436975</v>
      </c>
      <c r="M13" s="19" t="n">
        <f aca="false">+L13*19%</f>
        <v>189853.907563025</v>
      </c>
      <c r="N13" s="16" t="s">
        <v>25</v>
      </c>
      <c r="O13" s="20" t="n">
        <v>2025</v>
      </c>
      <c r="P13" s="21" t="n">
        <f aca="false">+J13</f>
        <v>1189085</v>
      </c>
      <c r="Q13" s="19" t="n">
        <f aca="false">+J13-P13</f>
        <v>0</v>
      </c>
      <c r="R13" s="22" t="str">
        <f aca="false">IF(J13-P13=0,"PAGADA","PENDIENTE")</f>
        <v>PAGADA</v>
      </c>
      <c r="S13" s="18" t="n">
        <v>46031</v>
      </c>
      <c r="T13" s="16"/>
      <c r="U13" s="16"/>
      <c r="V13" s="16"/>
      <c r="W13" s="16"/>
      <c r="X13" s="16"/>
    </row>
    <row r="14" s="8" customFormat="true" ht="13.5" hidden="false" customHeight="false" outlineLevel="0" collapsed="false">
      <c r="A14" s="16" t="s">
        <v>26</v>
      </c>
      <c r="B14" s="16" t="s">
        <v>27</v>
      </c>
      <c r="C14" s="17"/>
      <c r="D14" s="17"/>
      <c r="E14" s="16" t="s">
        <v>24</v>
      </c>
      <c r="F14" s="16" t="n">
        <v>4611</v>
      </c>
      <c r="G14" s="18" t="n">
        <v>45995</v>
      </c>
      <c r="H14" s="18" t="n">
        <f aca="false">+G14+30</f>
        <v>46025</v>
      </c>
      <c r="I14" s="18"/>
      <c r="J14" s="19" t="n">
        <v>53508</v>
      </c>
      <c r="K14" s="19" t="n">
        <f aca="false">+J14</f>
        <v>53508</v>
      </c>
      <c r="L14" s="19" t="n">
        <f aca="false">+J14/1.19</f>
        <v>44964.7058823529</v>
      </c>
      <c r="M14" s="19" t="n">
        <f aca="false">+L14*19%</f>
        <v>8543.29411764706</v>
      </c>
      <c r="N14" s="16" t="s">
        <v>25</v>
      </c>
      <c r="O14" s="20" t="n">
        <v>2025</v>
      </c>
      <c r="P14" s="21" t="n">
        <f aca="false">+J14</f>
        <v>53508</v>
      </c>
      <c r="Q14" s="19" t="n">
        <f aca="false">+J14-P14</f>
        <v>0</v>
      </c>
      <c r="R14" s="22" t="str">
        <f aca="false">IF(J14-P14=0,"PAGADA","PENDIENTE")</f>
        <v>PAGADA</v>
      </c>
      <c r="S14" s="18" t="n">
        <v>46031</v>
      </c>
      <c r="T14" s="16"/>
      <c r="U14" s="16"/>
      <c r="V14" s="16"/>
      <c r="W14" s="16"/>
      <c r="X14" s="16"/>
    </row>
    <row r="15" s="8" customFormat="true" ht="13.5" hidden="false" customHeight="false" outlineLevel="0" collapsed="false">
      <c r="A15" s="16" t="s">
        <v>26</v>
      </c>
      <c r="B15" s="16" t="s">
        <v>27</v>
      </c>
      <c r="C15" s="17"/>
      <c r="D15" s="17"/>
      <c r="E15" s="16" t="s">
        <v>24</v>
      </c>
      <c r="F15" s="16" t="n">
        <v>4612</v>
      </c>
      <c r="G15" s="18" t="n">
        <v>45995</v>
      </c>
      <c r="H15" s="18" t="n">
        <f aca="false">+G15+30</f>
        <v>46025</v>
      </c>
      <c r="I15" s="18"/>
      <c r="J15" s="19" t="n">
        <v>1190000</v>
      </c>
      <c r="K15" s="19" t="n">
        <f aca="false">+J15</f>
        <v>1190000</v>
      </c>
      <c r="L15" s="19" t="n">
        <f aca="false">+J15/1.19</f>
        <v>1000000</v>
      </c>
      <c r="M15" s="19" t="n">
        <f aca="false">+L15*19%</f>
        <v>190000</v>
      </c>
      <c r="N15" s="16" t="s">
        <v>25</v>
      </c>
      <c r="O15" s="20" t="n">
        <v>2025</v>
      </c>
      <c r="P15" s="21" t="n">
        <f aca="false">+J15</f>
        <v>1190000</v>
      </c>
      <c r="Q15" s="19" t="n">
        <f aca="false">+J15-P15</f>
        <v>0</v>
      </c>
      <c r="R15" s="22" t="str">
        <f aca="false">IF(J15-P15=0,"PAGADA","PENDIENTE")</f>
        <v>PAGADA</v>
      </c>
      <c r="S15" s="18" t="n">
        <v>46031</v>
      </c>
      <c r="T15" s="16"/>
      <c r="U15" s="16"/>
      <c r="V15" s="16"/>
      <c r="W15" s="16"/>
      <c r="X15" s="16"/>
    </row>
    <row r="16" s="8" customFormat="true" ht="13.5" hidden="false" customHeight="false" outlineLevel="0" collapsed="false">
      <c r="A16" s="16" t="s">
        <v>26</v>
      </c>
      <c r="B16" s="16" t="s">
        <v>27</v>
      </c>
      <c r="C16" s="17"/>
      <c r="D16" s="17"/>
      <c r="E16" s="16" t="s">
        <v>24</v>
      </c>
      <c r="F16" s="16" t="n">
        <v>4613</v>
      </c>
      <c r="G16" s="18" t="n">
        <v>45995</v>
      </c>
      <c r="H16" s="18" t="n">
        <f aca="false">+G16+30</f>
        <v>46025</v>
      </c>
      <c r="I16" s="18"/>
      <c r="J16" s="19" t="n">
        <v>53550</v>
      </c>
      <c r="K16" s="19" t="n">
        <f aca="false">+J16</f>
        <v>53550</v>
      </c>
      <c r="L16" s="19" t="n">
        <f aca="false">+J16/1.19</f>
        <v>45000</v>
      </c>
      <c r="M16" s="19" t="n">
        <f aca="false">+L16*19%</f>
        <v>8550</v>
      </c>
      <c r="N16" s="16" t="s">
        <v>25</v>
      </c>
      <c r="O16" s="20" t="n">
        <v>2025</v>
      </c>
      <c r="P16" s="21" t="n">
        <f aca="false">+J16</f>
        <v>53550</v>
      </c>
      <c r="Q16" s="19" t="n">
        <f aca="false">+J16-P16</f>
        <v>0</v>
      </c>
      <c r="R16" s="22" t="str">
        <f aca="false">IF(J16-P16=0,"PAGADA","PENDIENTE")</f>
        <v>PAGADA</v>
      </c>
      <c r="S16" s="18" t="n">
        <v>46031</v>
      </c>
      <c r="T16" s="16"/>
      <c r="U16" s="16"/>
      <c r="V16" s="16"/>
      <c r="W16" s="16"/>
      <c r="X16" s="16"/>
    </row>
    <row r="17" s="8" customFormat="true" ht="13.5" hidden="false" customHeight="false" outlineLevel="0" collapsed="false">
      <c r="A17" s="16" t="s">
        <v>28</v>
      </c>
      <c r="B17" s="16" t="s">
        <v>29</v>
      </c>
      <c r="C17" s="17"/>
      <c r="D17" s="17"/>
      <c r="E17" s="16" t="s">
        <v>24</v>
      </c>
      <c r="F17" s="16" t="n">
        <v>4618</v>
      </c>
      <c r="G17" s="18" t="n">
        <v>45995</v>
      </c>
      <c r="H17" s="18" t="n">
        <f aca="false">+G17+30</f>
        <v>46025</v>
      </c>
      <c r="I17" s="18"/>
      <c r="J17" s="19" t="n">
        <v>66592346</v>
      </c>
      <c r="K17" s="19" t="n">
        <f aca="false">+J17</f>
        <v>66592346</v>
      </c>
      <c r="L17" s="19" t="n">
        <f aca="false">+J17/1.19</f>
        <v>55959954.6218487</v>
      </c>
      <c r="M17" s="19" t="n">
        <f aca="false">+L17*19%</f>
        <v>10632391.3781513</v>
      </c>
      <c r="N17" s="16" t="s">
        <v>25</v>
      </c>
      <c r="O17" s="20" t="n">
        <v>2025</v>
      </c>
      <c r="P17" s="21" t="n">
        <f aca="false">+J17</f>
        <v>66592346</v>
      </c>
      <c r="Q17" s="19" t="n">
        <f aca="false">+J17-P17</f>
        <v>0</v>
      </c>
      <c r="R17" s="22" t="str">
        <f aca="false">IF(J17-P17=0,"PAGADA","PENDIENTE")</f>
        <v>PAGADA</v>
      </c>
      <c r="S17" s="18" t="n">
        <v>46013</v>
      </c>
      <c r="T17" s="16"/>
      <c r="U17" s="16"/>
      <c r="V17" s="16"/>
      <c r="W17" s="16"/>
      <c r="X17" s="16"/>
    </row>
    <row r="18" s="8" customFormat="true" ht="13.5" hidden="false" customHeight="false" outlineLevel="0" collapsed="false">
      <c r="A18" s="16" t="s">
        <v>30</v>
      </c>
      <c r="B18" s="16" t="s">
        <v>31</v>
      </c>
      <c r="C18" s="17"/>
      <c r="D18" s="17"/>
      <c r="E18" s="16" t="s">
        <v>24</v>
      </c>
      <c r="F18" s="16" t="n">
        <v>4600</v>
      </c>
      <c r="G18" s="18" t="n">
        <v>45995</v>
      </c>
      <c r="H18" s="18" t="n">
        <f aca="false">+G18+30</f>
        <v>46025</v>
      </c>
      <c r="I18" s="18"/>
      <c r="J18" s="19" t="n">
        <v>731764</v>
      </c>
      <c r="K18" s="19" t="n">
        <f aca="false">+J18</f>
        <v>731764</v>
      </c>
      <c r="L18" s="19" t="n">
        <f aca="false">+J18/1.19</f>
        <v>614927.731092437</v>
      </c>
      <c r="M18" s="19" t="n">
        <f aca="false">+L18*19%</f>
        <v>116836.268907563</v>
      </c>
      <c r="N18" s="16" t="s">
        <v>25</v>
      </c>
      <c r="O18" s="20" t="n">
        <v>2025</v>
      </c>
      <c r="P18" s="21" t="n">
        <f aca="false">+J18</f>
        <v>731764</v>
      </c>
      <c r="Q18" s="19" t="n">
        <f aca="false">+J18-P18</f>
        <v>0</v>
      </c>
      <c r="R18" s="22" t="str">
        <f aca="false">IF(J18-P18=0,"PAGADA","PENDIENTE")</f>
        <v>PAGADA</v>
      </c>
      <c r="S18" s="18" t="n">
        <v>46021</v>
      </c>
      <c r="T18" s="16"/>
      <c r="U18" s="16"/>
      <c r="V18" s="16"/>
      <c r="W18" s="16"/>
      <c r="X18" s="16"/>
    </row>
    <row r="19" s="8" customFormat="true" ht="13.5" hidden="false" customHeight="false" outlineLevel="0" collapsed="false">
      <c r="A19" s="16" t="s">
        <v>30</v>
      </c>
      <c r="B19" s="16" t="s">
        <v>31</v>
      </c>
      <c r="C19" s="17"/>
      <c r="D19" s="17"/>
      <c r="E19" s="16" t="s">
        <v>24</v>
      </c>
      <c r="F19" s="16" t="n">
        <v>4601</v>
      </c>
      <c r="G19" s="18" t="n">
        <v>45995</v>
      </c>
      <c r="H19" s="18" t="n">
        <f aca="false">+G19+30</f>
        <v>46025</v>
      </c>
      <c r="I19" s="18"/>
      <c r="J19" s="19" t="n">
        <v>4018432</v>
      </c>
      <c r="K19" s="19" t="n">
        <f aca="false">+J19</f>
        <v>4018432</v>
      </c>
      <c r="L19" s="19" t="n">
        <f aca="false">+J19/1.19</f>
        <v>3376833.61344538</v>
      </c>
      <c r="M19" s="19" t="n">
        <f aca="false">+L19*19%</f>
        <v>641598.386554622</v>
      </c>
      <c r="N19" s="16" t="s">
        <v>25</v>
      </c>
      <c r="O19" s="20" t="n">
        <v>2025</v>
      </c>
      <c r="P19" s="21" t="n">
        <f aca="false">+J19</f>
        <v>4018432</v>
      </c>
      <c r="Q19" s="19" t="n">
        <f aca="false">+J19-P19</f>
        <v>0</v>
      </c>
      <c r="R19" s="22" t="str">
        <f aca="false">IF(J19-P19=0,"PAGADA","PENDIENTE")</f>
        <v>PAGADA</v>
      </c>
      <c r="S19" s="18" t="n">
        <v>46021</v>
      </c>
      <c r="T19" s="16"/>
      <c r="U19" s="16"/>
      <c r="V19" s="16"/>
      <c r="W19" s="16"/>
      <c r="X19" s="16"/>
    </row>
    <row r="20" s="8" customFormat="true" ht="13.5" hidden="false" customHeight="false" outlineLevel="0" collapsed="false">
      <c r="A20" s="16" t="s">
        <v>30</v>
      </c>
      <c r="B20" s="16" t="s">
        <v>31</v>
      </c>
      <c r="C20" s="17"/>
      <c r="D20" s="17"/>
      <c r="E20" s="16" t="s">
        <v>24</v>
      </c>
      <c r="F20" s="16" t="n">
        <v>4602</v>
      </c>
      <c r="G20" s="18" t="n">
        <v>45995</v>
      </c>
      <c r="H20" s="18" t="n">
        <f aca="false">+G20+30</f>
        <v>46025</v>
      </c>
      <c r="I20" s="18"/>
      <c r="J20" s="19" t="n">
        <v>7402578</v>
      </c>
      <c r="K20" s="19" t="n">
        <f aca="false">+J20</f>
        <v>7402578</v>
      </c>
      <c r="L20" s="19" t="n">
        <f aca="false">+J20/1.19</f>
        <v>6220653.78151261</v>
      </c>
      <c r="M20" s="19" t="n">
        <f aca="false">+L20*19%</f>
        <v>1181924.2184874</v>
      </c>
      <c r="N20" s="16" t="s">
        <v>25</v>
      </c>
      <c r="O20" s="20" t="n">
        <v>2025</v>
      </c>
      <c r="P20" s="21" t="n">
        <f aca="false">+J20</f>
        <v>7402578</v>
      </c>
      <c r="Q20" s="19" t="n">
        <f aca="false">+J20-P20</f>
        <v>0</v>
      </c>
      <c r="R20" s="22" t="str">
        <f aca="false">IF(J20-P20=0,"PAGADA","PENDIENTE")</f>
        <v>PAGADA</v>
      </c>
      <c r="S20" s="18" t="n">
        <v>46021</v>
      </c>
      <c r="T20" s="16"/>
      <c r="U20" s="16"/>
      <c r="V20" s="16"/>
      <c r="W20" s="16"/>
      <c r="X20" s="16"/>
    </row>
    <row r="21" s="8" customFormat="true" ht="13.5" hidden="false" customHeight="false" outlineLevel="0" collapsed="false">
      <c r="A21" s="16" t="s">
        <v>30</v>
      </c>
      <c r="B21" s="16" t="s">
        <v>31</v>
      </c>
      <c r="C21" s="17"/>
      <c r="D21" s="17"/>
      <c r="E21" s="16" t="s">
        <v>24</v>
      </c>
      <c r="F21" s="16" t="n">
        <v>4603</v>
      </c>
      <c r="G21" s="18" t="n">
        <v>45995</v>
      </c>
      <c r="H21" s="18" t="n">
        <f aca="false">+G21+30</f>
        <v>46025</v>
      </c>
      <c r="I21" s="18"/>
      <c r="J21" s="19" t="n">
        <v>2037128</v>
      </c>
      <c r="K21" s="19" t="n">
        <f aca="false">+J21</f>
        <v>2037128</v>
      </c>
      <c r="L21" s="19" t="n">
        <f aca="false">+J21/1.19</f>
        <v>1711872.26890756</v>
      </c>
      <c r="M21" s="19" t="n">
        <f aca="false">+L21*19%</f>
        <v>325255.731092437</v>
      </c>
      <c r="N21" s="16" t="s">
        <v>25</v>
      </c>
      <c r="O21" s="20" t="n">
        <v>2025</v>
      </c>
      <c r="P21" s="21" t="n">
        <f aca="false">+J21</f>
        <v>2037128</v>
      </c>
      <c r="Q21" s="19" t="n">
        <f aca="false">+J21-P21</f>
        <v>0</v>
      </c>
      <c r="R21" s="22" t="str">
        <f aca="false">IF(J21-P21=0,"PAGADA","PENDIENTE")</f>
        <v>PAGADA</v>
      </c>
      <c r="S21" s="18" t="n">
        <v>46021</v>
      </c>
      <c r="T21" s="16"/>
      <c r="U21" s="16"/>
      <c r="V21" s="16"/>
      <c r="W21" s="16"/>
      <c r="X21" s="16"/>
    </row>
    <row r="22" s="8" customFormat="true" ht="13.5" hidden="false" customHeight="false" outlineLevel="0" collapsed="false">
      <c r="A22" s="16" t="s">
        <v>30</v>
      </c>
      <c r="B22" s="16" t="s">
        <v>31</v>
      </c>
      <c r="C22" s="17"/>
      <c r="D22" s="17"/>
      <c r="E22" s="16" t="s">
        <v>24</v>
      </c>
      <c r="F22" s="16" t="n">
        <v>4604</v>
      </c>
      <c r="G22" s="18" t="n">
        <v>45995</v>
      </c>
      <c r="H22" s="18" t="n">
        <f aca="false">+G22+30</f>
        <v>46025</v>
      </c>
      <c r="I22" s="18"/>
      <c r="J22" s="19" t="n">
        <v>731850</v>
      </c>
      <c r="K22" s="19" t="n">
        <f aca="false">+J22</f>
        <v>731850</v>
      </c>
      <c r="L22" s="19" t="n">
        <f aca="false">+J22/1.19</f>
        <v>615000</v>
      </c>
      <c r="M22" s="19" t="n">
        <f aca="false">+L22*19%</f>
        <v>116850</v>
      </c>
      <c r="N22" s="16" t="s">
        <v>25</v>
      </c>
      <c r="O22" s="20" t="n">
        <v>2025</v>
      </c>
      <c r="P22" s="21" t="n">
        <f aca="false">+J22</f>
        <v>731850</v>
      </c>
      <c r="Q22" s="19" t="n">
        <f aca="false">+J22-P22</f>
        <v>0</v>
      </c>
      <c r="R22" s="22" t="str">
        <f aca="false">IF(J22-P22=0,"PAGADA","PENDIENTE")</f>
        <v>PAGADA</v>
      </c>
      <c r="S22" s="18" t="n">
        <v>46021</v>
      </c>
      <c r="T22" s="16"/>
      <c r="U22" s="16"/>
      <c r="V22" s="16"/>
      <c r="W22" s="16"/>
      <c r="X22" s="16"/>
    </row>
    <row r="23" s="8" customFormat="true" ht="13.5" hidden="false" customHeight="false" outlineLevel="0" collapsed="false">
      <c r="A23" s="16" t="s">
        <v>30</v>
      </c>
      <c r="B23" s="16" t="s">
        <v>31</v>
      </c>
      <c r="C23" s="17"/>
      <c r="D23" s="17"/>
      <c r="E23" s="16" t="s">
        <v>24</v>
      </c>
      <c r="F23" s="16" t="n">
        <v>4605</v>
      </c>
      <c r="G23" s="18" t="n">
        <v>45995</v>
      </c>
      <c r="H23" s="18" t="n">
        <f aca="false">+G23+30</f>
        <v>46025</v>
      </c>
      <c r="I23" s="18"/>
      <c r="J23" s="19" t="n">
        <v>5497800</v>
      </c>
      <c r="K23" s="19" t="n">
        <f aca="false">+J23</f>
        <v>5497800</v>
      </c>
      <c r="L23" s="19" t="n">
        <f aca="false">+J23/1.19</f>
        <v>4620000</v>
      </c>
      <c r="M23" s="19" t="n">
        <f aca="false">+L23*19%</f>
        <v>877800</v>
      </c>
      <c r="N23" s="16" t="s">
        <v>25</v>
      </c>
      <c r="O23" s="20" t="n">
        <v>2025</v>
      </c>
      <c r="P23" s="21" t="n">
        <f aca="false">+J23</f>
        <v>5497800</v>
      </c>
      <c r="Q23" s="19" t="n">
        <f aca="false">+J23-P23</f>
        <v>0</v>
      </c>
      <c r="R23" s="22" t="str">
        <f aca="false">IF(J23-P23=0,"PAGADA","PENDIENTE")</f>
        <v>PAGADA</v>
      </c>
      <c r="S23" s="18" t="n">
        <v>46021</v>
      </c>
      <c r="T23" s="16"/>
      <c r="U23" s="16"/>
      <c r="V23" s="16"/>
      <c r="W23" s="16"/>
      <c r="X23" s="16"/>
    </row>
    <row r="24" s="8" customFormat="true" ht="13.5" hidden="false" customHeight="false" outlineLevel="0" collapsed="false">
      <c r="A24" s="16" t="s">
        <v>30</v>
      </c>
      <c r="B24" s="16" t="s">
        <v>31</v>
      </c>
      <c r="C24" s="17"/>
      <c r="D24" s="17"/>
      <c r="E24" s="16" t="s">
        <v>24</v>
      </c>
      <c r="F24" s="16" t="n">
        <v>4606</v>
      </c>
      <c r="G24" s="18" t="n">
        <v>45995</v>
      </c>
      <c r="H24" s="18" t="n">
        <f aca="false">+G24+30</f>
        <v>46025</v>
      </c>
      <c r="I24" s="18"/>
      <c r="J24" s="19" t="n">
        <v>7455350</v>
      </c>
      <c r="K24" s="19" t="n">
        <f aca="false">+J24</f>
        <v>7455350</v>
      </c>
      <c r="L24" s="19" t="n">
        <f aca="false">+J24/1.19</f>
        <v>6265000</v>
      </c>
      <c r="M24" s="19" t="n">
        <f aca="false">+L24*19%</f>
        <v>1190350</v>
      </c>
      <c r="N24" s="16" t="s">
        <v>25</v>
      </c>
      <c r="O24" s="20" t="n">
        <v>2025</v>
      </c>
      <c r="P24" s="21" t="n">
        <f aca="false">+J24</f>
        <v>7455350</v>
      </c>
      <c r="Q24" s="19" t="n">
        <f aca="false">+J24-P24</f>
        <v>0</v>
      </c>
      <c r="R24" s="22" t="str">
        <f aca="false">IF(J24-P24=0,"PAGADA","PENDIENTE")</f>
        <v>PAGADA</v>
      </c>
      <c r="S24" s="18" t="n">
        <v>46021</v>
      </c>
      <c r="T24" s="16"/>
      <c r="U24" s="16"/>
      <c r="V24" s="16"/>
      <c r="W24" s="16"/>
      <c r="X24" s="16"/>
    </row>
    <row r="25" s="8" customFormat="true" ht="13.5" hidden="false" customHeight="false" outlineLevel="0" collapsed="false">
      <c r="A25" s="16" t="s">
        <v>30</v>
      </c>
      <c r="B25" s="16" t="s">
        <v>31</v>
      </c>
      <c r="C25" s="17"/>
      <c r="D25" s="17"/>
      <c r="E25" s="16" t="s">
        <v>24</v>
      </c>
      <c r="F25" s="16" t="n">
        <v>4607</v>
      </c>
      <c r="G25" s="18" t="n">
        <v>45995</v>
      </c>
      <c r="H25" s="18" t="n">
        <f aca="false">+G25+30</f>
        <v>46025</v>
      </c>
      <c r="I25" s="18"/>
      <c r="J25" s="19" t="n">
        <v>2052345</v>
      </c>
      <c r="K25" s="19" t="n">
        <f aca="false">+J25</f>
        <v>2052345</v>
      </c>
      <c r="L25" s="19" t="n">
        <f aca="false">+J25/1.19</f>
        <v>1724659.66386555</v>
      </c>
      <c r="M25" s="19" t="n">
        <f aca="false">+L25*19%</f>
        <v>327685.336134454</v>
      </c>
      <c r="N25" s="16" t="s">
        <v>25</v>
      </c>
      <c r="O25" s="20" t="n">
        <v>2025</v>
      </c>
      <c r="P25" s="21" t="n">
        <f aca="false">+J25</f>
        <v>2052345</v>
      </c>
      <c r="Q25" s="19" t="n">
        <f aca="false">+J25-P25</f>
        <v>0</v>
      </c>
      <c r="R25" s="22" t="str">
        <f aca="false">IF(J25-P25=0,"PAGADA","PENDIENTE")</f>
        <v>PAGADA</v>
      </c>
      <c r="S25" s="18" t="n">
        <v>46021</v>
      </c>
      <c r="T25" s="16"/>
      <c r="U25" s="16"/>
      <c r="V25" s="16"/>
      <c r="W25" s="16"/>
      <c r="X25" s="16"/>
    </row>
    <row r="26" s="7" customFormat="true" ht="13.5" hidden="false" customHeight="false" outlineLevel="0" collapsed="false">
      <c r="A26" s="16" t="s">
        <v>32</v>
      </c>
      <c r="B26" s="16" t="s">
        <v>33</v>
      </c>
      <c r="C26" s="17"/>
      <c r="D26" s="17"/>
      <c r="E26" s="16" t="s">
        <v>24</v>
      </c>
      <c r="F26" s="16" t="n">
        <v>4614</v>
      </c>
      <c r="G26" s="18" t="n">
        <v>45995</v>
      </c>
      <c r="H26" s="18" t="n">
        <f aca="false">+G26+30</f>
        <v>46025</v>
      </c>
      <c r="I26" s="18"/>
      <c r="J26" s="19" t="n">
        <v>3855600</v>
      </c>
      <c r="K26" s="19" t="n">
        <f aca="false">+J26</f>
        <v>3855600</v>
      </c>
      <c r="L26" s="19" t="n">
        <f aca="false">+J26/1.19</f>
        <v>3240000</v>
      </c>
      <c r="M26" s="19" t="n">
        <f aca="false">+L26*19%</f>
        <v>615600</v>
      </c>
      <c r="N26" s="16" t="s">
        <v>25</v>
      </c>
      <c r="O26" s="20" t="n">
        <v>2025</v>
      </c>
      <c r="P26" s="21"/>
      <c r="Q26" s="19" t="n">
        <f aca="false">+J26-P26</f>
        <v>3855600</v>
      </c>
      <c r="R26" s="22" t="str">
        <f aca="false">IF(J26-P26=0,"PAGADA","PENDIENTE")</f>
        <v>PENDIENTE</v>
      </c>
      <c r="S26" s="16"/>
      <c r="T26" s="16"/>
      <c r="U26" s="16"/>
      <c r="V26" s="16"/>
      <c r="W26" s="16"/>
      <c r="X26" s="16"/>
    </row>
    <row r="27" s="8" customFormat="true" ht="13.5" hidden="false" customHeight="false" outlineLevel="0" collapsed="false">
      <c r="A27" s="16" t="s">
        <v>32</v>
      </c>
      <c r="B27" s="16" t="s">
        <v>33</v>
      </c>
      <c r="C27" s="17"/>
      <c r="D27" s="17"/>
      <c r="E27" s="16" t="s">
        <v>24</v>
      </c>
      <c r="F27" s="16" t="n">
        <v>4615</v>
      </c>
      <c r="G27" s="18" t="n">
        <v>45995</v>
      </c>
      <c r="H27" s="18" t="n">
        <f aca="false">+G27+30</f>
        <v>46025</v>
      </c>
      <c r="I27" s="18"/>
      <c r="J27" s="19" t="n">
        <v>7566209</v>
      </c>
      <c r="K27" s="19" t="n">
        <f aca="false">+J27</f>
        <v>7566209</v>
      </c>
      <c r="L27" s="19" t="n">
        <f aca="false">+J27/1.19</f>
        <v>6358158.82352941</v>
      </c>
      <c r="M27" s="19" t="n">
        <f aca="false">+L27*19%</f>
        <v>1208050.17647059</v>
      </c>
      <c r="N27" s="16" t="s">
        <v>25</v>
      </c>
      <c r="O27" s="20" t="n">
        <v>2025</v>
      </c>
      <c r="P27" s="21" t="n">
        <f aca="false">+J27</f>
        <v>7566209</v>
      </c>
      <c r="Q27" s="19" t="n">
        <f aca="false">+J27-P27</f>
        <v>0</v>
      </c>
      <c r="R27" s="22" t="str">
        <f aca="false">IF(J27-P27=0,"PAGADA","PENDIENTE")</f>
        <v>PAGADA</v>
      </c>
      <c r="S27" s="16" t="s">
        <v>34</v>
      </c>
      <c r="T27" s="16"/>
      <c r="U27" s="16"/>
      <c r="V27" s="16"/>
      <c r="W27" s="16"/>
      <c r="X27" s="16"/>
    </row>
    <row r="28" s="8" customFormat="true" ht="13.5" hidden="false" customHeight="false" outlineLevel="0" collapsed="false">
      <c r="A28" s="24" t="s">
        <v>32</v>
      </c>
      <c r="B28" s="24" t="s">
        <v>33</v>
      </c>
      <c r="C28" s="25"/>
      <c r="D28" s="25"/>
      <c r="E28" s="24" t="s">
        <v>35</v>
      </c>
      <c r="F28" s="24" t="n">
        <v>466</v>
      </c>
      <c r="G28" s="26" t="n">
        <v>45995</v>
      </c>
      <c r="H28" s="26" t="n">
        <f aca="false">+G28+30</f>
        <v>46025</v>
      </c>
      <c r="I28" s="26"/>
      <c r="J28" s="21" t="n">
        <v>-7566209</v>
      </c>
      <c r="K28" s="21" t="n">
        <f aca="false">+J28</f>
        <v>-7566209</v>
      </c>
      <c r="L28" s="21" t="n">
        <f aca="false">+J28/1.19</f>
        <v>-6358158.82352941</v>
      </c>
      <c r="M28" s="21" t="n">
        <f aca="false">+L28*19%</f>
        <v>-1208050.17647059</v>
      </c>
      <c r="N28" s="24" t="s">
        <v>25</v>
      </c>
      <c r="O28" s="27" t="n">
        <v>2025</v>
      </c>
      <c r="P28" s="21" t="n">
        <f aca="false">+J28</f>
        <v>-7566209</v>
      </c>
      <c r="Q28" s="21" t="n">
        <f aca="false">+J28-P28</f>
        <v>0</v>
      </c>
      <c r="R28" s="28" t="str">
        <f aca="false">IF(J28-P28=0,"PAGADA","PENDIENTE")</f>
        <v>PAGADA</v>
      </c>
      <c r="S28" s="24" t="s">
        <v>36</v>
      </c>
      <c r="T28" s="24"/>
      <c r="U28" s="24"/>
      <c r="V28" s="24"/>
      <c r="W28" s="24"/>
      <c r="X28" s="24"/>
    </row>
    <row r="29" s="8" customFormat="true" ht="13.5" hidden="false" customHeight="false" outlineLevel="0" collapsed="false">
      <c r="A29" s="16" t="s">
        <v>37</v>
      </c>
      <c r="B29" s="16" t="s">
        <v>38</v>
      </c>
      <c r="C29" s="17"/>
      <c r="D29" s="17"/>
      <c r="E29" s="16" t="s">
        <v>24</v>
      </c>
      <c r="F29" s="16" t="n">
        <v>4619</v>
      </c>
      <c r="G29" s="18" t="n">
        <v>45995</v>
      </c>
      <c r="H29" s="18" t="n">
        <f aca="false">+G29+30</f>
        <v>46025</v>
      </c>
      <c r="I29" s="18"/>
      <c r="J29" s="19" t="n">
        <v>125420199</v>
      </c>
      <c r="K29" s="19" t="n">
        <f aca="false">+J29</f>
        <v>125420199</v>
      </c>
      <c r="L29" s="19" t="n">
        <f aca="false">+J29/1.19</f>
        <v>105395125.210084</v>
      </c>
      <c r="M29" s="19" t="n">
        <f aca="false">+L29*19%</f>
        <v>20025073.789916</v>
      </c>
      <c r="N29" s="16" t="s">
        <v>25</v>
      </c>
      <c r="O29" s="20" t="n">
        <v>2025</v>
      </c>
      <c r="P29" s="21" t="n">
        <f aca="false">+J29</f>
        <v>125420199</v>
      </c>
      <c r="Q29" s="19" t="n">
        <f aca="false">+J29-P29</f>
        <v>0</v>
      </c>
      <c r="R29" s="22" t="str">
        <f aca="false">IF(J29-P29=0,"PAGADA","PENDIENTE")</f>
        <v>PAGADA</v>
      </c>
      <c r="S29" s="18" t="n">
        <v>46020</v>
      </c>
      <c r="T29" s="16"/>
      <c r="U29" s="16"/>
      <c r="V29" s="16"/>
      <c r="W29" s="16"/>
      <c r="X29" s="16"/>
    </row>
    <row r="30" s="8" customFormat="true" ht="13.5" hidden="false" customHeight="false" outlineLevel="0" collapsed="false">
      <c r="A30" s="16" t="s">
        <v>39</v>
      </c>
      <c r="B30" s="16" t="s">
        <v>40</v>
      </c>
      <c r="C30" s="17"/>
      <c r="D30" s="17"/>
      <c r="E30" s="16" t="s">
        <v>24</v>
      </c>
      <c r="F30" s="16" t="n">
        <v>4620</v>
      </c>
      <c r="G30" s="18" t="n">
        <v>45995</v>
      </c>
      <c r="H30" s="18" t="n">
        <f aca="false">+G30+30</f>
        <v>46025</v>
      </c>
      <c r="I30" s="18"/>
      <c r="J30" s="19" t="n">
        <v>5782686</v>
      </c>
      <c r="K30" s="19" t="n">
        <f aca="false">+J30</f>
        <v>5782686</v>
      </c>
      <c r="L30" s="19" t="n">
        <f aca="false">+J30/1.19</f>
        <v>4859400</v>
      </c>
      <c r="M30" s="19" t="n">
        <f aca="false">+L30*19%</f>
        <v>923286</v>
      </c>
      <c r="N30" s="16" t="s">
        <v>25</v>
      </c>
      <c r="O30" s="20" t="n">
        <v>2025</v>
      </c>
      <c r="P30" s="21" t="n">
        <f aca="false">+J30</f>
        <v>5782686</v>
      </c>
      <c r="Q30" s="19" t="n">
        <f aca="false">+J30-P30</f>
        <v>0</v>
      </c>
      <c r="R30" s="22" t="str">
        <f aca="false">IF(J30-P30=0,"PAGADA","PENDIENTE")</f>
        <v>PAGADA</v>
      </c>
      <c r="S30" s="18" t="n">
        <v>46015</v>
      </c>
      <c r="T30" s="16"/>
      <c r="U30" s="16"/>
      <c r="V30" s="16"/>
      <c r="W30" s="16"/>
      <c r="X30" s="16"/>
    </row>
    <row r="31" s="8" customFormat="true" ht="13.5" hidden="false" customHeight="false" outlineLevel="0" collapsed="false">
      <c r="A31" s="16" t="s">
        <v>39</v>
      </c>
      <c r="B31" s="16" t="s">
        <v>40</v>
      </c>
      <c r="C31" s="17"/>
      <c r="D31" s="17"/>
      <c r="E31" s="16" t="s">
        <v>24</v>
      </c>
      <c r="F31" s="16" t="n">
        <v>4621</v>
      </c>
      <c r="G31" s="18" t="n">
        <v>45995</v>
      </c>
      <c r="H31" s="18" t="n">
        <f aca="false">+G31+30</f>
        <v>46025</v>
      </c>
      <c r="I31" s="18"/>
      <c r="J31" s="19" t="n">
        <v>6657336</v>
      </c>
      <c r="K31" s="19" t="n">
        <f aca="false">+J31</f>
        <v>6657336</v>
      </c>
      <c r="L31" s="19" t="n">
        <f aca="false">+J31/1.19</f>
        <v>5594400</v>
      </c>
      <c r="M31" s="19" t="n">
        <f aca="false">+L31*19%</f>
        <v>1062936</v>
      </c>
      <c r="N31" s="16" t="s">
        <v>25</v>
      </c>
      <c r="O31" s="20" t="n">
        <v>2025</v>
      </c>
      <c r="P31" s="21" t="n">
        <f aca="false">+J31</f>
        <v>6657336</v>
      </c>
      <c r="Q31" s="19" t="n">
        <f aca="false">+J31-P31</f>
        <v>0</v>
      </c>
      <c r="R31" s="22" t="str">
        <f aca="false">IF(J31-P31=0,"PAGADA","PENDIENTE")</f>
        <v>PAGADA</v>
      </c>
      <c r="S31" s="18" t="n">
        <v>46015</v>
      </c>
      <c r="T31" s="16"/>
      <c r="U31" s="16"/>
      <c r="V31" s="16"/>
      <c r="W31" s="16"/>
      <c r="X31" s="16"/>
    </row>
    <row r="32" s="8" customFormat="true" ht="13.5" hidden="false" customHeight="false" outlineLevel="0" collapsed="false">
      <c r="A32" s="16" t="s">
        <v>41</v>
      </c>
      <c r="B32" s="16" t="s">
        <v>42</v>
      </c>
      <c r="C32" s="17"/>
      <c r="D32" s="17"/>
      <c r="E32" s="16" t="s">
        <v>24</v>
      </c>
      <c r="F32" s="16" t="n">
        <v>4622</v>
      </c>
      <c r="G32" s="18" t="n">
        <v>45995</v>
      </c>
      <c r="H32" s="18" t="n">
        <f aca="false">+G32+30</f>
        <v>46025</v>
      </c>
      <c r="I32" s="18"/>
      <c r="J32" s="19" t="n">
        <v>1706906</v>
      </c>
      <c r="K32" s="19" t="n">
        <f aca="false">+J32</f>
        <v>1706906</v>
      </c>
      <c r="L32" s="19" t="n">
        <f aca="false">+J32/1.19</f>
        <v>1434374.78991597</v>
      </c>
      <c r="M32" s="19" t="n">
        <f aca="false">+L32*19%</f>
        <v>272531.210084034</v>
      </c>
      <c r="N32" s="16" t="s">
        <v>25</v>
      </c>
      <c r="O32" s="20" t="n">
        <v>2025</v>
      </c>
      <c r="P32" s="21"/>
      <c r="Q32" s="19" t="n">
        <f aca="false">+J32-P32</f>
        <v>1706906</v>
      </c>
      <c r="R32" s="22" t="str">
        <f aca="false">IF(J32-P32=0,"PAGADA","PENDIENTE")</f>
        <v>PENDIENTE</v>
      </c>
      <c r="S32" s="16"/>
      <c r="T32" s="16"/>
      <c r="U32" s="16"/>
      <c r="V32" s="16"/>
      <c r="W32" s="16"/>
      <c r="X32" s="16"/>
    </row>
    <row r="33" s="8" customFormat="true" ht="13.5" hidden="false" customHeight="false" outlineLevel="0" collapsed="false">
      <c r="A33" s="16" t="s">
        <v>43</v>
      </c>
      <c r="B33" s="16" t="s">
        <v>44</v>
      </c>
      <c r="C33" s="17"/>
      <c r="D33" s="17"/>
      <c r="E33" s="16" t="s">
        <v>24</v>
      </c>
      <c r="F33" s="16" t="n">
        <v>4616</v>
      </c>
      <c r="G33" s="18" t="n">
        <v>45995</v>
      </c>
      <c r="H33" s="18" t="n">
        <f aca="false">+G33+30</f>
        <v>46025</v>
      </c>
      <c r="I33" s="18"/>
      <c r="J33" s="19" t="n">
        <v>4060875</v>
      </c>
      <c r="K33" s="19" t="n">
        <f aca="false">+J33</f>
        <v>4060875</v>
      </c>
      <c r="L33" s="19" t="n">
        <f aca="false">+J33/1.19</f>
        <v>3412500</v>
      </c>
      <c r="M33" s="19" t="n">
        <f aca="false">+L33*19%</f>
        <v>648375</v>
      </c>
      <c r="N33" s="16" t="s">
        <v>25</v>
      </c>
      <c r="O33" s="20" t="n">
        <v>2025</v>
      </c>
      <c r="P33" s="21" t="n">
        <f aca="false">+J33</f>
        <v>4060875</v>
      </c>
      <c r="Q33" s="19" t="n">
        <f aca="false">+J33-P33</f>
        <v>0</v>
      </c>
      <c r="R33" s="22" t="str">
        <f aca="false">IF(J33-P33=0,"PAGADA","PENDIENTE")</f>
        <v>PAGADA</v>
      </c>
      <c r="S33" s="18" t="n">
        <v>46045</v>
      </c>
      <c r="T33" s="16"/>
      <c r="U33" s="16"/>
      <c r="V33" s="16"/>
      <c r="W33" s="16"/>
      <c r="X33" s="16"/>
    </row>
    <row r="34" s="8" customFormat="true" ht="13.5" hidden="false" customHeight="false" outlineLevel="0" collapsed="false">
      <c r="A34" s="16" t="s">
        <v>43</v>
      </c>
      <c r="B34" s="16" t="s">
        <v>44</v>
      </c>
      <c r="C34" s="29"/>
      <c r="D34" s="29"/>
      <c r="E34" s="16" t="s">
        <v>24</v>
      </c>
      <c r="F34" s="16" t="n">
        <v>4617</v>
      </c>
      <c r="G34" s="18" t="n">
        <v>45995</v>
      </c>
      <c r="H34" s="18" t="n">
        <f aca="false">+G34+30</f>
        <v>46025</v>
      </c>
      <c r="I34" s="18"/>
      <c r="J34" s="19" t="n">
        <v>4060875</v>
      </c>
      <c r="K34" s="19" t="n">
        <f aca="false">+J34</f>
        <v>4060875</v>
      </c>
      <c r="L34" s="19" t="n">
        <f aca="false">+J34/1.19</f>
        <v>3412500</v>
      </c>
      <c r="M34" s="19" t="n">
        <f aca="false">+L34*19%</f>
        <v>648375</v>
      </c>
      <c r="N34" s="16" t="s">
        <v>25</v>
      </c>
      <c r="O34" s="20" t="n">
        <v>2025</v>
      </c>
      <c r="P34" s="21" t="n">
        <f aca="false">+J34</f>
        <v>4060875</v>
      </c>
      <c r="Q34" s="19" t="n">
        <f aca="false">+J34-P34</f>
        <v>0</v>
      </c>
      <c r="R34" s="22" t="str">
        <f aca="false">IF(J34-P34=0,"PAGADA","PENDIENTE")</f>
        <v>PAGADA</v>
      </c>
      <c r="S34" s="18" t="n">
        <v>46045</v>
      </c>
      <c r="T34" s="16"/>
      <c r="U34" s="16"/>
      <c r="V34" s="16"/>
      <c r="W34" s="16"/>
      <c r="X34" s="16"/>
    </row>
    <row r="35" s="8" customFormat="true" ht="13.5" hidden="false" customHeight="false" outlineLevel="0" collapsed="false">
      <c r="A35" s="16" t="s">
        <v>45</v>
      </c>
      <c r="B35" s="16" t="s">
        <v>46</v>
      </c>
      <c r="C35" s="17"/>
      <c r="D35" s="17"/>
      <c r="E35" s="16" t="s">
        <v>24</v>
      </c>
      <c r="F35" s="16" t="n">
        <v>4624</v>
      </c>
      <c r="G35" s="18" t="n">
        <v>45995</v>
      </c>
      <c r="H35" s="18" t="n">
        <f aca="false">+G35+30</f>
        <v>46025</v>
      </c>
      <c r="I35" s="18"/>
      <c r="J35" s="19" t="n">
        <v>3506781</v>
      </c>
      <c r="K35" s="19" t="n">
        <f aca="false">+J35</f>
        <v>3506781</v>
      </c>
      <c r="L35" s="19" t="n">
        <f aca="false">+J35/1.19</f>
        <v>2946874.78991597</v>
      </c>
      <c r="M35" s="19" t="n">
        <f aca="false">+L35*19%</f>
        <v>559906.210084034</v>
      </c>
      <c r="N35" s="16" t="s">
        <v>25</v>
      </c>
      <c r="O35" s="20" t="n">
        <v>2025</v>
      </c>
      <c r="P35" s="21" t="n">
        <f aca="false">+J35</f>
        <v>3506781</v>
      </c>
      <c r="Q35" s="19" t="n">
        <f aca="false">+J35-P35</f>
        <v>0</v>
      </c>
      <c r="R35" s="22" t="str">
        <f aca="false">IF(J35-P35=0,"PAGADA","PENDIENTE")</f>
        <v>PAGADA</v>
      </c>
      <c r="S35" s="18" t="n">
        <v>46054</v>
      </c>
      <c r="T35" s="16"/>
      <c r="U35" s="16"/>
      <c r="V35" s="16"/>
      <c r="W35" s="16"/>
      <c r="X35" s="16"/>
    </row>
    <row r="36" s="8" customFormat="true" ht="13.5" hidden="false" customHeight="false" outlineLevel="0" collapsed="false">
      <c r="A36" s="16" t="s">
        <v>47</v>
      </c>
      <c r="B36" s="16" t="s">
        <v>48</v>
      </c>
      <c r="C36" s="17"/>
      <c r="D36" s="17"/>
      <c r="E36" s="16" t="s">
        <v>24</v>
      </c>
      <c r="F36" s="16" t="n">
        <v>4630</v>
      </c>
      <c r="G36" s="18" t="n">
        <v>45996</v>
      </c>
      <c r="H36" s="18" t="n">
        <f aca="false">+G36+30</f>
        <v>46026</v>
      </c>
      <c r="I36" s="18"/>
      <c r="J36" s="19" t="n">
        <v>64504</v>
      </c>
      <c r="K36" s="19" t="n">
        <f aca="false">+J36</f>
        <v>64504</v>
      </c>
      <c r="L36" s="19" t="n">
        <f aca="false">+J36/1.19</f>
        <v>54205.0420168067</v>
      </c>
      <c r="M36" s="19" t="n">
        <f aca="false">+L36*19%</f>
        <v>10298.9579831933</v>
      </c>
      <c r="N36" s="16" t="s">
        <v>25</v>
      </c>
      <c r="O36" s="20" t="n">
        <v>2025</v>
      </c>
      <c r="P36" s="21" t="n">
        <f aca="false">+J36</f>
        <v>64504</v>
      </c>
      <c r="Q36" s="19" t="n">
        <f aca="false">+J36-P36</f>
        <v>0</v>
      </c>
      <c r="R36" s="22" t="str">
        <f aca="false">IF(J36-P36=0,"PAGADA","PENDIENTE")</f>
        <v>PAGADA</v>
      </c>
      <c r="S36" s="18" t="n">
        <v>46085</v>
      </c>
      <c r="T36" s="16"/>
      <c r="U36" s="16"/>
      <c r="V36" s="16"/>
      <c r="W36" s="16"/>
      <c r="X36" s="16"/>
    </row>
    <row r="37" s="8" customFormat="true" ht="13.5" hidden="false" customHeight="false" outlineLevel="0" collapsed="false">
      <c r="A37" s="16" t="s">
        <v>47</v>
      </c>
      <c r="B37" s="16" t="s">
        <v>48</v>
      </c>
      <c r="C37" s="17"/>
      <c r="D37" s="17"/>
      <c r="E37" s="16" t="s">
        <v>24</v>
      </c>
      <c r="F37" s="16" t="n">
        <v>4631</v>
      </c>
      <c r="G37" s="18" t="n">
        <v>45996</v>
      </c>
      <c r="H37" s="18" t="n">
        <f aca="false">+G37+30</f>
        <v>46026</v>
      </c>
      <c r="I37" s="18"/>
      <c r="J37" s="19" t="n">
        <v>4864829</v>
      </c>
      <c r="K37" s="19" t="n">
        <f aca="false">+J37</f>
        <v>4864829</v>
      </c>
      <c r="L37" s="19" t="n">
        <f aca="false">+J37/1.19</f>
        <v>4088091.59663866</v>
      </c>
      <c r="M37" s="19" t="n">
        <f aca="false">+L37*19%</f>
        <v>776737.403361345</v>
      </c>
      <c r="N37" s="16" t="s">
        <v>25</v>
      </c>
      <c r="O37" s="20" t="n">
        <v>2025</v>
      </c>
      <c r="P37" s="21" t="n">
        <f aca="false">+J37</f>
        <v>4864829</v>
      </c>
      <c r="Q37" s="19" t="n">
        <f aca="false">+J37-P37</f>
        <v>0</v>
      </c>
      <c r="R37" s="22" t="str">
        <f aca="false">IF(J37-P37=0,"PAGADA","PENDIENTE")</f>
        <v>PAGADA</v>
      </c>
      <c r="S37" s="18" t="n">
        <v>46085</v>
      </c>
      <c r="T37" s="16"/>
      <c r="U37" s="16"/>
      <c r="V37" s="16"/>
      <c r="W37" s="16"/>
      <c r="X37" s="16"/>
    </row>
    <row r="38" s="8" customFormat="true" ht="13.5" hidden="false" customHeight="false" outlineLevel="0" collapsed="false">
      <c r="A38" s="16" t="s">
        <v>47</v>
      </c>
      <c r="B38" s="16" t="s">
        <v>48</v>
      </c>
      <c r="C38" s="17"/>
      <c r="D38" s="17"/>
      <c r="E38" s="16" t="s">
        <v>24</v>
      </c>
      <c r="F38" s="16" t="n">
        <v>4632</v>
      </c>
      <c r="G38" s="18" t="n">
        <v>45996</v>
      </c>
      <c r="H38" s="18" t="n">
        <f aca="false">+G38+30</f>
        <v>46026</v>
      </c>
      <c r="I38" s="18"/>
      <c r="J38" s="19" t="n">
        <v>46861</v>
      </c>
      <c r="K38" s="19" t="n">
        <f aca="false">+J38</f>
        <v>46861</v>
      </c>
      <c r="L38" s="19" t="n">
        <f aca="false">+J38/1.19</f>
        <v>39378.9915966387</v>
      </c>
      <c r="M38" s="19" t="n">
        <f aca="false">+L38*19%</f>
        <v>7482.00840336135</v>
      </c>
      <c r="N38" s="16" t="s">
        <v>25</v>
      </c>
      <c r="O38" s="20" t="n">
        <v>2025</v>
      </c>
      <c r="P38" s="21" t="n">
        <f aca="false">+J38</f>
        <v>46861</v>
      </c>
      <c r="Q38" s="19" t="n">
        <f aca="false">+J38-P38</f>
        <v>0</v>
      </c>
      <c r="R38" s="22" t="str">
        <f aca="false">IF(J38-P38=0,"PAGADA","PENDIENTE")</f>
        <v>PAGADA</v>
      </c>
      <c r="S38" s="18" t="n">
        <v>46085</v>
      </c>
      <c r="T38" s="16"/>
      <c r="U38" s="16"/>
      <c r="V38" s="16"/>
      <c r="W38" s="16"/>
      <c r="X38" s="16"/>
    </row>
    <row r="39" s="8" customFormat="true" ht="13.5" hidden="false" customHeight="false" outlineLevel="0" collapsed="false">
      <c r="A39" s="16" t="s">
        <v>47</v>
      </c>
      <c r="B39" s="16" t="s">
        <v>48</v>
      </c>
      <c r="C39" s="17"/>
      <c r="D39" s="17"/>
      <c r="E39" s="16" t="s">
        <v>24</v>
      </c>
      <c r="F39" s="16" t="n">
        <v>4633</v>
      </c>
      <c r="G39" s="18" t="n">
        <v>45996</v>
      </c>
      <c r="H39" s="18" t="n">
        <f aca="false">+G39+30</f>
        <v>46026</v>
      </c>
      <c r="I39" s="18"/>
      <c r="J39" s="19" t="n">
        <v>163255</v>
      </c>
      <c r="K39" s="19" t="n">
        <f aca="false">+J39</f>
        <v>163255</v>
      </c>
      <c r="L39" s="19" t="n">
        <f aca="false">+J39/1.19</f>
        <v>137189.075630252</v>
      </c>
      <c r="M39" s="19" t="n">
        <f aca="false">+L39*19%</f>
        <v>26065.9243697479</v>
      </c>
      <c r="N39" s="16" t="s">
        <v>25</v>
      </c>
      <c r="O39" s="20" t="n">
        <v>2025</v>
      </c>
      <c r="P39" s="21" t="n">
        <f aca="false">+J39</f>
        <v>163255</v>
      </c>
      <c r="Q39" s="19" t="n">
        <f aca="false">+J39-P39</f>
        <v>0</v>
      </c>
      <c r="R39" s="22" t="str">
        <f aca="false">IF(J39-P39=0,"PAGADA","PENDIENTE")</f>
        <v>PAGADA</v>
      </c>
      <c r="S39" s="18" t="n">
        <v>46085</v>
      </c>
      <c r="T39" s="16"/>
      <c r="U39" s="16"/>
      <c r="V39" s="16"/>
      <c r="W39" s="16"/>
      <c r="X39" s="16"/>
    </row>
    <row r="40" s="8" customFormat="true" ht="13.5" hidden="false" customHeight="false" outlineLevel="0" collapsed="false">
      <c r="A40" s="16" t="s">
        <v>47</v>
      </c>
      <c r="B40" s="16" t="s">
        <v>48</v>
      </c>
      <c r="C40" s="17"/>
      <c r="D40" s="17"/>
      <c r="E40" s="16" t="s">
        <v>24</v>
      </c>
      <c r="F40" s="16" t="n">
        <v>4634</v>
      </c>
      <c r="G40" s="18" t="n">
        <v>45996</v>
      </c>
      <c r="H40" s="18" t="n">
        <f aca="false">+G40+30</f>
        <v>46026</v>
      </c>
      <c r="I40" s="18"/>
      <c r="J40" s="19" t="n">
        <v>15303</v>
      </c>
      <c r="K40" s="19" t="n">
        <f aca="false">+J40</f>
        <v>15303</v>
      </c>
      <c r="L40" s="19" t="n">
        <f aca="false">+J40/1.19</f>
        <v>12859.6638655462</v>
      </c>
      <c r="M40" s="19" t="n">
        <f aca="false">+L40*19%</f>
        <v>2443.33613445378</v>
      </c>
      <c r="N40" s="16" t="s">
        <v>25</v>
      </c>
      <c r="O40" s="20" t="n">
        <v>2025</v>
      </c>
      <c r="P40" s="21" t="n">
        <f aca="false">+J40</f>
        <v>15303</v>
      </c>
      <c r="Q40" s="19" t="n">
        <f aca="false">+J40-P40</f>
        <v>0</v>
      </c>
      <c r="R40" s="22" t="str">
        <f aca="false">IF(J40-P40=0,"PAGADA","PENDIENTE")</f>
        <v>PAGADA</v>
      </c>
      <c r="S40" s="18" t="n">
        <v>46085</v>
      </c>
      <c r="T40" s="16"/>
      <c r="U40" s="16"/>
      <c r="V40" s="16"/>
      <c r="W40" s="16"/>
      <c r="X40" s="16"/>
    </row>
    <row r="41" s="8" customFormat="true" ht="13.5" hidden="false" customHeight="false" outlineLevel="0" collapsed="false">
      <c r="A41" s="16" t="s">
        <v>47</v>
      </c>
      <c r="B41" s="16" t="s">
        <v>48</v>
      </c>
      <c r="C41" s="17"/>
      <c r="D41" s="17"/>
      <c r="E41" s="16" t="s">
        <v>24</v>
      </c>
      <c r="F41" s="16" t="n">
        <v>4625</v>
      </c>
      <c r="G41" s="18" t="n">
        <v>45996</v>
      </c>
      <c r="H41" s="18" t="n">
        <f aca="false">+G41+30</f>
        <v>46026</v>
      </c>
      <c r="I41" s="18"/>
      <c r="J41" s="19" t="n">
        <v>119000</v>
      </c>
      <c r="K41" s="19" t="n">
        <f aca="false">+J41</f>
        <v>119000</v>
      </c>
      <c r="L41" s="19" t="n">
        <f aca="false">+J41/1.19</f>
        <v>100000</v>
      </c>
      <c r="M41" s="19" t="n">
        <f aca="false">+L41*19%</f>
        <v>19000</v>
      </c>
      <c r="N41" s="16" t="s">
        <v>25</v>
      </c>
      <c r="O41" s="20" t="n">
        <v>2025</v>
      </c>
      <c r="P41" s="21" t="n">
        <f aca="false">+J41</f>
        <v>119000</v>
      </c>
      <c r="Q41" s="19" t="n">
        <f aca="false">+J41-P41</f>
        <v>0</v>
      </c>
      <c r="R41" s="22" t="str">
        <f aca="false">IF(J41-P41=0,"PAGADA","PENDIENTE")</f>
        <v>PAGADA</v>
      </c>
      <c r="S41" s="18" t="n">
        <v>46048</v>
      </c>
      <c r="T41" s="16"/>
      <c r="U41" s="16"/>
      <c r="V41" s="16"/>
      <c r="W41" s="16"/>
      <c r="X41" s="16"/>
    </row>
    <row r="42" s="8" customFormat="true" ht="13.5" hidden="false" customHeight="false" outlineLevel="0" collapsed="false">
      <c r="A42" s="16" t="s">
        <v>47</v>
      </c>
      <c r="B42" s="16" t="s">
        <v>48</v>
      </c>
      <c r="C42" s="17"/>
      <c r="D42" s="17"/>
      <c r="E42" s="16" t="s">
        <v>24</v>
      </c>
      <c r="F42" s="16" t="n">
        <v>4626</v>
      </c>
      <c r="G42" s="18" t="n">
        <v>45996</v>
      </c>
      <c r="H42" s="18" t="n">
        <f aca="false">+G42+30</f>
        <v>46026</v>
      </c>
      <c r="I42" s="18"/>
      <c r="J42" s="19" t="n">
        <v>59500</v>
      </c>
      <c r="K42" s="19" t="n">
        <f aca="false">+J42</f>
        <v>59500</v>
      </c>
      <c r="L42" s="19" t="n">
        <f aca="false">+J42/1.19</f>
        <v>50000</v>
      </c>
      <c r="M42" s="19" t="n">
        <f aca="false">+L42*19%</f>
        <v>9500</v>
      </c>
      <c r="N42" s="16" t="s">
        <v>25</v>
      </c>
      <c r="O42" s="20" t="n">
        <v>2025</v>
      </c>
      <c r="P42" s="21" t="n">
        <f aca="false">+J42</f>
        <v>59500</v>
      </c>
      <c r="Q42" s="19" t="n">
        <f aca="false">+J42-P42</f>
        <v>0</v>
      </c>
      <c r="R42" s="22" t="str">
        <f aca="false">IF(J42-P42=0,"PAGADA","PENDIENTE")</f>
        <v>PAGADA</v>
      </c>
      <c r="S42" s="18" t="n">
        <v>46048</v>
      </c>
      <c r="T42" s="16"/>
      <c r="U42" s="16"/>
      <c r="V42" s="16"/>
      <c r="W42" s="16"/>
      <c r="X42" s="16"/>
    </row>
    <row r="43" s="8" customFormat="true" ht="13.5" hidden="false" customHeight="false" outlineLevel="0" collapsed="false">
      <c r="A43" s="16" t="s">
        <v>47</v>
      </c>
      <c r="B43" s="16" t="s">
        <v>48</v>
      </c>
      <c r="C43" s="17"/>
      <c r="D43" s="17"/>
      <c r="E43" s="16" t="s">
        <v>24</v>
      </c>
      <c r="F43" s="16" t="n">
        <v>4627</v>
      </c>
      <c r="G43" s="18" t="n">
        <v>45996</v>
      </c>
      <c r="H43" s="18" t="n">
        <f aca="false">+G43+30</f>
        <v>46026</v>
      </c>
      <c r="I43" s="18"/>
      <c r="J43" s="19" t="n">
        <v>3262905</v>
      </c>
      <c r="K43" s="19" t="n">
        <f aca="false">+J43</f>
        <v>3262905</v>
      </c>
      <c r="L43" s="19" t="n">
        <f aca="false">+J43/1.19</f>
        <v>2741936.97478992</v>
      </c>
      <c r="M43" s="19" t="n">
        <f aca="false">+L43*19%</f>
        <v>520968.025210084</v>
      </c>
      <c r="N43" s="16" t="s">
        <v>25</v>
      </c>
      <c r="O43" s="20" t="n">
        <v>2025</v>
      </c>
      <c r="P43" s="21" t="n">
        <f aca="false">+J43</f>
        <v>3262905</v>
      </c>
      <c r="Q43" s="19" t="n">
        <f aca="false">+J43-P43</f>
        <v>0</v>
      </c>
      <c r="R43" s="22" t="str">
        <f aca="false">IF(J43-P43=0,"PAGADA","PENDIENTE")</f>
        <v>PAGADA</v>
      </c>
      <c r="S43" s="18" t="n">
        <v>46048</v>
      </c>
      <c r="T43" s="16"/>
      <c r="U43" s="16"/>
      <c r="V43" s="16"/>
      <c r="W43" s="16"/>
      <c r="X43" s="16"/>
    </row>
    <row r="44" s="8" customFormat="true" ht="13.5" hidden="false" customHeight="false" outlineLevel="0" collapsed="false">
      <c r="A44" s="16" t="s">
        <v>47</v>
      </c>
      <c r="B44" s="16" t="s">
        <v>48</v>
      </c>
      <c r="C44" s="17"/>
      <c r="D44" s="17"/>
      <c r="E44" s="16" t="s">
        <v>24</v>
      </c>
      <c r="F44" s="16" t="n">
        <v>4628</v>
      </c>
      <c r="G44" s="18" t="n">
        <v>45996</v>
      </c>
      <c r="H44" s="18" t="n">
        <f aca="false">+G44+30</f>
        <v>46026</v>
      </c>
      <c r="I44" s="18"/>
      <c r="J44" s="19" t="n">
        <v>2404114</v>
      </c>
      <c r="K44" s="19" t="n">
        <f aca="false">+J44</f>
        <v>2404114</v>
      </c>
      <c r="L44" s="19" t="n">
        <f aca="false">+J44/1.19</f>
        <v>2020263.86554622</v>
      </c>
      <c r="M44" s="19" t="n">
        <f aca="false">+L44*19%</f>
        <v>383850.134453782</v>
      </c>
      <c r="N44" s="16" t="s">
        <v>25</v>
      </c>
      <c r="O44" s="20" t="n">
        <v>2025</v>
      </c>
      <c r="P44" s="21" t="n">
        <f aca="false">+J44</f>
        <v>2404114</v>
      </c>
      <c r="Q44" s="19" t="n">
        <f aca="false">+J44-P44</f>
        <v>0</v>
      </c>
      <c r="R44" s="22" t="str">
        <f aca="false">IF(J44-P44=0,"PAGADA","PENDIENTE")</f>
        <v>PAGADA</v>
      </c>
      <c r="S44" s="18" t="n">
        <v>46048</v>
      </c>
      <c r="T44" s="16"/>
      <c r="U44" s="16"/>
      <c r="V44" s="16"/>
      <c r="W44" s="16"/>
      <c r="X44" s="16"/>
    </row>
    <row r="45" s="8" customFormat="true" ht="13.5" hidden="false" customHeight="false" outlineLevel="0" collapsed="false">
      <c r="A45" s="16" t="s">
        <v>47</v>
      </c>
      <c r="B45" s="16" t="s">
        <v>48</v>
      </c>
      <c r="C45" s="17"/>
      <c r="D45" s="17"/>
      <c r="E45" s="16" t="s">
        <v>24</v>
      </c>
      <c r="F45" s="16" t="n">
        <v>4629</v>
      </c>
      <c r="G45" s="18" t="n">
        <v>45996</v>
      </c>
      <c r="H45" s="18" t="n">
        <f aca="false">+G45+30</f>
        <v>46026</v>
      </c>
      <c r="I45" s="18"/>
      <c r="J45" s="19" t="n">
        <v>173156</v>
      </c>
      <c r="K45" s="19" t="n">
        <f aca="false">+J45</f>
        <v>173156</v>
      </c>
      <c r="L45" s="19" t="n">
        <f aca="false">+J45/1.19</f>
        <v>145509.243697479</v>
      </c>
      <c r="M45" s="19" t="n">
        <f aca="false">+L45*19%</f>
        <v>27646.756302521</v>
      </c>
      <c r="N45" s="16" t="s">
        <v>25</v>
      </c>
      <c r="O45" s="20" t="n">
        <v>2025</v>
      </c>
      <c r="P45" s="21" t="n">
        <f aca="false">+J45</f>
        <v>173156</v>
      </c>
      <c r="Q45" s="19" t="n">
        <f aca="false">+J45-P45</f>
        <v>0</v>
      </c>
      <c r="R45" s="22" t="str">
        <f aca="false">IF(J45-P45=0,"PAGADA","PENDIENTE")</f>
        <v>PAGADA</v>
      </c>
      <c r="S45" s="18" t="n">
        <v>46048</v>
      </c>
      <c r="T45" s="16"/>
      <c r="U45" s="16"/>
      <c r="V45" s="16"/>
      <c r="W45" s="16"/>
      <c r="X45" s="16"/>
    </row>
    <row r="46" s="8" customFormat="true" ht="13.5" hidden="false" customHeight="false" outlineLevel="0" collapsed="false">
      <c r="A46" s="16" t="s">
        <v>22</v>
      </c>
      <c r="B46" s="16" t="s">
        <v>23</v>
      </c>
      <c r="C46" s="17"/>
      <c r="D46" s="17"/>
      <c r="E46" s="16" t="s">
        <v>24</v>
      </c>
      <c r="F46" s="16" t="n">
        <v>4635</v>
      </c>
      <c r="G46" s="18" t="n">
        <v>46002</v>
      </c>
      <c r="H46" s="18" t="n">
        <f aca="false">+G46+30</f>
        <v>46032</v>
      </c>
      <c r="I46" s="18"/>
      <c r="J46" s="19" t="n">
        <v>61995</v>
      </c>
      <c r="K46" s="19" t="n">
        <f aca="false">+J46</f>
        <v>61995</v>
      </c>
      <c r="L46" s="19" t="n">
        <f aca="false">+J46/1.19</f>
        <v>52096.6386554622</v>
      </c>
      <c r="M46" s="19" t="n">
        <f aca="false">+L46*19%</f>
        <v>9898.36134453782</v>
      </c>
      <c r="N46" s="16" t="s">
        <v>25</v>
      </c>
      <c r="O46" s="20" t="n">
        <v>2025</v>
      </c>
      <c r="P46" s="21" t="n">
        <f aca="false">+J46</f>
        <v>61995</v>
      </c>
      <c r="Q46" s="19" t="n">
        <f aca="false">+J46-P46</f>
        <v>0</v>
      </c>
      <c r="R46" s="22" t="str">
        <f aca="false">IF(J46-P46=0,"PAGADA","PENDIENTE")</f>
        <v>PAGADA</v>
      </c>
      <c r="S46" s="18" t="n">
        <v>46036</v>
      </c>
      <c r="T46" s="16"/>
      <c r="U46" s="16"/>
      <c r="V46" s="16"/>
      <c r="W46" s="16"/>
      <c r="X46" s="16"/>
    </row>
    <row r="47" s="8" customFormat="true" ht="13.5" hidden="false" customHeight="false" outlineLevel="0" collapsed="false">
      <c r="A47" s="16" t="s">
        <v>49</v>
      </c>
      <c r="B47" s="16" t="s">
        <v>50</v>
      </c>
      <c r="C47" s="17"/>
      <c r="D47" s="17"/>
      <c r="E47" s="16" t="s">
        <v>24</v>
      </c>
      <c r="F47" s="16" t="n">
        <v>4651</v>
      </c>
      <c r="G47" s="18" t="n">
        <v>46006</v>
      </c>
      <c r="H47" s="18" t="n">
        <f aca="false">+G47+30</f>
        <v>46036</v>
      </c>
      <c r="I47" s="18"/>
      <c r="J47" s="19" t="n">
        <v>35567439</v>
      </c>
      <c r="K47" s="19" t="n">
        <f aca="false">+J47</f>
        <v>35567439</v>
      </c>
      <c r="L47" s="19" t="n">
        <f aca="false">+J47/1.19</f>
        <v>29888604.2016807</v>
      </c>
      <c r="M47" s="19" t="n">
        <f aca="false">+L47*19%</f>
        <v>5678834.79831933</v>
      </c>
      <c r="N47" s="16" t="s">
        <v>25</v>
      </c>
      <c r="O47" s="20" t="n">
        <v>2025</v>
      </c>
      <c r="P47" s="21" t="n">
        <f aca="false">+J47</f>
        <v>35567439</v>
      </c>
      <c r="Q47" s="19" t="n">
        <f aca="false">+J47-P47</f>
        <v>0</v>
      </c>
      <c r="R47" s="22" t="str">
        <f aca="false">IF(J47-P47=0,"PAGADA","PENDIENTE")</f>
        <v>PAGADA</v>
      </c>
      <c r="S47" s="18" t="n">
        <v>46034</v>
      </c>
      <c r="T47" s="16"/>
      <c r="U47" s="16"/>
      <c r="V47" s="16"/>
      <c r="W47" s="16"/>
      <c r="X47" s="16"/>
    </row>
    <row r="48" s="8" customFormat="true" ht="13.5" hidden="false" customHeight="false" outlineLevel="0" collapsed="false">
      <c r="A48" s="16" t="s">
        <v>51</v>
      </c>
      <c r="B48" s="16" t="s">
        <v>52</v>
      </c>
      <c r="C48" s="17"/>
      <c r="D48" s="17"/>
      <c r="E48" s="16" t="s">
        <v>24</v>
      </c>
      <c r="F48" s="16" t="n">
        <v>4642</v>
      </c>
      <c r="G48" s="18" t="n">
        <v>46006</v>
      </c>
      <c r="H48" s="18" t="n">
        <f aca="false">+G48+30</f>
        <v>46036</v>
      </c>
      <c r="I48" s="18"/>
      <c r="J48" s="19" t="n">
        <v>452200</v>
      </c>
      <c r="K48" s="19" t="n">
        <f aca="false">+J48</f>
        <v>452200</v>
      </c>
      <c r="L48" s="19" t="n">
        <f aca="false">+J48/1.19</f>
        <v>380000</v>
      </c>
      <c r="M48" s="19" t="n">
        <f aca="false">+L48*19%</f>
        <v>72200</v>
      </c>
      <c r="N48" s="16" t="s">
        <v>25</v>
      </c>
      <c r="O48" s="20" t="n">
        <v>2025</v>
      </c>
      <c r="P48" s="21" t="n">
        <f aca="false">+J48</f>
        <v>452200</v>
      </c>
      <c r="Q48" s="19" t="n">
        <f aca="false">+J48-P48</f>
        <v>0</v>
      </c>
      <c r="R48" s="22" t="str">
        <f aca="false">IF(J48-P48=0,"PAGADA","PENDIENTE")</f>
        <v>PAGADA</v>
      </c>
      <c r="S48" s="18" t="n">
        <v>46035</v>
      </c>
      <c r="T48" s="16"/>
      <c r="U48" s="16"/>
      <c r="V48" s="16"/>
      <c r="W48" s="16"/>
      <c r="X48" s="16"/>
    </row>
    <row r="49" s="8" customFormat="true" ht="13.5" hidden="false" customHeight="false" outlineLevel="0" collapsed="false">
      <c r="A49" s="16" t="s">
        <v>22</v>
      </c>
      <c r="B49" s="16" t="s">
        <v>23</v>
      </c>
      <c r="C49" s="17"/>
      <c r="D49" s="17"/>
      <c r="E49" s="16" t="s">
        <v>24</v>
      </c>
      <c r="F49" s="16" t="n">
        <v>4636</v>
      </c>
      <c r="G49" s="18" t="n">
        <v>46006</v>
      </c>
      <c r="H49" s="18" t="n">
        <f aca="false">+G49+30</f>
        <v>46036</v>
      </c>
      <c r="I49" s="18"/>
      <c r="J49" s="19" t="n">
        <v>385560</v>
      </c>
      <c r="K49" s="19" t="n">
        <f aca="false">+J49</f>
        <v>385560</v>
      </c>
      <c r="L49" s="19" t="n">
        <f aca="false">+J49/1.19</f>
        <v>324000</v>
      </c>
      <c r="M49" s="19" t="n">
        <f aca="false">+L49*19%</f>
        <v>61560</v>
      </c>
      <c r="N49" s="16" t="s">
        <v>25</v>
      </c>
      <c r="O49" s="20" t="n">
        <v>2025</v>
      </c>
      <c r="P49" s="21" t="n">
        <f aca="false">+J49</f>
        <v>385560</v>
      </c>
      <c r="Q49" s="19" t="n">
        <f aca="false">+J49-P49</f>
        <v>0</v>
      </c>
      <c r="R49" s="22" t="str">
        <f aca="false">IF(J49-P49=0,"PAGADA","PENDIENTE")</f>
        <v>PAGADA</v>
      </c>
      <c r="S49" s="18" t="n">
        <v>46036</v>
      </c>
      <c r="T49" s="16"/>
      <c r="U49" s="16"/>
      <c r="V49" s="16"/>
      <c r="W49" s="16"/>
      <c r="X49" s="16"/>
    </row>
    <row r="50" s="8" customFormat="true" ht="13.5" hidden="false" customHeight="false" outlineLevel="0" collapsed="false">
      <c r="A50" s="16" t="s">
        <v>53</v>
      </c>
      <c r="B50" s="16" t="s">
        <v>54</v>
      </c>
      <c r="C50" s="17"/>
      <c r="D50" s="17"/>
      <c r="E50" s="16" t="s">
        <v>24</v>
      </c>
      <c r="F50" s="16" t="n">
        <v>4639</v>
      </c>
      <c r="G50" s="18" t="n">
        <v>46006</v>
      </c>
      <c r="H50" s="18" t="n">
        <f aca="false">+G50+30</f>
        <v>46036</v>
      </c>
      <c r="I50" s="18"/>
      <c r="J50" s="19" t="n">
        <v>734790</v>
      </c>
      <c r="K50" s="19" t="n">
        <f aca="false">+J50</f>
        <v>734790</v>
      </c>
      <c r="L50" s="19" t="n">
        <f aca="false">+J50/1.19</f>
        <v>617470.588235294</v>
      </c>
      <c r="M50" s="19" t="n">
        <f aca="false">+L50*19%</f>
        <v>117319.411764706</v>
      </c>
      <c r="N50" s="16" t="s">
        <v>25</v>
      </c>
      <c r="O50" s="20" t="n">
        <v>2025</v>
      </c>
      <c r="P50" s="21" t="n">
        <f aca="false">+J50</f>
        <v>734790</v>
      </c>
      <c r="Q50" s="19" t="n">
        <f aca="false">+J50-P50</f>
        <v>0</v>
      </c>
      <c r="R50" s="22" t="str">
        <f aca="false">IF(J50-P50=0,"PAGADA","PENDIENTE")</f>
        <v>PAGADA</v>
      </c>
      <c r="S50" s="18" t="n">
        <v>46021</v>
      </c>
      <c r="T50" s="16"/>
      <c r="U50" s="16"/>
      <c r="V50" s="16"/>
      <c r="W50" s="16"/>
      <c r="X50" s="16"/>
    </row>
    <row r="51" s="8" customFormat="true" ht="13.5" hidden="false" customHeight="false" outlineLevel="0" collapsed="false">
      <c r="A51" s="16" t="s">
        <v>53</v>
      </c>
      <c r="B51" s="16" t="s">
        <v>54</v>
      </c>
      <c r="C51" s="17"/>
      <c r="D51" s="17"/>
      <c r="E51" s="16" t="s">
        <v>24</v>
      </c>
      <c r="F51" s="16" t="n">
        <v>4640</v>
      </c>
      <c r="G51" s="18" t="n">
        <v>46006</v>
      </c>
      <c r="H51" s="18" t="n">
        <f aca="false">+G51+30</f>
        <v>46036</v>
      </c>
      <c r="I51" s="18"/>
      <c r="J51" s="19" t="n">
        <v>706125</v>
      </c>
      <c r="K51" s="19" t="n">
        <f aca="false">+J51</f>
        <v>706125</v>
      </c>
      <c r="L51" s="19" t="n">
        <f aca="false">+J51/1.19</f>
        <v>593382.352941177</v>
      </c>
      <c r="M51" s="19" t="n">
        <f aca="false">+L51*19%</f>
        <v>112742.647058824</v>
      </c>
      <c r="N51" s="16" t="s">
        <v>25</v>
      </c>
      <c r="O51" s="20" t="n">
        <v>2025</v>
      </c>
      <c r="P51" s="21" t="n">
        <f aca="false">+J51</f>
        <v>706125</v>
      </c>
      <c r="Q51" s="19" t="n">
        <f aca="false">+J51-P51</f>
        <v>0</v>
      </c>
      <c r="R51" s="22" t="str">
        <f aca="false">IF(J51-P51=0,"PAGADA","PENDIENTE")</f>
        <v>PAGADA</v>
      </c>
      <c r="S51" s="18" t="n">
        <v>46021</v>
      </c>
      <c r="T51" s="16"/>
      <c r="U51" s="16"/>
      <c r="V51" s="16"/>
      <c r="W51" s="16"/>
      <c r="X51" s="16"/>
    </row>
    <row r="52" s="8" customFormat="true" ht="13.5" hidden="false" customHeight="false" outlineLevel="0" collapsed="false">
      <c r="A52" s="16" t="s">
        <v>55</v>
      </c>
      <c r="B52" s="16" t="s">
        <v>56</v>
      </c>
      <c r="C52" s="17"/>
      <c r="D52" s="17"/>
      <c r="E52" s="16" t="s">
        <v>24</v>
      </c>
      <c r="F52" s="16" t="n">
        <v>4641</v>
      </c>
      <c r="G52" s="18" t="n">
        <v>46006</v>
      </c>
      <c r="H52" s="18" t="n">
        <f aca="false">+G52+30</f>
        <v>46036</v>
      </c>
      <c r="I52" s="18"/>
      <c r="J52" s="19" t="n">
        <v>366920</v>
      </c>
      <c r="K52" s="19" t="n">
        <f aca="false">+J52</f>
        <v>366920</v>
      </c>
      <c r="L52" s="19" t="n">
        <f aca="false">+J52/1.19</f>
        <v>308336.134453782</v>
      </c>
      <c r="M52" s="19" t="n">
        <f aca="false">+L52*19%</f>
        <v>58583.8655462185</v>
      </c>
      <c r="N52" s="16" t="s">
        <v>25</v>
      </c>
      <c r="O52" s="20" t="n">
        <v>2025</v>
      </c>
      <c r="P52" s="21" t="n">
        <f aca="false">+J52</f>
        <v>366920</v>
      </c>
      <c r="Q52" s="19" t="n">
        <f aca="false">+J52-P52</f>
        <v>0</v>
      </c>
      <c r="R52" s="22" t="str">
        <f aca="false">IF(J52-P52=0,"PAGADA","PENDIENTE")</f>
        <v>PAGADA</v>
      </c>
      <c r="S52" s="18" t="n">
        <v>46021</v>
      </c>
      <c r="T52" s="16"/>
      <c r="U52" s="16"/>
      <c r="V52" s="16"/>
      <c r="W52" s="16"/>
      <c r="X52" s="16"/>
    </row>
    <row r="53" s="8" customFormat="true" ht="13.5" hidden="false" customHeight="false" outlineLevel="0" collapsed="false">
      <c r="A53" s="16" t="s">
        <v>57</v>
      </c>
      <c r="B53" s="16" t="s">
        <v>58</v>
      </c>
      <c r="C53" s="17"/>
      <c r="D53" s="17"/>
      <c r="E53" s="16" t="s">
        <v>24</v>
      </c>
      <c r="F53" s="16" t="n">
        <v>4643</v>
      </c>
      <c r="G53" s="18" t="n">
        <v>46006</v>
      </c>
      <c r="H53" s="18" t="n">
        <f aca="false">+G53+30</f>
        <v>46036</v>
      </c>
      <c r="I53" s="18"/>
      <c r="J53" s="19" t="n">
        <v>1595701</v>
      </c>
      <c r="K53" s="19" t="n">
        <f aca="false">+J53</f>
        <v>1595701</v>
      </c>
      <c r="L53" s="19" t="n">
        <f aca="false">+J53/1.19</f>
        <v>1340925.21008403</v>
      </c>
      <c r="M53" s="19" t="n">
        <f aca="false">+L53*19%</f>
        <v>254775.789915966</v>
      </c>
      <c r="N53" s="16" t="s">
        <v>25</v>
      </c>
      <c r="O53" s="20" t="n">
        <v>2025</v>
      </c>
      <c r="P53" s="21" t="n">
        <f aca="false">+J53</f>
        <v>1595701</v>
      </c>
      <c r="Q53" s="19" t="n">
        <f aca="false">+J53-P53</f>
        <v>0</v>
      </c>
      <c r="R53" s="22" t="str">
        <f aca="false">IF(J53-P53=0,"PAGADA","PENDIENTE")</f>
        <v>PAGADA</v>
      </c>
      <c r="S53" s="18" t="n">
        <v>46015</v>
      </c>
      <c r="T53" s="16"/>
      <c r="U53" s="16"/>
      <c r="V53" s="16"/>
      <c r="W53" s="16"/>
      <c r="X53" s="16"/>
    </row>
    <row r="54" s="8" customFormat="true" ht="13.5" hidden="false" customHeight="false" outlineLevel="0" collapsed="false">
      <c r="A54" s="16" t="s">
        <v>57</v>
      </c>
      <c r="B54" s="16" t="s">
        <v>58</v>
      </c>
      <c r="C54" s="17"/>
      <c r="D54" s="17"/>
      <c r="E54" s="16" t="s">
        <v>24</v>
      </c>
      <c r="F54" s="16" t="n">
        <v>4644</v>
      </c>
      <c r="G54" s="18" t="n">
        <v>46006</v>
      </c>
      <c r="H54" s="18" t="n">
        <f aca="false">+G54+30</f>
        <v>46036</v>
      </c>
      <c r="I54" s="18"/>
      <c r="J54" s="19" t="n">
        <v>524621</v>
      </c>
      <c r="K54" s="19" t="n">
        <f aca="false">+J54</f>
        <v>524621</v>
      </c>
      <c r="L54" s="19" t="n">
        <f aca="false">+J54/1.19</f>
        <v>440857.983193277</v>
      </c>
      <c r="M54" s="19" t="n">
        <f aca="false">+L54*19%</f>
        <v>83763.0168067227</v>
      </c>
      <c r="N54" s="16" t="s">
        <v>25</v>
      </c>
      <c r="O54" s="20" t="n">
        <v>2025</v>
      </c>
      <c r="P54" s="21" t="n">
        <f aca="false">+J54</f>
        <v>524621</v>
      </c>
      <c r="Q54" s="19" t="n">
        <f aca="false">+J54-P54</f>
        <v>0</v>
      </c>
      <c r="R54" s="22" t="str">
        <f aca="false">IF(J54-P54=0,"PAGADA","PENDIENTE")</f>
        <v>PAGADA</v>
      </c>
      <c r="S54" s="18" t="n">
        <v>46015</v>
      </c>
      <c r="T54" s="16"/>
      <c r="U54" s="16"/>
      <c r="V54" s="16"/>
      <c r="W54" s="16"/>
      <c r="X54" s="16"/>
    </row>
    <row r="55" s="8" customFormat="true" ht="13.5" hidden="false" customHeight="false" outlineLevel="0" collapsed="false">
      <c r="A55" s="30" t="s">
        <v>59</v>
      </c>
      <c r="B55" s="30" t="s">
        <v>60</v>
      </c>
      <c r="C55" s="31" t="s">
        <v>61</v>
      </c>
      <c r="D55" s="31"/>
      <c r="E55" s="30" t="s">
        <v>24</v>
      </c>
      <c r="F55" s="30" t="n">
        <v>4645</v>
      </c>
      <c r="G55" s="32" t="n">
        <v>46006</v>
      </c>
      <c r="H55" s="32" t="n">
        <f aca="false">+G55+30</f>
        <v>46036</v>
      </c>
      <c r="I55" s="32" t="s">
        <v>61</v>
      </c>
      <c r="J55" s="33" t="n">
        <v>20066559</v>
      </c>
      <c r="K55" s="33" t="n">
        <f aca="false">+J55</f>
        <v>20066559</v>
      </c>
      <c r="L55" s="33" t="n">
        <f aca="false">+J55/1.19</f>
        <v>16862654.6218487</v>
      </c>
      <c r="M55" s="33" t="n">
        <f aca="false">+L55*19%</f>
        <v>3203904.37815126</v>
      </c>
      <c r="N55" s="30" t="s">
        <v>25</v>
      </c>
      <c r="O55" s="34" t="n">
        <v>2025</v>
      </c>
      <c r="P55" s="35" t="n">
        <f aca="false">+J55</f>
        <v>20066559</v>
      </c>
      <c r="Q55" s="33" t="n">
        <f aca="false">+J55-P55</f>
        <v>0</v>
      </c>
      <c r="R55" s="36" t="str">
        <f aca="false">IF(J55-P55=0,"PAGADA","PENDIENTE")</f>
        <v>PAGADA</v>
      </c>
      <c r="S55" s="30" t="s">
        <v>62</v>
      </c>
      <c r="T55" s="30"/>
      <c r="U55" s="30"/>
      <c r="V55" s="30"/>
      <c r="W55" s="30"/>
      <c r="X55" s="30"/>
    </row>
    <row r="56" s="8" customFormat="true" ht="13.5" hidden="false" customHeight="false" outlineLevel="0" collapsed="false">
      <c r="A56" s="30" t="s">
        <v>59</v>
      </c>
      <c r="B56" s="30" t="s">
        <v>60</v>
      </c>
      <c r="C56" s="31" t="s">
        <v>61</v>
      </c>
      <c r="D56" s="31"/>
      <c r="E56" s="30" t="s">
        <v>24</v>
      </c>
      <c r="F56" s="30" t="n">
        <v>4646</v>
      </c>
      <c r="G56" s="32" t="n">
        <v>46006</v>
      </c>
      <c r="H56" s="32" t="n">
        <f aca="false">+G56+30</f>
        <v>46036</v>
      </c>
      <c r="I56" s="32" t="s">
        <v>61</v>
      </c>
      <c r="J56" s="33" t="n">
        <v>11300129</v>
      </c>
      <c r="K56" s="33" t="n">
        <f aca="false">+J56</f>
        <v>11300129</v>
      </c>
      <c r="L56" s="33" t="n">
        <f aca="false">+J56/1.19</f>
        <v>9495906.72268908</v>
      </c>
      <c r="M56" s="33" t="n">
        <f aca="false">+L56*19%</f>
        <v>1804222.27731092</v>
      </c>
      <c r="N56" s="30" t="s">
        <v>25</v>
      </c>
      <c r="O56" s="34" t="n">
        <v>2025</v>
      </c>
      <c r="P56" s="35" t="n">
        <f aca="false">+J56</f>
        <v>11300129</v>
      </c>
      <c r="Q56" s="33" t="n">
        <f aca="false">+J56-P56</f>
        <v>0</v>
      </c>
      <c r="R56" s="36" t="str">
        <f aca="false">IF(J56-P56=0,"PAGADA","PENDIENTE")</f>
        <v>PAGADA</v>
      </c>
      <c r="S56" s="30" t="s">
        <v>62</v>
      </c>
      <c r="T56" s="30"/>
      <c r="U56" s="30"/>
      <c r="V56" s="30"/>
      <c r="W56" s="30"/>
      <c r="X56" s="30"/>
    </row>
    <row r="57" s="8" customFormat="true" ht="13.5" hidden="false" customHeight="false" outlineLevel="0" collapsed="false">
      <c r="A57" s="30" t="s">
        <v>59</v>
      </c>
      <c r="B57" s="30" t="s">
        <v>60</v>
      </c>
      <c r="C57" s="31" t="s">
        <v>61</v>
      </c>
      <c r="D57" s="31"/>
      <c r="E57" s="30" t="s">
        <v>24</v>
      </c>
      <c r="F57" s="30" t="n">
        <v>4647</v>
      </c>
      <c r="G57" s="32" t="n">
        <v>46006</v>
      </c>
      <c r="H57" s="32" t="n">
        <f aca="false">+G57+30</f>
        <v>46036</v>
      </c>
      <c r="I57" s="32" t="s">
        <v>61</v>
      </c>
      <c r="J57" s="33" t="n">
        <v>2380000</v>
      </c>
      <c r="K57" s="33" t="n">
        <f aca="false">+J57</f>
        <v>2380000</v>
      </c>
      <c r="L57" s="33" t="n">
        <f aca="false">+J57/1.19</f>
        <v>2000000</v>
      </c>
      <c r="M57" s="33" t="n">
        <f aca="false">+L57*19%</f>
        <v>380000</v>
      </c>
      <c r="N57" s="30" t="s">
        <v>25</v>
      </c>
      <c r="O57" s="34" t="n">
        <v>2025</v>
      </c>
      <c r="P57" s="35" t="n">
        <f aca="false">+J57</f>
        <v>2380000</v>
      </c>
      <c r="Q57" s="33" t="n">
        <f aca="false">+J57-P57</f>
        <v>0</v>
      </c>
      <c r="R57" s="36" t="str">
        <f aca="false">IF(J57-P57=0,"PAGADA","PENDIENTE")</f>
        <v>PAGADA</v>
      </c>
      <c r="S57" s="30" t="s">
        <v>62</v>
      </c>
      <c r="T57" s="30"/>
      <c r="U57" s="30"/>
      <c r="V57" s="30"/>
      <c r="W57" s="30"/>
      <c r="X57" s="30"/>
    </row>
    <row r="58" s="8" customFormat="true" ht="13.5" hidden="false" customHeight="false" outlineLevel="0" collapsed="false">
      <c r="A58" s="30" t="s">
        <v>59</v>
      </c>
      <c r="B58" s="30" t="s">
        <v>60</v>
      </c>
      <c r="C58" s="31" t="s">
        <v>61</v>
      </c>
      <c r="D58" s="31"/>
      <c r="E58" s="30" t="s">
        <v>24</v>
      </c>
      <c r="F58" s="30" t="n">
        <v>4648</v>
      </c>
      <c r="G58" s="32" t="n">
        <v>46006</v>
      </c>
      <c r="H58" s="32" t="n">
        <f aca="false">+G58+30</f>
        <v>46036</v>
      </c>
      <c r="I58" s="32" t="s">
        <v>61</v>
      </c>
      <c r="J58" s="33" t="n">
        <v>3108290</v>
      </c>
      <c r="K58" s="33" t="n">
        <f aca="false">+J58</f>
        <v>3108290</v>
      </c>
      <c r="L58" s="33" t="n">
        <f aca="false">+J58/1.19</f>
        <v>2612008.40336134</v>
      </c>
      <c r="M58" s="33" t="n">
        <f aca="false">+L58*19%</f>
        <v>496281.596638656</v>
      </c>
      <c r="N58" s="30" t="s">
        <v>25</v>
      </c>
      <c r="O58" s="34" t="n">
        <v>2025</v>
      </c>
      <c r="P58" s="35" t="n">
        <f aca="false">+J58</f>
        <v>3108290</v>
      </c>
      <c r="Q58" s="33" t="n">
        <f aca="false">+J58-P58</f>
        <v>0</v>
      </c>
      <c r="R58" s="36" t="str">
        <f aca="false">IF(J58-P58=0,"PAGADA","PENDIENTE")</f>
        <v>PAGADA</v>
      </c>
      <c r="S58" s="30" t="s">
        <v>62</v>
      </c>
      <c r="T58" s="30"/>
      <c r="U58" s="30"/>
      <c r="V58" s="30"/>
      <c r="W58" s="30"/>
      <c r="X58" s="30"/>
    </row>
    <row r="59" s="8" customFormat="true" ht="13.5" hidden="false" customHeight="false" outlineLevel="0" collapsed="false">
      <c r="A59" s="30" t="s">
        <v>59</v>
      </c>
      <c r="B59" s="30" t="s">
        <v>60</v>
      </c>
      <c r="C59" s="31" t="s">
        <v>61</v>
      </c>
      <c r="D59" s="31"/>
      <c r="E59" s="30" t="s">
        <v>24</v>
      </c>
      <c r="F59" s="30" t="n">
        <v>4649</v>
      </c>
      <c r="G59" s="32" t="n">
        <v>46006</v>
      </c>
      <c r="H59" s="32" t="n">
        <f aca="false">+G59+30</f>
        <v>46036</v>
      </c>
      <c r="I59" s="32" t="s">
        <v>61</v>
      </c>
      <c r="J59" s="33" t="n">
        <v>1785000</v>
      </c>
      <c r="K59" s="33" t="n">
        <f aca="false">+J59</f>
        <v>1785000</v>
      </c>
      <c r="L59" s="33" t="n">
        <f aca="false">+J59/1.19</f>
        <v>1500000</v>
      </c>
      <c r="M59" s="33" t="n">
        <f aca="false">+L59*19%</f>
        <v>285000</v>
      </c>
      <c r="N59" s="30" t="s">
        <v>25</v>
      </c>
      <c r="O59" s="34" t="n">
        <v>2025</v>
      </c>
      <c r="P59" s="35" t="n">
        <f aca="false">+J59</f>
        <v>1785000</v>
      </c>
      <c r="Q59" s="33" t="n">
        <f aca="false">+J59-P59</f>
        <v>0</v>
      </c>
      <c r="R59" s="36" t="str">
        <f aca="false">IF(J59-P59=0,"PAGADA","PENDIENTE")</f>
        <v>PAGADA</v>
      </c>
      <c r="S59" s="30" t="s">
        <v>62</v>
      </c>
      <c r="T59" s="30"/>
      <c r="U59" s="30"/>
      <c r="V59" s="30"/>
      <c r="W59" s="30"/>
      <c r="X59" s="30"/>
    </row>
    <row r="60" s="8" customFormat="true" ht="13.5" hidden="false" customHeight="false" outlineLevel="0" collapsed="false">
      <c r="A60" s="30" t="s">
        <v>59</v>
      </c>
      <c r="B60" s="30" t="s">
        <v>60</v>
      </c>
      <c r="C60" s="31" t="s">
        <v>61</v>
      </c>
      <c r="D60" s="31"/>
      <c r="E60" s="30" t="s">
        <v>24</v>
      </c>
      <c r="F60" s="30" t="n">
        <v>4650</v>
      </c>
      <c r="G60" s="32" t="n">
        <v>46006</v>
      </c>
      <c r="H60" s="32" t="n">
        <f aca="false">+G60+30</f>
        <v>46036</v>
      </c>
      <c r="I60" s="32" t="s">
        <v>61</v>
      </c>
      <c r="J60" s="33" t="n">
        <v>1785000</v>
      </c>
      <c r="K60" s="33" t="n">
        <f aca="false">+J60</f>
        <v>1785000</v>
      </c>
      <c r="L60" s="33" t="n">
        <f aca="false">+J60/1.19</f>
        <v>1500000</v>
      </c>
      <c r="M60" s="33" t="n">
        <f aca="false">+L60*19%</f>
        <v>285000</v>
      </c>
      <c r="N60" s="30" t="s">
        <v>25</v>
      </c>
      <c r="O60" s="34" t="n">
        <v>2025</v>
      </c>
      <c r="P60" s="35" t="n">
        <f aca="false">+J60</f>
        <v>1785000</v>
      </c>
      <c r="Q60" s="33" t="n">
        <f aca="false">+J60-P60</f>
        <v>0</v>
      </c>
      <c r="R60" s="36" t="str">
        <f aca="false">IF(J60-P60=0,"PAGADA","PENDIENTE")</f>
        <v>PAGADA</v>
      </c>
      <c r="S60" s="30" t="s">
        <v>62</v>
      </c>
      <c r="T60" s="30"/>
      <c r="U60" s="30"/>
      <c r="V60" s="30"/>
      <c r="W60" s="30"/>
      <c r="X60" s="30"/>
    </row>
    <row r="61" s="8" customFormat="true" ht="13.5" hidden="false" customHeight="false" outlineLevel="0" collapsed="false">
      <c r="A61" s="16" t="n">
        <v>0</v>
      </c>
      <c r="B61" s="16" t="s">
        <v>63</v>
      </c>
      <c r="C61" s="17"/>
      <c r="D61" s="17"/>
      <c r="E61" s="16" t="s">
        <v>24</v>
      </c>
      <c r="F61" s="16" t="n">
        <v>4652</v>
      </c>
      <c r="G61" s="18" t="n">
        <v>46006</v>
      </c>
      <c r="H61" s="18" t="n">
        <f aca="false">+G61+30</f>
        <v>46036</v>
      </c>
      <c r="I61" s="18"/>
      <c r="J61" s="19" t="n">
        <v>0</v>
      </c>
      <c r="K61" s="19" t="n">
        <f aca="false">+J61</f>
        <v>0</v>
      </c>
      <c r="L61" s="19" t="n">
        <f aca="false">+J61/1.19</f>
        <v>0</v>
      </c>
      <c r="M61" s="19" t="n">
        <f aca="false">+L61*19%</f>
        <v>0</v>
      </c>
      <c r="N61" s="16" t="s">
        <v>25</v>
      </c>
      <c r="O61" s="20" t="n">
        <v>2025</v>
      </c>
      <c r="P61" s="21"/>
      <c r="Q61" s="19" t="n">
        <f aca="false">+J61-P61</f>
        <v>0</v>
      </c>
      <c r="R61" s="22" t="str">
        <f aca="false">IF(J61-P61=0,"PAGADA","PENDIENTE")</f>
        <v>PAGADA</v>
      </c>
      <c r="S61" s="16"/>
      <c r="T61" s="16"/>
      <c r="U61" s="16"/>
      <c r="V61" s="16"/>
      <c r="W61" s="16"/>
      <c r="X61" s="16"/>
    </row>
    <row r="62" s="8" customFormat="true" ht="13.5" hidden="false" customHeight="false" outlineLevel="0" collapsed="false">
      <c r="A62" s="16" t="n">
        <v>0</v>
      </c>
      <c r="B62" s="16" t="s">
        <v>63</v>
      </c>
      <c r="C62" s="17"/>
      <c r="D62" s="17"/>
      <c r="E62" s="16" t="s">
        <v>24</v>
      </c>
      <c r="F62" s="16" t="n">
        <v>4653</v>
      </c>
      <c r="G62" s="18" t="n">
        <v>46006</v>
      </c>
      <c r="H62" s="18" t="n">
        <f aca="false">+G62+30</f>
        <v>46036</v>
      </c>
      <c r="I62" s="18"/>
      <c r="J62" s="19" t="n">
        <v>0</v>
      </c>
      <c r="K62" s="19" t="n">
        <f aca="false">+J62</f>
        <v>0</v>
      </c>
      <c r="L62" s="19" t="n">
        <f aca="false">+J62/1.19</f>
        <v>0</v>
      </c>
      <c r="M62" s="19" t="n">
        <f aca="false">+L62*19%</f>
        <v>0</v>
      </c>
      <c r="N62" s="16" t="s">
        <v>25</v>
      </c>
      <c r="O62" s="20" t="n">
        <v>2025</v>
      </c>
      <c r="P62" s="21"/>
      <c r="Q62" s="19" t="n">
        <f aca="false">+J62-P62</f>
        <v>0</v>
      </c>
      <c r="R62" s="22" t="str">
        <f aca="false">IF(J62-P62=0,"PAGADA","PENDIENTE")</f>
        <v>PAGADA</v>
      </c>
      <c r="S62" s="16"/>
      <c r="T62" s="16"/>
      <c r="U62" s="16"/>
      <c r="V62" s="16"/>
      <c r="W62" s="16"/>
      <c r="X62" s="16"/>
    </row>
    <row r="63" s="8" customFormat="true" ht="13.5" hidden="false" customHeight="false" outlineLevel="0" collapsed="false">
      <c r="A63" s="16" t="s">
        <v>45</v>
      </c>
      <c r="B63" s="16" t="s">
        <v>46</v>
      </c>
      <c r="C63" s="17"/>
      <c r="D63" s="17"/>
      <c r="E63" s="16" t="s">
        <v>24</v>
      </c>
      <c r="F63" s="16" t="n">
        <v>4637</v>
      </c>
      <c r="G63" s="18" t="n">
        <v>46006</v>
      </c>
      <c r="H63" s="18" t="n">
        <f aca="false">+G63+30</f>
        <v>46036</v>
      </c>
      <c r="I63" s="18"/>
      <c r="J63" s="19" t="n">
        <v>3506781</v>
      </c>
      <c r="K63" s="19" t="n">
        <f aca="false">+J63</f>
        <v>3506781</v>
      </c>
      <c r="L63" s="19" t="n">
        <f aca="false">+J63/1.19</f>
        <v>2946874.78991597</v>
      </c>
      <c r="M63" s="19" t="n">
        <f aca="false">+L63*19%</f>
        <v>559906.210084034</v>
      </c>
      <c r="N63" s="16" t="s">
        <v>25</v>
      </c>
      <c r="O63" s="20" t="n">
        <v>2025</v>
      </c>
      <c r="P63" s="21" t="n">
        <f aca="false">+J63</f>
        <v>3506781</v>
      </c>
      <c r="Q63" s="19" t="n">
        <f aca="false">+J63-P63</f>
        <v>0</v>
      </c>
      <c r="R63" s="22" t="str">
        <f aca="false">IF(J63-P63=0,"PAGADA","PENDIENTE")</f>
        <v>PAGADA</v>
      </c>
      <c r="S63" s="18" t="n">
        <v>46054</v>
      </c>
      <c r="T63" s="16"/>
      <c r="U63" s="16"/>
      <c r="V63" s="16"/>
      <c r="W63" s="16"/>
      <c r="X63" s="16"/>
    </row>
    <row r="64" s="8" customFormat="true" ht="13.5" hidden="false" customHeight="false" outlineLevel="0" collapsed="false">
      <c r="A64" s="16" t="s">
        <v>45</v>
      </c>
      <c r="B64" s="16" t="s">
        <v>46</v>
      </c>
      <c r="C64" s="17"/>
      <c r="D64" s="17"/>
      <c r="E64" s="16" t="s">
        <v>24</v>
      </c>
      <c r="F64" s="16" t="n">
        <v>4638</v>
      </c>
      <c r="G64" s="18" t="n">
        <v>46006</v>
      </c>
      <c r="H64" s="18" t="n">
        <f aca="false">+G64+30</f>
        <v>46036</v>
      </c>
      <c r="I64" s="18"/>
      <c r="J64" s="19" t="n">
        <v>3506781</v>
      </c>
      <c r="K64" s="19" t="n">
        <f aca="false">+J64</f>
        <v>3506781</v>
      </c>
      <c r="L64" s="19" t="n">
        <f aca="false">+J64/1.19</f>
        <v>2946874.78991597</v>
      </c>
      <c r="M64" s="19" t="n">
        <f aca="false">+L64*19%</f>
        <v>559906.210084034</v>
      </c>
      <c r="N64" s="16" t="s">
        <v>25</v>
      </c>
      <c r="O64" s="20" t="n">
        <v>2025</v>
      </c>
      <c r="P64" s="21" t="n">
        <f aca="false">+J64</f>
        <v>3506781</v>
      </c>
      <c r="Q64" s="19" t="n">
        <f aca="false">+J64-P64</f>
        <v>0</v>
      </c>
      <c r="R64" s="22" t="str">
        <f aca="false">IF(J64-P64=0,"PAGADA","PENDIENTE")</f>
        <v>PAGADA</v>
      </c>
      <c r="S64" s="18" t="n">
        <v>46054</v>
      </c>
      <c r="T64" s="16"/>
      <c r="U64" s="16"/>
      <c r="V64" s="16"/>
      <c r="W64" s="16"/>
      <c r="X64" s="16"/>
    </row>
    <row r="65" s="8" customFormat="true" ht="13.5" hidden="false" customHeight="false" outlineLevel="0" collapsed="false">
      <c r="A65" s="16" t="s">
        <v>64</v>
      </c>
      <c r="B65" s="16" t="s">
        <v>65</v>
      </c>
      <c r="C65" s="17"/>
      <c r="D65" s="17"/>
      <c r="E65" s="16" t="s">
        <v>24</v>
      </c>
      <c r="F65" s="16" t="n">
        <v>4655</v>
      </c>
      <c r="G65" s="18" t="n">
        <v>46009</v>
      </c>
      <c r="H65" s="18" t="n">
        <f aca="false">+G65+30</f>
        <v>46039</v>
      </c>
      <c r="I65" s="18"/>
      <c r="J65" s="19" t="n">
        <v>32192148</v>
      </c>
      <c r="K65" s="19" t="n">
        <f aca="false">+J65</f>
        <v>32192148</v>
      </c>
      <c r="L65" s="19" t="n">
        <f aca="false">+J65/1.19</f>
        <v>27052225.210084</v>
      </c>
      <c r="M65" s="19" t="n">
        <f aca="false">+L65*19%</f>
        <v>5139922.78991597</v>
      </c>
      <c r="N65" s="16" t="s">
        <v>25</v>
      </c>
      <c r="O65" s="20" t="n">
        <v>2025</v>
      </c>
      <c r="P65" s="21" t="n">
        <f aca="false">+J65</f>
        <v>32192148</v>
      </c>
      <c r="Q65" s="19" t="n">
        <f aca="false">+J65-P65</f>
        <v>0</v>
      </c>
      <c r="R65" s="22" t="str">
        <f aca="false">IF(J65-P65=0,"PAGADA","PENDIENTE")</f>
        <v>PAGADA</v>
      </c>
      <c r="S65" s="18" t="n">
        <v>46037</v>
      </c>
      <c r="T65" s="16"/>
      <c r="U65" s="16"/>
      <c r="V65" s="16"/>
      <c r="W65" s="16"/>
      <c r="X65" s="16"/>
    </row>
    <row r="66" s="8" customFormat="true" ht="13.5" hidden="false" customHeight="false" outlineLevel="0" collapsed="false">
      <c r="A66" s="16" t="s">
        <v>66</v>
      </c>
      <c r="B66" s="16" t="s">
        <v>67</v>
      </c>
      <c r="C66" s="17"/>
      <c r="D66" s="17"/>
      <c r="E66" s="16" t="s">
        <v>24</v>
      </c>
      <c r="F66" s="16" t="n">
        <v>4654</v>
      </c>
      <c r="G66" s="18" t="n">
        <v>46009</v>
      </c>
      <c r="H66" s="18" t="n">
        <f aca="false">+G66+30</f>
        <v>46039</v>
      </c>
      <c r="I66" s="18"/>
      <c r="J66" s="19" t="n">
        <v>43167481</v>
      </c>
      <c r="K66" s="19" t="n">
        <f aca="false">+J66</f>
        <v>43167481</v>
      </c>
      <c r="L66" s="19" t="n">
        <f aca="false">+J66/1.19</f>
        <v>36275194.1176471</v>
      </c>
      <c r="M66" s="19" t="n">
        <f aca="false">+L66*19%</f>
        <v>6892286.88235294</v>
      </c>
      <c r="N66" s="16" t="s">
        <v>25</v>
      </c>
      <c r="O66" s="20" t="n">
        <v>2025</v>
      </c>
      <c r="P66" s="21" t="n">
        <f aca="false">+J66</f>
        <v>43167481</v>
      </c>
      <c r="Q66" s="19" t="n">
        <f aca="false">+J66-P66</f>
        <v>0</v>
      </c>
      <c r="R66" s="22" t="str">
        <f aca="false">IF(J66-P66=0,"PAGADA","PENDIENTE")</f>
        <v>PAGADA</v>
      </c>
      <c r="S66" s="18" t="n">
        <v>46015</v>
      </c>
      <c r="T66" s="16"/>
      <c r="U66" s="16"/>
      <c r="V66" s="16"/>
      <c r="W66" s="16"/>
      <c r="X66" s="16"/>
    </row>
    <row r="67" s="8" customFormat="true" ht="13.5" hidden="false" customHeight="false" outlineLevel="0" collapsed="false">
      <c r="A67" s="16" t="s">
        <v>68</v>
      </c>
      <c r="B67" s="16" t="s">
        <v>69</v>
      </c>
      <c r="C67" s="17"/>
      <c r="D67" s="17"/>
      <c r="E67" s="16" t="s">
        <v>24</v>
      </c>
      <c r="F67" s="16" t="n">
        <v>4662</v>
      </c>
      <c r="G67" s="18" t="n">
        <v>46010</v>
      </c>
      <c r="H67" s="18" t="n">
        <f aca="false">+G67+30</f>
        <v>46040</v>
      </c>
      <c r="I67" s="18"/>
      <c r="J67" s="19" t="n">
        <v>51876633</v>
      </c>
      <c r="K67" s="19" t="n">
        <f aca="false">+J67</f>
        <v>51876633</v>
      </c>
      <c r="L67" s="19" t="n">
        <f aca="false">+J67/1.19</f>
        <v>43593809.2436975</v>
      </c>
      <c r="M67" s="19" t="n">
        <f aca="false">+L67*19%</f>
        <v>8282823.75630252</v>
      </c>
      <c r="N67" s="16" t="s">
        <v>25</v>
      </c>
      <c r="O67" s="20" t="n">
        <v>2025</v>
      </c>
      <c r="P67" s="21" t="n">
        <f aca="false">+J67</f>
        <v>51876633</v>
      </c>
      <c r="Q67" s="19" t="n">
        <f aca="false">+J67-P67</f>
        <v>0</v>
      </c>
      <c r="R67" s="22" t="str">
        <f aca="false">IF(J67-P67=0,"PAGADA","PENDIENTE")</f>
        <v>PAGADA</v>
      </c>
      <c r="S67" s="18" t="n">
        <v>46025</v>
      </c>
      <c r="T67" s="16"/>
      <c r="U67" s="16"/>
      <c r="V67" s="16"/>
      <c r="W67" s="16"/>
      <c r="X67" s="16"/>
    </row>
    <row r="68" s="8" customFormat="true" ht="13.5" hidden="false" customHeight="false" outlineLevel="0" collapsed="false">
      <c r="A68" s="16" t="s">
        <v>68</v>
      </c>
      <c r="B68" s="16" t="s">
        <v>69</v>
      </c>
      <c r="C68" s="17"/>
      <c r="D68" s="17"/>
      <c r="E68" s="16" t="s">
        <v>24</v>
      </c>
      <c r="F68" s="16" t="n">
        <v>4663</v>
      </c>
      <c r="G68" s="18" t="n">
        <v>46010</v>
      </c>
      <c r="H68" s="18" t="n">
        <f aca="false">+G68+30</f>
        <v>46040</v>
      </c>
      <c r="I68" s="18"/>
      <c r="J68" s="19" t="n">
        <v>122224</v>
      </c>
      <c r="K68" s="19" t="n">
        <f aca="false">+J68</f>
        <v>122224</v>
      </c>
      <c r="L68" s="19" t="n">
        <f aca="false">+J68/1.19</f>
        <v>102709.243697479</v>
      </c>
      <c r="M68" s="19" t="n">
        <f aca="false">+L68*19%</f>
        <v>19514.756302521</v>
      </c>
      <c r="N68" s="16" t="s">
        <v>25</v>
      </c>
      <c r="O68" s="20" t="n">
        <v>2025</v>
      </c>
      <c r="P68" s="21" t="n">
        <f aca="false">+J68</f>
        <v>122224</v>
      </c>
      <c r="Q68" s="19" t="n">
        <f aca="false">+J68-P68</f>
        <v>0</v>
      </c>
      <c r="R68" s="22" t="str">
        <f aca="false">IF(J68-P68=0,"PAGADA","PENDIENTE")</f>
        <v>PAGADA</v>
      </c>
      <c r="S68" s="18" t="n">
        <v>46025</v>
      </c>
      <c r="T68" s="16"/>
      <c r="U68" s="16"/>
      <c r="V68" s="16"/>
      <c r="W68" s="16"/>
      <c r="X68" s="16"/>
    </row>
    <row r="69" s="8" customFormat="true" ht="13.5" hidden="false" customHeight="false" outlineLevel="0" collapsed="false">
      <c r="A69" s="16" t="s">
        <v>68</v>
      </c>
      <c r="B69" s="16" t="s">
        <v>69</v>
      </c>
      <c r="C69" s="17"/>
      <c r="D69" s="17"/>
      <c r="E69" s="16" t="s">
        <v>24</v>
      </c>
      <c r="F69" s="16" t="n">
        <v>4664</v>
      </c>
      <c r="G69" s="18" t="n">
        <v>46010</v>
      </c>
      <c r="H69" s="18" t="n">
        <f aca="false">+G69+30</f>
        <v>46040</v>
      </c>
      <c r="I69" s="18"/>
      <c r="J69" s="19" t="n">
        <v>257040</v>
      </c>
      <c r="K69" s="19" t="n">
        <f aca="false">+J69</f>
        <v>257040</v>
      </c>
      <c r="L69" s="19" t="n">
        <f aca="false">+J69/1.19</f>
        <v>216000</v>
      </c>
      <c r="M69" s="19" t="n">
        <f aca="false">+L69*19%</f>
        <v>41040</v>
      </c>
      <c r="N69" s="16" t="s">
        <v>25</v>
      </c>
      <c r="O69" s="20" t="n">
        <v>2025</v>
      </c>
      <c r="P69" s="21" t="n">
        <f aca="false">+J69</f>
        <v>257040</v>
      </c>
      <c r="Q69" s="19" t="n">
        <f aca="false">+J69-P69</f>
        <v>0</v>
      </c>
      <c r="R69" s="22" t="str">
        <f aca="false">IF(J69-P69=0,"PAGADA","PENDIENTE")</f>
        <v>PAGADA</v>
      </c>
      <c r="S69" s="18" t="n">
        <v>46025</v>
      </c>
      <c r="T69" s="16"/>
      <c r="U69" s="16"/>
      <c r="V69" s="16"/>
      <c r="W69" s="16"/>
      <c r="X69" s="16"/>
    </row>
    <row r="70" s="8" customFormat="true" ht="13.5" hidden="false" customHeight="false" outlineLevel="0" collapsed="false">
      <c r="A70" s="16" t="s">
        <v>68</v>
      </c>
      <c r="B70" s="16" t="s">
        <v>69</v>
      </c>
      <c r="C70" s="17"/>
      <c r="D70" s="17"/>
      <c r="E70" s="16" t="s">
        <v>24</v>
      </c>
      <c r="F70" s="16" t="n">
        <v>4666</v>
      </c>
      <c r="G70" s="18" t="n">
        <v>46010</v>
      </c>
      <c r="H70" s="18" t="n">
        <f aca="false">+G70+30</f>
        <v>46040</v>
      </c>
      <c r="I70" s="18"/>
      <c r="J70" s="19" t="n">
        <v>6297807</v>
      </c>
      <c r="K70" s="19" t="n">
        <f aca="false">+J70</f>
        <v>6297807</v>
      </c>
      <c r="L70" s="19" t="n">
        <f aca="false">+J70/1.19</f>
        <v>5292274.78991597</v>
      </c>
      <c r="M70" s="19" t="n">
        <f aca="false">+L70*19%</f>
        <v>1005532.21008403</v>
      </c>
      <c r="N70" s="16" t="s">
        <v>25</v>
      </c>
      <c r="O70" s="20" t="n">
        <v>2025</v>
      </c>
      <c r="P70" s="21" t="n">
        <f aca="false">+J70</f>
        <v>6297807</v>
      </c>
      <c r="Q70" s="19" t="n">
        <f aca="false">+J70-P70</f>
        <v>0</v>
      </c>
      <c r="R70" s="22" t="str">
        <f aca="false">IF(J70-P70=0,"PAGADA","PENDIENTE")</f>
        <v>PAGADA</v>
      </c>
      <c r="S70" s="18" t="n">
        <v>46025</v>
      </c>
      <c r="T70" s="16"/>
      <c r="U70" s="16"/>
      <c r="V70" s="16"/>
      <c r="W70" s="16"/>
      <c r="X70" s="16"/>
    </row>
    <row r="71" s="8" customFormat="true" ht="13.5" hidden="false" customHeight="false" outlineLevel="0" collapsed="false">
      <c r="A71" s="16" t="s">
        <v>70</v>
      </c>
      <c r="B71" s="16" t="s">
        <v>71</v>
      </c>
      <c r="C71" s="17"/>
      <c r="D71" s="17"/>
      <c r="E71" s="16" t="s">
        <v>24</v>
      </c>
      <c r="F71" s="16" t="n">
        <v>4661</v>
      </c>
      <c r="G71" s="18" t="n">
        <v>46010</v>
      </c>
      <c r="H71" s="18" t="n">
        <f aca="false">+G71+30</f>
        <v>46040</v>
      </c>
      <c r="I71" s="18"/>
      <c r="J71" s="19" t="n">
        <v>47600000</v>
      </c>
      <c r="K71" s="19" t="n">
        <f aca="false">+J71</f>
        <v>47600000</v>
      </c>
      <c r="L71" s="19" t="n">
        <f aca="false">+J71/1.19</f>
        <v>40000000</v>
      </c>
      <c r="M71" s="19" t="n">
        <f aca="false">+L71*19%</f>
        <v>7600000</v>
      </c>
      <c r="N71" s="16" t="s">
        <v>25</v>
      </c>
      <c r="O71" s="20" t="n">
        <v>2025</v>
      </c>
      <c r="P71" s="21" t="n">
        <f aca="false">+K71</f>
        <v>47600000</v>
      </c>
      <c r="Q71" s="19" t="n">
        <f aca="false">+J71-P71</f>
        <v>0</v>
      </c>
      <c r="R71" s="22" t="str">
        <f aca="false">IF(J71-P71=0,"PAGADA","PENDIENTE")</f>
        <v>PAGADA</v>
      </c>
      <c r="S71" s="18" t="n">
        <v>46037</v>
      </c>
      <c r="T71" s="16"/>
      <c r="U71" s="16"/>
      <c r="V71" s="16"/>
      <c r="W71" s="16"/>
      <c r="X71" s="16"/>
    </row>
    <row r="72" s="8" customFormat="true" ht="13.5" hidden="false" customHeight="false" outlineLevel="0" collapsed="false">
      <c r="A72" s="16" t="s">
        <v>72</v>
      </c>
      <c r="B72" s="16" t="s">
        <v>73</v>
      </c>
      <c r="C72" s="17"/>
      <c r="D72" s="17"/>
      <c r="E72" s="16" t="s">
        <v>24</v>
      </c>
      <c r="F72" s="16" t="n">
        <v>4657</v>
      </c>
      <c r="G72" s="18" t="n">
        <v>46010</v>
      </c>
      <c r="H72" s="18" t="n">
        <f aca="false">+G72+30</f>
        <v>46040</v>
      </c>
      <c r="I72" s="18"/>
      <c r="J72" s="19" t="n">
        <v>3251175</v>
      </c>
      <c r="K72" s="19" t="n">
        <f aca="false">+J72</f>
        <v>3251175</v>
      </c>
      <c r="L72" s="19" t="n">
        <f aca="false">+J72/1.19</f>
        <v>2732079.83193277</v>
      </c>
      <c r="M72" s="19" t="n">
        <f aca="false">+L72*19%</f>
        <v>519095.168067227</v>
      </c>
      <c r="N72" s="16" t="s">
        <v>25</v>
      </c>
      <c r="O72" s="20" t="n">
        <v>2025</v>
      </c>
      <c r="P72" s="21" t="n">
        <f aca="false">+J72</f>
        <v>3251175</v>
      </c>
      <c r="Q72" s="19" t="n">
        <f aca="false">+J72-P72</f>
        <v>0</v>
      </c>
      <c r="R72" s="22" t="str">
        <f aca="false">IF(J72-P72=0,"PAGADA","PENDIENTE")</f>
        <v>PAGADA</v>
      </c>
      <c r="S72" s="18" t="n">
        <v>46038</v>
      </c>
      <c r="T72" s="16"/>
      <c r="U72" s="16"/>
      <c r="V72" s="16"/>
      <c r="W72" s="16"/>
      <c r="X72" s="16"/>
    </row>
    <row r="73" s="8" customFormat="true" ht="13.5" hidden="false" customHeight="false" outlineLevel="0" collapsed="false">
      <c r="A73" s="16" t="s">
        <v>72</v>
      </c>
      <c r="B73" s="16" t="s">
        <v>73</v>
      </c>
      <c r="C73" s="17"/>
      <c r="D73" s="17"/>
      <c r="E73" s="16" t="s">
        <v>24</v>
      </c>
      <c r="F73" s="16" t="n">
        <v>4658</v>
      </c>
      <c r="G73" s="18" t="n">
        <v>46010</v>
      </c>
      <c r="H73" s="18" t="n">
        <f aca="false">+G73+30</f>
        <v>46040</v>
      </c>
      <c r="I73" s="18"/>
      <c r="J73" s="19" t="n">
        <v>3370387</v>
      </c>
      <c r="K73" s="19" t="n">
        <f aca="false">+J73</f>
        <v>3370387</v>
      </c>
      <c r="L73" s="19" t="n">
        <f aca="false">+J73/1.19</f>
        <v>2832257.98319328</v>
      </c>
      <c r="M73" s="19" t="n">
        <f aca="false">+L73*19%</f>
        <v>538129.016806723</v>
      </c>
      <c r="N73" s="16" t="s">
        <v>25</v>
      </c>
      <c r="O73" s="20" t="n">
        <v>2025</v>
      </c>
      <c r="P73" s="21" t="n">
        <f aca="false">+J73</f>
        <v>3370387</v>
      </c>
      <c r="Q73" s="19" t="n">
        <f aca="false">+J73-P73</f>
        <v>0</v>
      </c>
      <c r="R73" s="22" t="str">
        <f aca="false">IF(J73-P73=0,"PAGADA","PENDIENTE")</f>
        <v>PAGADA</v>
      </c>
      <c r="S73" s="18" t="n">
        <v>46038</v>
      </c>
      <c r="T73" s="16"/>
      <c r="U73" s="16"/>
      <c r="V73" s="16"/>
      <c r="W73" s="16"/>
      <c r="X73" s="16"/>
    </row>
    <row r="74" s="8" customFormat="true" ht="13.5" hidden="false" customHeight="false" outlineLevel="0" collapsed="false">
      <c r="A74" s="16" t="s">
        <v>72</v>
      </c>
      <c r="B74" s="16" t="s">
        <v>73</v>
      </c>
      <c r="C74" s="17"/>
      <c r="D74" s="17"/>
      <c r="E74" s="16" t="s">
        <v>24</v>
      </c>
      <c r="F74" s="16" t="n">
        <v>4659</v>
      </c>
      <c r="G74" s="18" t="n">
        <v>46010</v>
      </c>
      <c r="H74" s="18" t="n">
        <f aca="false">+G74+30</f>
        <v>46040</v>
      </c>
      <c r="I74" s="18"/>
      <c r="J74" s="19" t="n">
        <v>10319776</v>
      </c>
      <c r="K74" s="19" t="n">
        <f aca="false">+J74</f>
        <v>10319776</v>
      </c>
      <c r="L74" s="19" t="n">
        <f aca="false">+J74/1.19</f>
        <v>8672080.67226891</v>
      </c>
      <c r="M74" s="19" t="n">
        <f aca="false">+L74*19%</f>
        <v>1647695.32773109</v>
      </c>
      <c r="N74" s="16" t="s">
        <v>25</v>
      </c>
      <c r="O74" s="20" t="n">
        <v>2025</v>
      </c>
      <c r="P74" s="21" t="n">
        <f aca="false">+J74</f>
        <v>10319776</v>
      </c>
      <c r="Q74" s="19" t="n">
        <f aca="false">+J74-P74</f>
        <v>0</v>
      </c>
      <c r="R74" s="22" t="str">
        <f aca="false">IF(J74-P74=0,"PAGADA","PENDIENTE")</f>
        <v>PAGADA</v>
      </c>
      <c r="S74" s="18" t="n">
        <v>46038</v>
      </c>
      <c r="T74" s="16"/>
      <c r="U74" s="16"/>
      <c r="V74" s="16"/>
      <c r="W74" s="16"/>
      <c r="X74" s="16"/>
    </row>
    <row r="75" s="8" customFormat="true" ht="13.5" hidden="false" customHeight="false" outlineLevel="0" collapsed="false">
      <c r="A75" s="16" t="s">
        <v>74</v>
      </c>
      <c r="B75" s="16" t="s">
        <v>75</v>
      </c>
      <c r="C75" s="17"/>
      <c r="D75" s="17"/>
      <c r="E75" s="16" t="s">
        <v>24</v>
      </c>
      <c r="F75" s="16" t="n">
        <v>4660</v>
      </c>
      <c r="G75" s="18" t="n">
        <v>46010</v>
      </c>
      <c r="H75" s="18" t="n">
        <f aca="false">+G75+30</f>
        <v>46040</v>
      </c>
      <c r="I75" s="18"/>
      <c r="J75" s="19" t="n">
        <v>9422405</v>
      </c>
      <c r="K75" s="19" t="n">
        <f aca="false">+J75</f>
        <v>9422405</v>
      </c>
      <c r="L75" s="19" t="n">
        <f aca="false">+J75/1.19</f>
        <v>7917987.39495798</v>
      </c>
      <c r="M75" s="19" t="n">
        <f aca="false">+L75*19%</f>
        <v>1504417.60504202</v>
      </c>
      <c r="N75" s="16" t="s">
        <v>25</v>
      </c>
      <c r="O75" s="20" t="n">
        <v>2025</v>
      </c>
      <c r="P75" s="21" t="n">
        <f aca="false">+J75</f>
        <v>9422405</v>
      </c>
      <c r="Q75" s="19" t="n">
        <f aca="false">+J75-P75</f>
        <v>0</v>
      </c>
      <c r="R75" s="22" t="str">
        <f aca="false">IF(J75-P75=0,"PAGADA","PENDIENTE")</f>
        <v>PAGADA</v>
      </c>
      <c r="S75" s="18" t="n">
        <v>46038</v>
      </c>
      <c r="T75" s="16"/>
      <c r="U75" s="16"/>
      <c r="V75" s="16"/>
      <c r="W75" s="16"/>
      <c r="X75" s="16"/>
    </row>
    <row r="76" s="8" customFormat="true" ht="13.5" hidden="false" customHeight="false" outlineLevel="0" collapsed="false">
      <c r="A76" s="16" t="s">
        <v>76</v>
      </c>
      <c r="B76" s="16" t="s">
        <v>77</v>
      </c>
      <c r="C76" s="17"/>
      <c r="D76" s="17"/>
      <c r="E76" s="16" t="s">
        <v>24</v>
      </c>
      <c r="F76" s="16" t="n">
        <v>4656</v>
      </c>
      <c r="G76" s="18" t="n">
        <v>46010</v>
      </c>
      <c r="H76" s="18" t="n">
        <f aca="false">+G76+30</f>
        <v>46040</v>
      </c>
      <c r="I76" s="18"/>
      <c r="J76" s="19" t="n">
        <v>6730289</v>
      </c>
      <c r="K76" s="19" t="n">
        <f aca="false">+J76</f>
        <v>6730289</v>
      </c>
      <c r="L76" s="19" t="n">
        <f aca="false">+J76/1.19</f>
        <v>5655705.04201681</v>
      </c>
      <c r="M76" s="19" t="n">
        <f aca="false">+L76*19%</f>
        <v>1074583.95798319</v>
      </c>
      <c r="N76" s="16" t="s">
        <v>25</v>
      </c>
      <c r="O76" s="20" t="n">
        <v>2025</v>
      </c>
      <c r="P76" s="21" t="n">
        <f aca="false">+J76</f>
        <v>6730289</v>
      </c>
      <c r="Q76" s="19" t="n">
        <f aca="false">+J76-P76</f>
        <v>0</v>
      </c>
      <c r="R76" s="22" t="str">
        <f aca="false">IF(J76-P76=0,"PAGADA","PENDIENTE")</f>
        <v>PAGADA</v>
      </c>
      <c r="S76" s="18" t="n">
        <v>46045</v>
      </c>
      <c r="T76" s="16"/>
      <c r="U76" s="16"/>
      <c r="V76" s="16"/>
      <c r="W76" s="16"/>
      <c r="X76" s="16"/>
    </row>
    <row r="77" s="8" customFormat="true" ht="13.5" hidden="false" customHeight="false" outlineLevel="0" collapsed="false">
      <c r="A77" s="16" t="s">
        <v>78</v>
      </c>
      <c r="B77" s="16" t="s">
        <v>79</v>
      </c>
      <c r="C77" s="17"/>
      <c r="D77" s="17"/>
      <c r="E77" s="16" t="s">
        <v>24</v>
      </c>
      <c r="F77" s="16" t="n">
        <v>4674</v>
      </c>
      <c r="G77" s="18" t="n">
        <v>46010</v>
      </c>
      <c r="H77" s="18" t="n">
        <f aca="false">+G77+30</f>
        <v>46040</v>
      </c>
      <c r="I77" s="18"/>
      <c r="J77" s="19" t="n">
        <v>39215945</v>
      </c>
      <c r="K77" s="19" t="n">
        <f aca="false">+J77</f>
        <v>39215945</v>
      </c>
      <c r="L77" s="19" t="n">
        <f aca="false">+J77/1.19</f>
        <v>32954575.6302521</v>
      </c>
      <c r="M77" s="19" t="n">
        <f aca="false">+L77*19%</f>
        <v>6261369.3697479</v>
      </c>
      <c r="N77" s="16" t="s">
        <v>25</v>
      </c>
      <c r="O77" s="20" t="n">
        <v>2025</v>
      </c>
      <c r="P77" s="21" t="n">
        <f aca="false">+J77</f>
        <v>39215945</v>
      </c>
      <c r="Q77" s="19" t="n">
        <f aca="false">+J77-P77</f>
        <v>0</v>
      </c>
      <c r="R77" s="22" t="str">
        <f aca="false">IF(J77-P77=0,"PAGADA","PENDIENTE")</f>
        <v>PAGADA</v>
      </c>
      <c r="S77" s="18" t="n">
        <v>46045</v>
      </c>
      <c r="T77" s="16"/>
      <c r="U77" s="16"/>
      <c r="V77" s="16"/>
      <c r="W77" s="16"/>
      <c r="X77" s="16"/>
    </row>
    <row r="78" s="8" customFormat="true" ht="13.5" hidden="false" customHeight="false" outlineLevel="0" collapsed="false">
      <c r="A78" s="16" t="s">
        <v>68</v>
      </c>
      <c r="B78" s="16" t="s">
        <v>69</v>
      </c>
      <c r="C78" s="17"/>
      <c r="D78" s="17"/>
      <c r="E78" s="16" t="s">
        <v>24</v>
      </c>
      <c r="F78" s="16" t="n">
        <v>4665</v>
      </c>
      <c r="G78" s="18" t="n">
        <v>46010</v>
      </c>
      <c r="H78" s="18" t="n">
        <f aca="false">+G78+30</f>
        <v>46040</v>
      </c>
      <c r="I78" s="18"/>
      <c r="J78" s="19" t="n">
        <v>6297256</v>
      </c>
      <c r="K78" s="19" t="n">
        <f aca="false">+J78</f>
        <v>6297256</v>
      </c>
      <c r="L78" s="19" t="n">
        <f aca="false">+J78/1.19</f>
        <v>5291811.76470588</v>
      </c>
      <c r="M78" s="19" t="n">
        <f aca="false">+L78*19%</f>
        <v>1005444.23529412</v>
      </c>
      <c r="N78" s="16" t="s">
        <v>25</v>
      </c>
      <c r="O78" s="20" t="n">
        <v>2025</v>
      </c>
      <c r="P78" s="21" t="n">
        <f aca="false">+J78</f>
        <v>6297256</v>
      </c>
      <c r="Q78" s="19" t="n">
        <f aca="false">+J78-P78</f>
        <v>0</v>
      </c>
      <c r="R78" s="22" t="str">
        <f aca="false">IF(J78-P78=0,"PAGADA","PENDIENTE")</f>
        <v>PAGADA</v>
      </c>
      <c r="S78" s="16" t="s">
        <v>80</v>
      </c>
      <c r="T78" s="16"/>
      <c r="U78" s="16"/>
      <c r="V78" s="16"/>
      <c r="W78" s="16"/>
      <c r="X78" s="16"/>
    </row>
    <row r="79" s="8" customFormat="true" ht="13.5" hidden="false" customHeight="false" outlineLevel="0" collapsed="false">
      <c r="A79" s="16" t="s">
        <v>81</v>
      </c>
      <c r="B79" s="16" t="s">
        <v>82</v>
      </c>
      <c r="C79" s="17"/>
      <c r="D79" s="17"/>
      <c r="E79" s="16" t="s">
        <v>24</v>
      </c>
      <c r="F79" s="16" t="n">
        <v>4667</v>
      </c>
      <c r="G79" s="18" t="n">
        <v>46010</v>
      </c>
      <c r="H79" s="18" t="n">
        <f aca="false">+G79+30</f>
        <v>46040</v>
      </c>
      <c r="I79" s="18"/>
      <c r="J79" s="19" t="n">
        <v>595000</v>
      </c>
      <c r="K79" s="19" t="n">
        <f aca="false">+J79</f>
        <v>595000</v>
      </c>
      <c r="L79" s="19" t="n">
        <f aca="false">+J79/1.19</f>
        <v>500000</v>
      </c>
      <c r="M79" s="19" t="n">
        <f aca="false">+L79*19%</f>
        <v>95000</v>
      </c>
      <c r="N79" s="16" t="s">
        <v>25</v>
      </c>
      <c r="O79" s="20" t="n">
        <v>2025</v>
      </c>
      <c r="P79" s="21" t="n">
        <f aca="false">+J79</f>
        <v>595000</v>
      </c>
      <c r="Q79" s="19" t="n">
        <f aca="false">+J79-P79</f>
        <v>0</v>
      </c>
      <c r="R79" s="22" t="str">
        <f aca="false">IF(J79-P79=0,"PAGADA","PENDIENTE")</f>
        <v>PAGADA</v>
      </c>
      <c r="S79" s="18" t="n">
        <v>46013</v>
      </c>
      <c r="T79" s="16"/>
      <c r="U79" s="16"/>
      <c r="V79" s="16"/>
      <c r="W79" s="16"/>
      <c r="X79" s="16"/>
    </row>
    <row r="80" s="8" customFormat="true" ht="13.5" hidden="false" customHeight="false" outlineLevel="0" collapsed="false">
      <c r="A80" s="30" t="s">
        <v>83</v>
      </c>
      <c r="B80" s="30" t="s">
        <v>84</v>
      </c>
      <c r="C80" s="31" t="s">
        <v>61</v>
      </c>
      <c r="D80" s="31"/>
      <c r="E80" s="30" t="s">
        <v>24</v>
      </c>
      <c r="F80" s="30" t="n">
        <v>4668</v>
      </c>
      <c r="G80" s="32" t="n">
        <v>46010</v>
      </c>
      <c r="H80" s="32" t="n">
        <f aca="false">+G80+30</f>
        <v>46040</v>
      </c>
      <c r="I80" s="32" t="s">
        <v>61</v>
      </c>
      <c r="J80" s="33" t="n">
        <v>1599360</v>
      </c>
      <c r="K80" s="33" t="n">
        <f aca="false">+J80</f>
        <v>1599360</v>
      </c>
      <c r="L80" s="33" t="n">
        <f aca="false">+J80/1.19</f>
        <v>1344000</v>
      </c>
      <c r="M80" s="33" t="n">
        <f aca="false">+L80*19%</f>
        <v>255360</v>
      </c>
      <c r="N80" s="30" t="s">
        <v>25</v>
      </c>
      <c r="O80" s="34" t="n">
        <v>2025</v>
      </c>
      <c r="P80" s="35" t="n">
        <f aca="false">+J80</f>
        <v>1599360</v>
      </c>
      <c r="Q80" s="33" t="n">
        <f aca="false">+J80-P80</f>
        <v>0</v>
      </c>
      <c r="R80" s="36" t="str">
        <f aca="false">IF(J80-P80=0,"PAGADA","PENDIENTE")</f>
        <v>PAGADA</v>
      </c>
      <c r="S80" s="30" t="s">
        <v>85</v>
      </c>
      <c r="T80" s="30"/>
      <c r="U80" s="30"/>
      <c r="V80" s="30"/>
      <c r="W80" s="30"/>
      <c r="X80" s="30"/>
    </row>
    <row r="81" s="8" customFormat="true" ht="13.5" hidden="false" customHeight="false" outlineLevel="0" collapsed="false">
      <c r="A81" s="30" t="s">
        <v>83</v>
      </c>
      <c r="B81" s="30" t="s">
        <v>84</v>
      </c>
      <c r="C81" s="31" t="s">
        <v>61</v>
      </c>
      <c r="D81" s="31"/>
      <c r="E81" s="30" t="s">
        <v>24</v>
      </c>
      <c r="F81" s="30" t="n">
        <v>4669</v>
      </c>
      <c r="G81" s="32" t="n">
        <v>46010</v>
      </c>
      <c r="H81" s="32" t="n">
        <f aca="false">+G81+30</f>
        <v>46040</v>
      </c>
      <c r="I81" s="32" t="s">
        <v>61</v>
      </c>
      <c r="J81" s="33" t="n">
        <v>1146429</v>
      </c>
      <c r="K81" s="33" t="n">
        <f aca="false">+J81</f>
        <v>1146429</v>
      </c>
      <c r="L81" s="33" t="n">
        <f aca="false">+J81/1.19</f>
        <v>963385.714285714</v>
      </c>
      <c r="M81" s="33" t="n">
        <f aca="false">+L81*19%</f>
        <v>183043.285714286</v>
      </c>
      <c r="N81" s="30" t="s">
        <v>25</v>
      </c>
      <c r="O81" s="34" t="n">
        <v>2025</v>
      </c>
      <c r="P81" s="35" t="n">
        <f aca="false">+J81</f>
        <v>1146429</v>
      </c>
      <c r="Q81" s="33" t="n">
        <f aca="false">+J81-P81</f>
        <v>0</v>
      </c>
      <c r="R81" s="36" t="str">
        <f aca="false">IF(J81-P81=0,"PAGADA","PENDIENTE")</f>
        <v>PAGADA</v>
      </c>
      <c r="S81" s="30" t="s">
        <v>85</v>
      </c>
      <c r="T81" s="30"/>
      <c r="U81" s="30"/>
      <c r="V81" s="30"/>
      <c r="W81" s="30"/>
      <c r="X81" s="30"/>
    </row>
    <row r="82" s="8" customFormat="true" ht="13.5" hidden="false" customHeight="false" outlineLevel="0" collapsed="false">
      <c r="A82" s="30" t="s">
        <v>83</v>
      </c>
      <c r="B82" s="30" t="s">
        <v>84</v>
      </c>
      <c r="C82" s="31" t="s">
        <v>61</v>
      </c>
      <c r="D82" s="31"/>
      <c r="E82" s="30" t="s">
        <v>24</v>
      </c>
      <c r="F82" s="30" t="n">
        <v>4670</v>
      </c>
      <c r="G82" s="32" t="n">
        <v>46010</v>
      </c>
      <c r="H82" s="32" t="n">
        <f aca="false">+G82+30</f>
        <v>46040</v>
      </c>
      <c r="I82" s="32" t="s">
        <v>61</v>
      </c>
      <c r="J82" s="33" t="n">
        <v>11519183</v>
      </c>
      <c r="K82" s="33" t="n">
        <f aca="false">+J82</f>
        <v>11519183</v>
      </c>
      <c r="L82" s="33" t="n">
        <f aca="false">+J82/1.19</f>
        <v>9679985.71428572</v>
      </c>
      <c r="M82" s="33" t="n">
        <f aca="false">+L82*19%</f>
        <v>1839197.28571429</v>
      </c>
      <c r="N82" s="30" t="s">
        <v>25</v>
      </c>
      <c r="O82" s="34" t="n">
        <v>2025</v>
      </c>
      <c r="P82" s="35" t="n">
        <f aca="false">+J82</f>
        <v>11519183</v>
      </c>
      <c r="Q82" s="33" t="n">
        <f aca="false">+J82-P82</f>
        <v>0</v>
      </c>
      <c r="R82" s="36" t="str">
        <f aca="false">IF(J82-P82=0,"PAGADA","PENDIENTE")</f>
        <v>PAGADA</v>
      </c>
      <c r="S82" s="30" t="s">
        <v>85</v>
      </c>
      <c r="T82" s="30"/>
      <c r="U82" s="30"/>
      <c r="V82" s="30"/>
      <c r="W82" s="30"/>
      <c r="X82" s="30"/>
    </row>
    <row r="83" s="8" customFormat="true" ht="13.5" hidden="false" customHeight="false" outlineLevel="0" collapsed="false">
      <c r="A83" s="30" t="s">
        <v>83</v>
      </c>
      <c r="B83" s="30" t="s">
        <v>84</v>
      </c>
      <c r="C83" s="31" t="s">
        <v>61</v>
      </c>
      <c r="D83" s="31"/>
      <c r="E83" s="30" t="s">
        <v>24</v>
      </c>
      <c r="F83" s="30" t="n">
        <v>4671</v>
      </c>
      <c r="G83" s="32" t="n">
        <v>46010</v>
      </c>
      <c r="H83" s="32" t="n">
        <f aca="false">+G83+30</f>
        <v>46040</v>
      </c>
      <c r="I83" s="32" t="s">
        <v>61</v>
      </c>
      <c r="J83" s="33" t="n">
        <v>2299461</v>
      </c>
      <c r="K83" s="33" t="n">
        <f aca="false">+J83</f>
        <v>2299461</v>
      </c>
      <c r="L83" s="33" t="n">
        <f aca="false">+J83/1.19</f>
        <v>1932320.16806723</v>
      </c>
      <c r="M83" s="33" t="n">
        <f aca="false">+L83*19%</f>
        <v>367140.831932773</v>
      </c>
      <c r="N83" s="30" t="s">
        <v>25</v>
      </c>
      <c r="O83" s="34" t="n">
        <v>2025</v>
      </c>
      <c r="P83" s="35" t="n">
        <f aca="false">+J83</f>
        <v>2299461</v>
      </c>
      <c r="Q83" s="33" t="n">
        <f aca="false">+J83-P83</f>
        <v>0</v>
      </c>
      <c r="R83" s="36" t="str">
        <f aca="false">IF(J83-P83=0,"PAGADA","PENDIENTE")</f>
        <v>PAGADA</v>
      </c>
      <c r="S83" s="30" t="s">
        <v>85</v>
      </c>
      <c r="T83" s="30"/>
      <c r="U83" s="30"/>
      <c r="V83" s="30"/>
      <c r="W83" s="30"/>
      <c r="X83" s="30"/>
    </row>
    <row r="84" s="8" customFormat="true" ht="13.5" hidden="false" customHeight="false" outlineLevel="0" collapsed="false">
      <c r="A84" s="30" t="s">
        <v>83</v>
      </c>
      <c r="B84" s="30" t="s">
        <v>84</v>
      </c>
      <c r="C84" s="31" t="s">
        <v>61</v>
      </c>
      <c r="D84" s="31"/>
      <c r="E84" s="30" t="s">
        <v>24</v>
      </c>
      <c r="F84" s="30" t="n">
        <v>4672</v>
      </c>
      <c r="G84" s="32" t="n">
        <v>46010</v>
      </c>
      <c r="H84" s="32" t="n">
        <f aca="false">+G84+30</f>
        <v>46040</v>
      </c>
      <c r="I84" s="32" t="s">
        <v>61</v>
      </c>
      <c r="J84" s="33" t="n">
        <v>389232</v>
      </c>
      <c r="K84" s="33" t="n">
        <f aca="false">+J84</f>
        <v>389232</v>
      </c>
      <c r="L84" s="33" t="n">
        <f aca="false">+J84/1.19</f>
        <v>327085.714285714</v>
      </c>
      <c r="M84" s="33" t="n">
        <f aca="false">+L84*19%</f>
        <v>62146.2857142857</v>
      </c>
      <c r="N84" s="30" t="s">
        <v>25</v>
      </c>
      <c r="O84" s="34" t="n">
        <v>2025</v>
      </c>
      <c r="P84" s="35" t="n">
        <f aca="false">+J84</f>
        <v>389232</v>
      </c>
      <c r="Q84" s="33" t="n">
        <f aca="false">+J84-P84</f>
        <v>0</v>
      </c>
      <c r="R84" s="36" t="str">
        <f aca="false">IF(J84-P84=0,"PAGADA","PENDIENTE")</f>
        <v>PAGADA</v>
      </c>
      <c r="S84" s="30" t="s">
        <v>85</v>
      </c>
      <c r="T84" s="30"/>
      <c r="U84" s="30"/>
      <c r="V84" s="30"/>
      <c r="W84" s="30"/>
      <c r="X84" s="30"/>
    </row>
    <row r="85" s="8" customFormat="true" ht="13.5" hidden="false" customHeight="false" outlineLevel="0" collapsed="false">
      <c r="A85" s="30" t="s">
        <v>83</v>
      </c>
      <c r="B85" s="30" t="s">
        <v>84</v>
      </c>
      <c r="C85" s="31" t="s">
        <v>61</v>
      </c>
      <c r="D85" s="31"/>
      <c r="E85" s="30" t="s">
        <v>24</v>
      </c>
      <c r="F85" s="30" t="n">
        <v>4673</v>
      </c>
      <c r="G85" s="32" t="n">
        <v>46010</v>
      </c>
      <c r="H85" s="32" t="n">
        <f aca="false">+G85+30</f>
        <v>46040</v>
      </c>
      <c r="I85" s="32" t="s">
        <v>61</v>
      </c>
      <c r="J85" s="33" t="n">
        <v>2344809</v>
      </c>
      <c r="K85" s="33" t="n">
        <f aca="false">+J85</f>
        <v>2344809</v>
      </c>
      <c r="L85" s="33" t="n">
        <f aca="false">+J85/1.19</f>
        <v>1970427.73109244</v>
      </c>
      <c r="M85" s="33" t="n">
        <f aca="false">+L85*19%</f>
        <v>374381.268907563</v>
      </c>
      <c r="N85" s="30" t="s">
        <v>25</v>
      </c>
      <c r="O85" s="34" t="n">
        <v>2025</v>
      </c>
      <c r="P85" s="35" t="n">
        <f aca="false">+J85</f>
        <v>2344809</v>
      </c>
      <c r="Q85" s="33" t="n">
        <f aca="false">+J85-P85</f>
        <v>0</v>
      </c>
      <c r="R85" s="36" t="str">
        <f aca="false">IF(J85-P85=0,"PAGADA","PENDIENTE")</f>
        <v>PAGADA</v>
      </c>
      <c r="S85" s="30" t="s">
        <v>85</v>
      </c>
      <c r="T85" s="30"/>
      <c r="U85" s="30"/>
      <c r="V85" s="30"/>
      <c r="W85" s="30"/>
      <c r="X85" s="30"/>
    </row>
    <row r="86" s="7" customFormat="true" ht="13.5" hidden="false" customHeight="false" outlineLevel="0" collapsed="false">
      <c r="A86" s="24" t="n">
        <v>0</v>
      </c>
      <c r="B86" s="24" t="s">
        <v>63</v>
      </c>
      <c r="C86" s="25"/>
      <c r="D86" s="25"/>
      <c r="E86" s="24" t="s">
        <v>35</v>
      </c>
      <c r="F86" s="24" t="n">
        <v>467</v>
      </c>
      <c r="G86" s="26" t="n">
        <v>46010</v>
      </c>
      <c r="H86" s="26" t="n">
        <f aca="false">+G86+30</f>
        <v>46040</v>
      </c>
      <c r="I86" s="26"/>
      <c r="J86" s="21" t="n">
        <v>0</v>
      </c>
      <c r="K86" s="21" t="n">
        <f aca="false">+J86</f>
        <v>0</v>
      </c>
      <c r="L86" s="21" t="n">
        <f aca="false">+J86/1.19</f>
        <v>0</v>
      </c>
      <c r="M86" s="21" t="n">
        <f aca="false">+L86*19%</f>
        <v>0</v>
      </c>
      <c r="N86" s="24" t="s">
        <v>25</v>
      </c>
      <c r="O86" s="27" t="n">
        <v>2025</v>
      </c>
      <c r="P86" s="21" t="n">
        <v>0</v>
      </c>
      <c r="Q86" s="21" t="n">
        <f aca="false">+J86-P86</f>
        <v>0</v>
      </c>
      <c r="R86" s="28" t="str">
        <f aca="false">IF(J86-P86=0,"PAGADA","PENDIENTE")</f>
        <v>PAGADA</v>
      </c>
      <c r="S86" s="24"/>
      <c r="T86" s="24"/>
      <c r="U86" s="24"/>
      <c r="V86" s="24"/>
      <c r="W86" s="24"/>
      <c r="X86" s="24"/>
    </row>
    <row r="87" s="7" customFormat="true" ht="13.5" hidden="false" customHeight="false" outlineLevel="0" collapsed="false">
      <c r="A87" s="24" t="s">
        <v>68</v>
      </c>
      <c r="B87" s="24" t="s">
        <v>69</v>
      </c>
      <c r="C87" s="25"/>
      <c r="D87" s="25"/>
      <c r="E87" s="24" t="s">
        <v>35</v>
      </c>
      <c r="F87" s="24" t="n">
        <v>468</v>
      </c>
      <c r="G87" s="26" t="n">
        <v>46010</v>
      </c>
      <c r="H87" s="26" t="n">
        <f aca="false">+G87+30</f>
        <v>46040</v>
      </c>
      <c r="I87" s="26"/>
      <c r="J87" s="21" t="n">
        <v>-6297256</v>
      </c>
      <c r="K87" s="21" t="n">
        <f aca="false">+J87</f>
        <v>-6297256</v>
      </c>
      <c r="L87" s="21" t="n">
        <f aca="false">+J87/1.19</f>
        <v>-5291811.76470588</v>
      </c>
      <c r="M87" s="21" t="n">
        <f aca="false">+L87*19%</f>
        <v>-1005444.23529412</v>
      </c>
      <c r="N87" s="24" t="s">
        <v>25</v>
      </c>
      <c r="O87" s="27" t="n">
        <v>2025</v>
      </c>
      <c r="P87" s="21" t="n">
        <f aca="false">+J87</f>
        <v>-6297256</v>
      </c>
      <c r="Q87" s="21" t="n">
        <f aca="false">+J87-P87</f>
        <v>0</v>
      </c>
      <c r="R87" s="28" t="str">
        <f aca="false">IF(J87-P87=0,"PAGADA","PENDIENTE")</f>
        <v>PAGADA</v>
      </c>
      <c r="S87" s="24" t="s">
        <v>36</v>
      </c>
      <c r="T87" s="24"/>
      <c r="U87" s="24"/>
      <c r="V87" s="24"/>
      <c r="W87" s="24"/>
      <c r="X87" s="24"/>
    </row>
    <row r="88" s="8" customFormat="true" ht="13.5" hidden="false" customHeight="false" outlineLevel="0" collapsed="false">
      <c r="A88" s="16" t="s">
        <v>22</v>
      </c>
      <c r="B88" s="16" t="s">
        <v>23</v>
      </c>
      <c r="C88" s="17"/>
      <c r="D88" s="17"/>
      <c r="E88" s="16" t="s">
        <v>24</v>
      </c>
      <c r="F88" s="16" t="n">
        <v>4677</v>
      </c>
      <c r="G88" s="18" t="n">
        <v>46015</v>
      </c>
      <c r="H88" s="18" t="n">
        <f aca="false">+G88+30</f>
        <v>46045</v>
      </c>
      <c r="I88" s="18"/>
      <c r="J88" s="19" t="n">
        <v>244002</v>
      </c>
      <c r="K88" s="19" t="n">
        <f aca="false">+J88</f>
        <v>244002</v>
      </c>
      <c r="L88" s="19" t="n">
        <f aca="false">+J88/1.19</f>
        <v>205043.697478992</v>
      </c>
      <c r="M88" s="19" t="n">
        <f aca="false">+L88*19%</f>
        <v>38958.3025210084</v>
      </c>
      <c r="N88" s="16" t="s">
        <v>25</v>
      </c>
      <c r="O88" s="20" t="n">
        <v>2025</v>
      </c>
      <c r="P88" s="21" t="n">
        <f aca="false">+J88</f>
        <v>244002</v>
      </c>
      <c r="Q88" s="19" t="n">
        <f aca="false">+J88-P88</f>
        <v>0</v>
      </c>
      <c r="R88" s="22" t="str">
        <f aca="false">IF(J88-P88=0,"PAGADA","PENDIENTE")</f>
        <v>PAGADA</v>
      </c>
      <c r="S88" s="18" t="n">
        <v>46043</v>
      </c>
      <c r="T88" s="16"/>
      <c r="U88" s="16"/>
      <c r="V88" s="16"/>
      <c r="W88" s="16"/>
      <c r="X88" s="16"/>
    </row>
    <row r="89" s="8" customFormat="true" ht="13.5" hidden="false" customHeight="false" outlineLevel="0" collapsed="false">
      <c r="A89" s="16" t="s">
        <v>22</v>
      </c>
      <c r="B89" s="16" t="s">
        <v>23</v>
      </c>
      <c r="C89" s="17"/>
      <c r="D89" s="17"/>
      <c r="E89" s="16" t="s">
        <v>24</v>
      </c>
      <c r="F89" s="16" t="n">
        <v>4678</v>
      </c>
      <c r="G89" s="18" t="n">
        <v>46015</v>
      </c>
      <c r="H89" s="18" t="n">
        <f aca="false">+G89+30</f>
        <v>46045</v>
      </c>
      <c r="I89" s="18"/>
      <c r="J89" s="19" t="n">
        <v>219555</v>
      </c>
      <c r="K89" s="19" t="n">
        <f aca="false">+J89</f>
        <v>219555</v>
      </c>
      <c r="L89" s="19" t="n">
        <f aca="false">+J89/1.19</f>
        <v>184500</v>
      </c>
      <c r="M89" s="19" t="n">
        <f aca="false">+L89*19%</f>
        <v>35055</v>
      </c>
      <c r="N89" s="16" t="s">
        <v>25</v>
      </c>
      <c r="O89" s="20" t="n">
        <v>2025</v>
      </c>
      <c r="P89" s="21" t="n">
        <f aca="false">+J89</f>
        <v>219555</v>
      </c>
      <c r="Q89" s="19" t="n">
        <f aca="false">+J89-P89</f>
        <v>0</v>
      </c>
      <c r="R89" s="22" t="str">
        <f aca="false">IF(J89-P89=0,"PAGADA","PENDIENTE")</f>
        <v>PAGADA</v>
      </c>
      <c r="S89" s="18" t="n">
        <v>46043</v>
      </c>
      <c r="T89" s="16"/>
      <c r="U89" s="16"/>
      <c r="V89" s="16"/>
      <c r="W89" s="16"/>
      <c r="X89" s="16"/>
    </row>
    <row r="90" s="8" customFormat="true" ht="13.5" hidden="false" customHeight="false" outlineLevel="0" collapsed="false">
      <c r="A90" s="16" t="s">
        <v>22</v>
      </c>
      <c r="B90" s="16" t="s">
        <v>23</v>
      </c>
      <c r="C90" s="17"/>
      <c r="D90" s="17"/>
      <c r="E90" s="16" t="s">
        <v>24</v>
      </c>
      <c r="F90" s="16" t="n">
        <v>4679</v>
      </c>
      <c r="G90" s="18" t="n">
        <v>46015</v>
      </c>
      <c r="H90" s="18" t="n">
        <f aca="false">+G90+30</f>
        <v>46045</v>
      </c>
      <c r="I90" s="18"/>
      <c r="J90" s="19" t="n">
        <v>2871815</v>
      </c>
      <c r="K90" s="19" t="n">
        <f aca="false">+J90</f>
        <v>2871815</v>
      </c>
      <c r="L90" s="19" t="n">
        <f aca="false">+J90/1.19</f>
        <v>2413289.91596639</v>
      </c>
      <c r="M90" s="19" t="n">
        <f aca="false">+L90*19%</f>
        <v>458525.084033613</v>
      </c>
      <c r="N90" s="16" t="s">
        <v>25</v>
      </c>
      <c r="O90" s="20" t="n">
        <v>2025</v>
      </c>
      <c r="P90" s="21" t="n">
        <f aca="false">+J90</f>
        <v>2871815</v>
      </c>
      <c r="Q90" s="19" t="n">
        <f aca="false">+J90-P90</f>
        <v>0</v>
      </c>
      <c r="R90" s="22" t="str">
        <f aca="false">IF(J90-P90=0,"PAGADA","PENDIENTE")</f>
        <v>PAGADA</v>
      </c>
      <c r="S90" s="18" t="n">
        <v>46043</v>
      </c>
      <c r="T90" s="16"/>
      <c r="U90" s="16"/>
      <c r="V90" s="16"/>
      <c r="W90" s="16"/>
      <c r="X90" s="16"/>
    </row>
    <row r="91" s="8" customFormat="true" ht="13.5" hidden="false" customHeight="false" outlineLevel="0" collapsed="false">
      <c r="A91" s="16" t="s">
        <v>22</v>
      </c>
      <c r="B91" s="16" t="s">
        <v>23</v>
      </c>
      <c r="C91" s="17"/>
      <c r="D91" s="17"/>
      <c r="E91" s="16" t="s">
        <v>24</v>
      </c>
      <c r="F91" s="16" t="n">
        <v>4680</v>
      </c>
      <c r="G91" s="18" t="n">
        <v>46015</v>
      </c>
      <c r="H91" s="18" t="n">
        <f aca="false">+G91+30</f>
        <v>46045</v>
      </c>
      <c r="I91" s="18"/>
      <c r="J91" s="19" t="n">
        <v>219555</v>
      </c>
      <c r="K91" s="19" t="n">
        <f aca="false">+J91</f>
        <v>219555</v>
      </c>
      <c r="L91" s="19" t="n">
        <f aca="false">+J91/1.19</f>
        <v>184500</v>
      </c>
      <c r="M91" s="19" t="n">
        <f aca="false">+L91*19%</f>
        <v>35055</v>
      </c>
      <c r="N91" s="16" t="s">
        <v>25</v>
      </c>
      <c r="O91" s="20" t="n">
        <v>2025</v>
      </c>
      <c r="P91" s="21" t="n">
        <f aca="false">+J91</f>
        <v>219555</v>
      </c>
      <c r="Q91" s="19" t="n">
        <f aca="false">+J91-P91</f>
        <v>0</v>
      </c>
      <c r="R91" s="22" t="str">
        <f aca="false">IF(J91-P91=0,"PAGADA","PENDIENTE")</f>
        <v>PAGADA</v>
      </c>
      <c r="S91" s="18" t="n">
        <v>46043</v>
      </c>
      <c r="T91" s="16"/>
      <c r="U91" s="16"/>
      <c r="V91" s="16"/>
      <c r="W91" s="16"/>
      <c r="X91" s="16"/>
    </row>
    <row r="92" s="8" customFormat="true" ht="13.5" hidden="false" customHeight="false" outlineLevel="0" collapsed="false">
      <c r="A92" s="16" t="s">
        <v>22</v>
      </c>
      <c r="B92" s="16" t="s">
        <v>23</v>
      </c>
      <c r="C92" s="17"/>
      <c r="D92" s="17"/>
      <c r="E92" s="16" t="s">
        <v>24</v>
      </c>
      <c r="F92" s="16" t="n">
        <v>4681</v>
      </c>
      <c r="G92" s="18" t="n">
        <v>46015</v>
      </c>
      <c r="H92" s="18" t="n">
        <f aca="false">+G92+30</f>
        <v>46045</v>
      </c>
      <c r="I92" s="18"/>
      <c r="J92" s="19" t="n">
        <v>2008405</v>
      </c>
      <c r="K92" s="19" t="n">
        <f aca="false">+J92</f>
        <v>2008405</v>
      </c>
      <c r="L92" s="19" t="n">
        <f aca="false">+J92/1.19</f>
        <v>1687735.29411765</v>
      </c>
      <c r="M92" s="19" t="n">
        <f aca="false">+L92*19%</f>
        <v>320669.705882353</v>
      </c>
      <c r="N92" s="16" t="s">
        <v>25</v>
      </c>
      <c r="O92" s="20" t="n">
        <v>2025</v>
      </c>
      <c r="P92" s="21" t="n">
        <f aca="false">+J92</f>
        <v>2008405</v>
      </c>
      <c r="Q92" s="19" t="n">
        <f aca="false">+J92-P92</f>
        <v>0</v>
      </c>
      <c r="R92" s="22" t="str">
        <f aca="false">IF(J92-P92=0,"PAGADA","PENDIENTE")</f>
        <v>PAGADA</v>
      </c>
      <c r="S92" s="18" t="n">
        <v>46043</v>
      </c>
      <c r="T92" s="16"/>
      <c r="U92" s="16"/>
      <c r="V92" s="16"/>
      <c r="W92" s="16"/>
      <c r="X92" s="16"/>
    </row>
    <row r="93" s="8" customFormat="true" ht="13.5" hidden="false" customHeight="false" outlineLevel="0" collapsed="false">
      <c r="A93" s="16" t="s">
        <v>22</v>
      </c>
      <c r="B93" s="16" t="s">
        <v>23</v>
      </c>
      <c r="C93" s="17"/>
      <c r="D93" s="17"/>
      <c r="E93" s="16" t="s">
        <v>24</v>
      </c>
      <c r="F93" s="16" t="n">
        <v>4682</v>
      </c>
      <c r="G93" s="18" t="n">
        <v>46015</v>
      </c>
      <c r="H93" s="18" t="n">
        <f aca="false">+G93+30</f>
        <v>46045</v>
      </c>
      <c r="I93" s="18"/>
      <c r="J93" s="19" t="n">
        <v>122570</v>
      </c>
      <c r="K93" s="19" t="n">
        <f aca="false">+J93</f>
        <v>122570</v>
      </c>
      <c r="L93" s="19" t="n">
        <f aca="false">+J93/1.19</f>
        <v>103000</v>
      </c>
      <c r="M93" s="19" t="n">
        <f aca="false">+L93*19%</f>
        <v>19570</v>
      </c>
      <c r="N93" s="16" t="s">
        <v>25</v>
      </c>
      <c r="O93" s="20" t="n">
        <v>2025</v>
      </c>
      <c r="P93" s="21" t="n">
        <f aca="false">+J93</f>
        <v>122570</v>
      </c>
      <c r="Q93" s="19" t="n">
        <f aca="false">+J93-P93</f>
        <v>0</v>
      </c>
      <c r="R93" s="22" t="str">
        <f aca="false">IF(J93-P93=0,"PAGADA","PENDIENTE")</f>
        <v>PAGADA</v>
      </c>
      <c r="S93" s="18" t="n">
        <v>46043</v>
      </c>
      <c r="T93" s="16"/>
      <c r="U93" s="16"/>
      <c r="V93" s="16"/>
      <c r="W93" s="16"/>
      <c r="X93" s="16"/>
    </row>
    <row r="94" s="8" customFormat="true" ht="13.5" hidden="false" customHeight="false" outlineLevel="0" collapsed="false">
      <c r="A94" s="16" t="s">
        <v>64</v>
      </c>
      <c r="B94" s="16" t="s">
        <v>65</v>
      </c>
      <c r="C94" s="17"/>
      <c r="D94" s="17"/>
      <c r="E94" s="16" t="s">
        <v>24</v>
      </c>
      <c r="F94" s="16" t="n">
        <v>4676</v>
      </c>
      <c r="G94" s="18" t="n">
        <v>46015</v>
      </c>
      <c r="H94" s="18" t="n">
        <f aca="false">+G94+30</f>
        <v>46045</v>
      </c>
      <c r="I94" s="18"/>
      <c r="J94" s="19" t="n">
        <v>2618000</v>
      </c>
      <c r="K94" s="19" t="n">
        <f aca="false">+J94</f>
        <v>2618000</v>
      </c>
      <c r="L94" s="19" t="n">
        <f aca="false">+J94/1.19</f>
        <v>2200000</v>
      </c>
      <c r="M94" s="19" t="n">
        <f aca="false">+L94*19%</f>
        <v>418000</v>
      </c>
      <c r="N94" s="16" t="s">
        <v>25</v>
      </c>
      <c r="O94" s="20" t="n">
        <v>2025</v>
      </c>
      <c r="P94" s="21" t="n">
        <f aca="false">+J94</f>
        <v>2618000</v>
      </c>
      <c r="Q94" s="19" t="n">
        <f aca="false">+J94-P94</f>
        <v>0</v>
      </c>
      <c r="R94" s="22" t="str">
        <f aca="false">IF(J94-P94=0,"PAGADA","PENDIENTE")</f>
        <v>PAGADA</v>
      </c>
      <c r="S94" s="18" t="n">
        <v>46045</v>
      </c>
      <c r="T94" s="16"/>
      <c r="U94" s="16"/>
      <c r="V94" s="16"/>
      <c r="W94" s="16"/>
      <c r="X94" s="16"/>
    </row>
    <row r="95" s="8" customFormat="true" ht="13.5" hidden="false" customHeight="false" outlineLevel="0" collapsed="false">
      <c r="A95" s="16" t="s">
        <v>76</v>
      </c>
      <c r="B95" s="16" t="s">
        <v>77</v>
      </c>
      <c r="C95" s="17"/>
      <c r="D95" s="17"/>
      <c r="E95" s="16" t="s">
        <v>24</v>
      </c>
      <c r="F95" s="16" t="n">
        <v>4683</v>
      </c>
      <c r="G95" s="18" t="n">
        <v>46015</v>
      </c>
      <c r="H95" s="18" t="n">
        <f aca="false">+G95+30</f>
        <v>46045</v>
      </c>
      <c r="I95" s="18"/>
      <c r="J95" s="19" t="n">
        <v>8279241</v>
      </c>
      <c r="K95" s="19" t="n">
        <f aca="false">+J95</f>
        <v>8279241</v>
      </c>
      <c r="L95" s="19" t="n">
        <f aca="false">+J95/1.19</f>
        <v>6957345.37815126</v>
      </c>
      <c r="M95" s="19" t="n">
        <f aca="false">+L95*19%</f>
        <v>1321895.62184874</v>
      </c>
      <c r="N95" s="16" t="s">
        <v>25</v>
      </c>
      <c r="O95" s="20" t="n">
        <v>2025</v>
      </c>
      <c r="P95" s="21" t="n">
        <f aca="false">+J95</f>
        <v>8279241</v>
      </c>
      <c r="Q95" s="19" t="n">
        <f aca="false">+J95-P95</f>
        <v>0</v>
      </c>
      <c r="R95" s="22" t="str">
        <f aca="false">IF(J95-P95=0,"PAGADA","PENDIENTE")</f>
        <v>PAGADA</v>
      </c>
      <c r="S95" s="18" t="n">
        <v>46045</v>
      </c>
      <c r="T95" s="16"/>
      <c r="U95" s="16"/>
      <c r="V95" s="16"/>
      <c r="W95" s="16"/>
      <c r="X95" s="16"/>
    </row>
    <row r="96" s="8" customFormat="true" ht="13.5" hidden="false" customHeight="false" outlineLevel="0" collapsed="false">
      <c r="A96" s="16" t="s">
        <v>74</v>
      </c>
      <c r="B96" s="16" t="s">
        <v>75</v>
      </c>
      <c r="C96" s="17"/>
      <c r="D96" s="17"/>
      <c r="E96" s="16" t="s">
        <v>24</v>
      </c>
      <c r="F96" s="16" t="n">
        <v>4685</v>
      </c>
      <c r="G96" s="18" t="n">
        <v>46015</v>
      </c>
      <c r="H96" s="18" t="n">
        <f aca="false">+G96+30</f>
        <v>46045</v>
      </c>
      <c r="I96" s="18"/>
      <c r="J96" s="19" t="n">
        <v>11590937</v>
      </c>
      <c r="K96" s="19" t="n">
        <f aca="false">+J96</f>
        <v>11590937</v>
      </c>
      <c r="L96" s="19" t="n">
        <f aca="false">+J96/1.19</f>
        <v>9740283.19327731</v>
      </c>
      <c r="M96" s="19" t="n">
        <f aca="false">+L96*19%</f>
        <v>1850653.80672269</v>
      </c>
      <c r="N96" s="16" t="s">
        <v>25</v>
      </c>
      <c r="O96" s="20" t="n">
        <v>2025</v>
      </c>
      <c r="P96" s="21" t="n">
        <f aca="false">+J96</f>
        <v>11590937</v>
      </c>
      <c r="Q96" s="19" t="n">
        <f aca="false">+J96-P96</f>
        <v>0</v>
      </c>
      <c r="R96" s="22" t="str">
        <f aca="false">IF(J96-P96=0,"PAGADA","PENDIENTE")</f>
        <v>PAGADA</v>
      </c>
      <c r="S96" s="18" t="n">
        <v>46045</v>
      </c>
      <c r="T96" s="16"/>
      <c r="U96" s="16"/>
      <c r="V96" s="16"/>
      <c r="W96" s="16"/>
      <c r="X96" s="16"/>
    </row>
    <row r="97" s="8" customFormat="true" ht="13.5" hidden="false" customHeight="false" outlineLevel="0" collapsed="false">
      <c r="A97" s="16" t="s">
        <v>72</v>
      </c>
      <c r="B97" s="16" t="s">
        <v>73</v>
      </c>
      <c r="C97" s="17"/>
      <c r="D97" s="17"/>
      <c r="E97" s="16" t="s">
        <v>24</v>
      </c>
      <c r="F97" s="16" t="n">
        <v>4686</v>
      </c>
      <c r="G97" s="18" t="n">
        <v>46015</v>
      </c>
      <c r="H97" s="18" t="n">
        <f aca="false">+G97+30</f>
        <v>46045</v>
      </c>
      <c r="I97" s="18"/>
      <c r="J97" s="19" t="n">
        <v>17477791</v>
      </c>
      <c r="K97" s="19" t="n">
        <f aca="false">+J97</f>
        <v>17477791</v>
      </c>
      <c r="L97" s="19" t="n">
        <f aca="false">+J97/1.19</f>
        <v>14687219.3277311</v>
      </c>
      <c r="M97" s="19" t="n">
        <f aca="false">+L97*19%</f>
        <v>2790571.67226891</v>
      </c>
      <c r="N97" s="16" t="s">
        <v>25</v>
      </c>
      <c r="O97" s="20" t="n">
        <v>2025</v>
      </c>
      <c r="P97" s="21" t="n">
        <f aca="false">+J97</f>
        <v>17477791</v>
      </c>
      <c r="Q97" s="19" t="n">
        <f aca="false">+J97-P97</f>
        <v>0</v>
      </c>
      <c r="R97" s="22" t="str">
        <f aca="false">IF(J97-P97=0,"PAGADA","PENDIENTE")</f>
        <v>PAGADA</v>
      </c>
      <c r="S97" s="18" t="n">
        <v>46045</v>
      </c>
      <c r="T97" s="16"/>
      <c r="U97" s="16"/>
      <c r="V97" s="16"/>
      <c r="W97" s="16"/>
      <c r="X97" s="16"/>
    </row>
    <row r="98" s="8" customFormat="true" ht="13.5" hidden="false" customHeight="false" outlineLevel="0" collapsed="false">
      <c r="A98" s="16" t="s">
        <v>86</v>
      </c>
      <c r="B98" s="16" t="s">
        <v>87</v>
      </c>
      <c r="C98" s="17"/>
      <c r="D98" s="17"/>
      <c r="E98" s="16" t="s">
        <v>24</v>
      </c>
      <c r="F98" s="16" t="n">
        <v>4687</v>
      </c>
      <c r="G98" s="18" t="n">
        <v>46015</v>
      </c>
      <c r="H98" s="18" t="n">
        <f aca="false">+G98+30</f>
        <v>46045</v>
      </c>
      <c r="I98" s="18"/>
      <c r="J98" s="19" t="n">
        <v>64559381</v>
      </c>
      <c r="K98" s="19" t="n">
        <f aca="false">+J98</f>
        <v>64559381</v>
      </c>
      <c r="L98" s="19" t="n">
        <f aca="false">+J98/1.19</f>
        <v>54251580.6722689</v>
      </c>
      <c r="M98" s="19" t="n">
        <f aca="false">+L98*19%</f>
        <v>10307800.3277311</v>
      </c>
      <c r="N98" s="16" t="s">
        <v>25</v>
      </c>
      <c r="O98" s="20" t="n">
        <v>2025</v>
      </c>
      <c r="P98" s="21" t="n">
        <f aca="false">+J98</f>
        <v>64559381</v>
      </c>
      <c r="Q98" s="19" t="n">
        <f aca="false">+J98-P98</f>
        <v>0</v>
      </c>
      <c r="R98" s="22" t="str">
        <f aca="false">IF(J98-P98=0,"PAGADA","PENDIENTE")</f>
        <v>PAGADA</v>
      </c>
      <c r="S98" s="18" t="n">
        <v>46045</v>
      </c>
      <c r="T98" s="16"/>
      <c r="U98" s="16"/>
      <c r="V98" s="16"/>
      <c r="W98" s="16"/>
      <c r="X98" s="16"/>
    </row>
    <row r="99" s="8" customFormat="true" ht="13.5" hidden="false" customHeight="false" outlineLevel="0" collapsed="false">
      <c r="A99" s="16" t="s">
        <v>88</v>
      </c>
      <c r="B99" s="16" t="s">
        <v>89</v>
      </c>
      <c r="C99" s="17"/>
      <c r="D99" s="17"/>
      <c r="E99" s="16" t="s">
        <v>24</v>
      </c>
      <c r="F99" s="16" t="n">
        <v>4675</v>
      </c>
      <c r="G99" s="18" t="n">
        <v>46015</v>
      </c>
      <c r="H99" s="18" t="n">
        <f aca="false">+G99+30</f>
        <v>46045</v>
      </c>
      <c r="I99" s="18"/>
      <c r="J99" s="19" t="n">
        <v>6718836</v>
      </c>
      <c r="K99" s="19" t="n">
        <f aca="false">+J99</f>
        <v>6718836</v>
      </c>
      <c r="L99" s="19" t="n">
        <f aca="false">+J99/1.19</f>
        <v>5646080.67226891</v>
      </c>
      <c r="M99" s="19" t="n">
        <f aca="false">+L99*19%</f>
        <v>1072755.32773109</v>
      </c>
      <c r="N99" s="16" t="s">
        <v>25</v>
      </c>
      <c r="O99" s="20" t="n">
        <v>2025</v>
      </c>
      <c r="P99" s="21" t="n">
        <f aca="false">+J99</f>
        <v>6718836</v>
      </c>
      <c r="Q99" s="19" t="n">
        <f aca="false">+J99-P99</f>
        <v>0</v>
      </c>
      <c r="R99" s="22" t="str">
        <f aca="false">IF(J99-P99=0,"PAGADA","PENDIENTE")</f>
        <v>PAGADA</v>
      </c>
      <c r="S99" s="18" t="n">
        <v>46048</v>
      </c>
      <c r="T99" s="16"/>
      <c r="U99" s="16"/>
      <c r="V99" s="16"/>
      <c r="W99" s="16"/>
      <c r="X99" s="16"/>
    </row>
    <row r="100" s="8" customFormat="true" ht="13.5" hidden="false" customHeight="false" outlineLevel="0" collapsed="false">
      <c r="A100" s="16" t="s">
        <v>51</v>
      </c>
      <c r="B100" s="16" t="s">
        <v>52</v>
      </c>
      <c r="C100" s="17"/>
      <c r="D100" s="17"/>
      <c r="E100" s="16" t="s">
        <v>24</v>
      </c>
      <c r="F100" s="16" t="n">
        <v>4690</v>
      </c>
      <c r="G100" s="18" t="n">
        <v>46015</v>
      </c>
      <c r="H100" s="18" t="n">
        <f aca="false">+G100+30</f>
        <v>46045</v>
      </c>
      <c r="I100" s="18"/>
      <c r="J100" s="19" t="n">
        <v>452200</v>
      </c>
      <c r="K100" s="19" t="n">
        <f aca="false">+J100</f>
        <v>452200</v>
      </c>
      <c r="L100" s="19" t="n">
        <f aca="false">+J100/1.19</f>
        <v>380000</v>
      </c>
      <c r="M100" s="19" t="n">
        <f aca="false">+L100*19%</f>
        <v>72200</v>
      </c>
      <c r="N100" s="16" t="s">
        <v>25</v>
      </c>
      <c r="O100" s="20" t="n">
        <v>2025</v>
      </c>
      <c r="P100" s="21" t="n">
        <f aca="false">+J100</f>
        <v>452200</v>
      </c>
      <c r="Q100" s="19" t="n">
        <f aca="false">+J100-P100</f>
        <v>0</v>
      </c>
      <c r="R100" s="22" t="str">
        <f aca="false">IF(J100-P100=0,"PAGADA","PENDIENTE")</f>
        <v>PAGADA</v>
      </c>
      <c r="S100" s="18" t="n">
        <v>46049</v>
      </c>
      <c r="T100" s="16"/>
      <c r="U100" s="16"/>
      <c r="V100" s="16"/>
      <c r="W100" s="16"/>
      <c r="X100" s="16"/>
    </row>
    <row r="101" s="8" customFormat="true" ht="13.5" hidden="false" customHeight="false" outlineLevel="0" collapsed="false">
      <c r="A101" s="16" t="s">
        <v>76</v>
      </c>
      <c r="B101" s="16" t="s">
        <v>77</v>
      </c>
      <c r="C101" s="17"/>
      <c r="D101" s="17"/>
      <c r="E101" s="16" t="s">
        <v>24</v>
      </c>
      <c r="F101" s="16" t="n">
        <v>4684</v>
      </c>
      <c r="G101" s="18" t="n">
        <v>46015</v>
      </c>
      <c r="H101" s="18" t="n">
        <f aca="false">+G101+30</f>
        <v>46045</v>
      </c>
      <c r="I101" s="18"/>
      <c r="J101" s="19" t="n">
        <v>17477791</v>
      </c>
      <c r="K101" s="19" t="n">
        <f aca="false">+J101</f>
        <v>17477791</v>
      </c>
      <c r="L101" s="19" t="n">
        <f aca="false">+J101/1.19</f>
        <v>14687219.3277311</v>
      </c>
      <c r="M101" s="19" t="n">
        <f aca="false">+L101*19%</f>
        <v>2790571.67226891</v>
      </c>
      <c r="N101" s="16" t="s">
        <v>25</v>
      </c>
      <c r="O101" s="20" t="n">
        <v>2025</v>
      </c>
      <c r="P101" s="21" t="n">
        <f aca="false">+J101</f>
        <v>17477791</v>
      </c>
      <c r="Q101" s="19" t="n">
        <f aca="false">+J101-P101</f>
        <v>0</v>
      </c>
      <c r="R101" s="22" t="str">
        <f aca="false">IF(J101-P101=0,"PAGADA","PENDIENTE")</f>
        <v>PAGADA</v>
      </c>
      <c r="S101" s="16" t="s">
        <v>90</v>
      </c>
      <c r="T101" s="16"/>
      <c r="U101" s="16"/>
      <c r="V101" s="16"/>
      <c r="W101" s="16"/>
      <c r="X101" s="16"/>
    </row>
    <row r="102" s="8" customFormat="true" ht="13.5" hidden="false" customHeight="false" outlineLevel="0" collapsed="false">
      <c r="A102" s="16" t="s">
        <v>37</v>
      </c>
      <c r="B102" s="16" t="s">
        <v>38</v>
      </c>
      <c r="C102" s="17"/>
      <c r="D102" s="17"/>
      <c r="E102" s="16" t="s">
        <v>24</v>
      </c>
      <c r="F102" s="16" t="n">
        <v>4688</v>
      </c>
      <c r="G102" s="18" t="n">
        <v>46015</v>
      </c>
      <c r="H102" s="18" t="n">
        <f aca="false">+G102+30</f>
        <v>46045</v>
      </c>
      <c r="I102" s="18"/>
      <c r="J102" s="19" t="n">
        <v>99499971</v>
      </c>
      <c r="K102" s="19" t="n">
        <f aca="false">+J102</f>
        <v>99499971</v>
      </c>
      <c r="L102" s="19" t="n">
        <f aca="false">+J102/1.19</f>
        <v>83613421.0084034</v>
      </c>
      <c r="M102" s="19" t="n">
        <f aca="false">+L102*19%</f>
        <v>15886549.9915966</v>
      </c>
      <c r="N102" s="16" t="s">
        <v>25</v>
      </c>
      <c r="O102" s="20" t="n">
        <v>2025</v>
      </c>
      <c r="P102" s="21" t="n">
        <f aca="false">+J102</f>
        <v>99499971</v>
      </c>
      <c r="Q102" s="19" t="n">
        <f aca="false">+J102-P102</f>
        <v>0</v>
      </c>
      <c r="R102" s="22" t="str">
        <f aca="false">IF(J102-P102=0,"PAGADA","PENDIENTE")</f>
        <v>PAGADA</v>
      </c>
      <c r="S102" s="16" t="s">
        <v>91</v>
      </c>
      <c r="T102" s="16"/>
      <c r="U102" s="16"/>
      <c r="V102" s="16"/>
      <c r="W102" s="16"/>
      <c r="X102" s="16"/>
    </row>
    <row r="103" s="8" customFormat="true" ht="13.5" hidden="false" customHeight="false" outlineLevel="0" collapsed="false">
      <c r="A103" s="16" t="s">
        <v>37</v>
      </c>
      <c r="B103" s="16" t="s">
        <v>38</v>
      </c>
      <c r="C103" s="17"/>
      <c r="D103" s="17"/>
      <c r="E103" s="16" t="s">
        <v>24</v>
      </c>
      <c r="F103" s="16" t="n">
        <v>4689</v>
      </c>
      <c r="G103" s="18" t="n">
        <v>46015</v>
      </c>
      <c r="H103" s="18" t="n">
        <f aca="false">+G103+30</f>
        <v>46045</v>
      </c>
      <c r="I103" s="18"/>
      <c r="J103" s="19" t="n">
        <v>83613466</v>
      </c>
      <c r="K103" s="19" t="n">
        <f aca="false">+J103</f>
        <v>83613466</v>
      </c>
      <c r="L103" s="19" t="n">
        <f aca="false">+J103/1.19</f>
        <v>70263416.8067227</v>
      </c>
      <c r="M103" s="19" t="n">
        <f aca="false">+L103*19%</f>
        <v>13350049.1932773</v>
      </c>
      <c r="N103" s="16" t="s">
        <v>25</v>
      </c>
      <c r="O103" s="20" t="n">
        <v>2025</v>
      </c>
      <c r="P103" s="21" t="n">
        <f aca="false">+J103</f>
        <v>83613466</v>
      </c>
      <c r="Q103" s="19" t="n">
        <f aca="false">+J103-P103</f>
        <v>0</v>
      </c>
      <c r="R103" s="22" t="str">
        <f aca="false">IF(J103-P103=0,"PAGADA","PENDIENTE")</f>
        <v>PAGADA</v>
      </c>
      <c r="S103" s="18" t="n">
        <v>46021</v>
      </c>
      <c r="T103" s="16"/>
      <c r="U103" s="16"/>
      <c r="V103" s="16"/>
      <c r="W103" s="16"/>
      <c r="X103" s="16"/>
    </row>
    <row r="104" s="7" customFormat="true" ht="13.5" hidden="false" customHeight="false" outlineLevel="0" collapsed="false">
      <c r="A104" s="24" t="s">
        <v>76</v>
      </c>
      <c r="B104" s="24" t="s">
        <v>77</v>
      </c>
      <c r="C104" s="25"/>
      <c r="D104" s="25"/>
      <c r="E104" s="24" t="s">
        <v>35</v>
      </c>
      <c r="F104" s="24" t="n">
        <v>469</v>
      </c>
      <c r="G104" s="26" t="n">
        <v>46015</v>
      </c>
      <c r="H104" s="26" t="n">
        <f aca="false">+G104+30</f>
        <v>46045</v>
      </c>
      <c r="I104" s="26"/>
      <c r="J104" s="21" t="n">
        <v>-17477791</v>
      </c>
      <c r="K104" s="21" t="n">
        <f aca="false">+J104</f>
        <v>-17477791</v>
      </c>
      <c r="L104" s="21" t="n">
        <f aca="false">+J104/1.19</f>
        <v>-14687219.3277311</v>
      </c>
      <c r="M104" s="21" t="n">
        <f aca="false">+L104*19%</f>
        <v>-2790571.67226891</v>
      </c>
      <c r="N104" s="24" t="s">
        <v>25</v>
      </c>
      <c r="O104" s="27" t="n">
        <v>2025</v>
      </c>
      <c r="P104" s="21" t="n">
        <f aca="false">+J104</f>
        <v>-17477791</v>
      </c>
      <c r="Q104" s="21" t="n">
        <f aca="false">+J104-P104</f>
        <v>0</v>
      </c>
      <c r="R104" s="28" t="str">
        <f aca="false">IF(J104-P104=0,"PAGADA","PENDIENTE")</f>
        <v>PAGADA</v>
      </c>
      <c r="S104" s="24" t="s">
        <v>36</v>
      </c>
      <c r="T104" s="24"/>
      <c r="U104" s="24"/>
      <c r="V104" s="24"/>
      <c r="W104" s="24"/>
      <c r="X104" s="24"/>
    </row>
    <row r="105" s="7" customFormat="true" ht="13.5" hidden="false" customHeight="false" outlineLevel="0" collapsed="false">
      <c r="A105" s="24" t="s">
        <v>37</v>
      </c>
      <c r="B105" s="24" t="s">
        <v>38</v>
      </c>
      <c r="C105" s="25"/>
      <c r="D105" s="25"/>
      <c r="E105" s="24" t="s">
        <v>35</v>
      </c>
      <c r="F105" s="24" t="n">
        <v>470</v>
      </c>
      <c r="G105" s="26" t="n">
        <v>46015</v>
      </c>
      <c r="H105" s="26" t="n">
        <f aca="false">+G105+30</f>
        <v>46045</v>
      </c>
      <c r="I105" s="26"/>
      <c r="J105" s="21" t="n">
        <v>-99499971</v>
      </c>
      <c r="K105" s="21" t="n">
        <f aca="false">+J105</f>
        <v>-99499971</v>
      </c>
      <c r="L105" s="21" t="n">
        <f aca="false">+J105/1.19</f>
        <v>-83613421.0084034</v>
      </c>
      <c r="M105" s="21" t="n">
        <f aca="false">+L105*19%</f>
        <v>-15886549.9915966</v>
      </c>
      <c r="N105" s="24" t="s">
        <v>25</v>
      </c>
      <c r="O105" s="27" t="n">
        <v>2025</v>
      </c>
      <c r="P105" s="21" t="n">
        <f aca="false">+J105</f>
        <v>-99499971</v>
      </c>
      <c r="Q105" s="21" t="n">
        <f aca="false">+J105-P105</f>
        <v>0</v>
      </c>
      <c r="R105" s="28" t="str">
        <f aca="false">IF(J105-P105=0,"PAGADA","PENDIENTE")</f>
        <v>PAGADA</v>
      </c>
      <c r="S105" s="24" t="s">
        <v>36</v>
      </c>
      <c r="T105" s="24"/>
      <c r="U105" s="24"/>
      <c r="V105" s="24"/>
      <c r="W105" s="24"/>
      <c r="X105" s="24"/>
    </row>
    <row r="106" s="8" customFormat="true" ht="13.5" hidden="false" customHeight="false" outlineLevel="0" collapsed="false">
      <c r="A106" s="16" t="n">
        <v>0</v>
      </c>
      <c r="B106" s="16" t="s">
        <v>63</v>
      </c>
      <c r="C106" s="17"/>
      <c r="D106" s="17"/>
      <c r="E106" s="16" t="s">
        <v>24</v>
      </c>
      <c r="F106" s="16" t="n">
        <v>4691</v>
      </c>
      <c r="G106" s="18" t="n">
        <v>46017</v>
      </c>
      <c r="H106" s="18" t="n">
        <f aca="false">+G106+30</f>
        <v>46047</v>
      </c>
      <c r="I106" s="18"/>
      <c r="J106" s="19" t="n">
        <v>0</v>
      </c>
      <c r="K106" s="19" t="n">
        <f aca="false">+J106</f>
        <v>0</v>
      </c>
      <c r="L106" s="19" t="n">
        <f aca="false">+J106/1.19</f>
        <v>0</v>
      </c>
      <c r="M106" s="19" t="n">
        <f aca="false">+L106*19%</f>
        <v>0</v>
      </c>
      <c r="N106" s="16" t="s">
        <v>25</v>
      </c>
      <c r="O106" s="20" t="n">
        <v>2025</v>
      </c>
      <c r="P106" s="21"/>
      <c r="Q106" s="19" t="n">
        <f aca="false">+J106-P106</f>
        <v>0</v>
      </c>
      <c r="R106" s="22" t="str">
        <f aca="false">IF(J106-P106=0,"PAGADA","PENDIENTE")</f>
        <v>PAGADA</v>
      </c>
      <c r="S106" s="16"/>
      <c r="T106" s="16"/>
      <c r="U106" s="16"/>
      <c r="V106" s="16"/>
      <c r="W106" s="16"/>
      <c r="X106" s="16"/>
    </row>
    <row r="107" s="8" customFormat="true" ht="13.5" hidden="false" customHeight="false" outlineLevel="0" collapsed="false">
      <c r="A107" s="16" t="s">
        <v>92</v>
      </c>
      <c r="B107" s="16" t="s">
        <v>93</v>
      </c>
      <c r="C107" s="17"/>
      <c r="D107" s="17"/>
      <c r="E107" s="16" t="s">
        <v>24</v>
      </c>
      <c r="F107" s="16" t="n">
        <v>4699</v>
      </c>
      <c r="G107" s="18" t="n">
        <v>46017</v>
      </c>
      <c r="H107" s="18" t="n">
        <f aca="false">+G107+30</f>
        <v>46047</v>
      </c>
      <c r="I107" s="18"/>
      <c r="J107" s="19" t="n">
        <v>1590121</v>
      </c>
      <c r="K107" s="19" t="n">
        <f aca="false">+J107</f>
        <v>1590121</v>
      </c>
      <c r="L107" s="19" t="n">
        <f aca="false">+J107/1.19</f>
        <v>1336236.13445378</v>
      </c>
      <c r="M107" s="19" t="n">
        <f aca="false">+L107*19%</f>
        <v>253884.865546219</v>
      </c>
      <c r="N107" s="16" t="s">
        <v>25</v>
      </c>
      <c r="O107" s="20" t="n">
        <v>2025</v>
      </c>
      <c r="P107" s="21"/>
      <c r="Q107" s="19" t="n">
        <f aca="false">+J107-P107</f>
        <v>1590121</v>
      </c>
      <c r="R107" s="22" t="str">
        <f aca="false">IF(J107-P107=0,"PAGADA","PENDIENTE")</f>
        <v>PENDIENTE</v>
      </c>
      <c r="S107" s="16"/>
      <c r="T107" s="16"/>
      <c r="U107" s="16"/>
      <c r="V107" s="16"/>
      <c r="W107" s="16"/>
      <c r="X107" s="16"/>
    </row>
    <row r="108" s="8" customFormat="true" ht="13.5" hidden="false" customHeight="false" outlineLevel="0" collapsed="false">
      <c r="A108" s="16" t="s">
        <v>92</v>
      </c>
      <c r="B108" s="16" t="s">
        <v>93</v>
      </c>
      <c r="C108" s="17"/>
      <c r="D108" s="17"/>
      <c r="E108" s="16" t="s">
        <v>24</v>
      </c>
      <c r="F108" s="16" t="n">
        <v>4702</v>
      </c>
      <c r="G108" s="18" t="n">
        <v>46017</v>
      </c>
      <c r="H108" s="18" t="n">
        <f aca="false">+G108+30</f>
        <v>46047</v>
      </c>
      <c r="I108" s="18"/>
      <c r="J108" s="19" t="n">
        <v>59500</v>
      </c>
      <c r="K108" s="19" t="n">
        <f aca="false">+J108</f>
        <v>59500</v>
      </c>
      <c r="L108" s="19" t="n">
        <f aca="false">+J108/1.19</f>
        <v>50000</v>
      </c>
      <c r="M108" s="19" t="n">
        <f aca="false">+L108*19%</f>
        <v>9500</v>
      </c>
      <c r="N108" s="16" t="s">
        <v>25</v>
      </c>
      <c r="O108" s="20" t="n">
        <v>2025</v>
      </c>
      <c r="P108" s="21"/>
      <c r="Q108" s="19" t="n">
        <f aca="false">+J108-P108</f>
        <v>59500</v>
      </c>
      <c r="R108" s="22" t="str">
        <f aca="false">IF(J108-P108=0,"PAGADA","PENDIENTE")</f>
        <v>PENDIENTE</v>
      </c>
      <c r="S108" s="16"/>
      <c r="T108" s="16"/>
      <c r="U108" s="16"/>
      <c r="V108" s="16"/>
      <c r="W108" s="16"/>
      <c r="X108" s="16"/>
    </row>
    <row r="109" s="8" customFormat="true" ht="13.5" hidden="false" customHeight="false" outlineLevel="0" collapsed="false">
      <c r="A109" s="16" t="s">
        <v>92</v>
      </c>
      <c r="B109" s="16" t="s">
        <v>93</v>
      </c>
      <c r="C109" s="17"/>
      <c r="D109" s="17"/>
      <c r="E109" s="16" t="s">
        <v>24</v>
      </c>
      <c r="F109" s="16" t="n">
        <v>4703</v>
      </c>
      <c r="G109" s="18" t="n">
        <v>46017</v>
      </c>
      <c r="H109" s="18" t="n">
        <f aca="false">+G109+30</f>
        <v>46047</v>
      </c>
      <c r="I109" s="18"/>
      <c r="J109" s="19" t="n">
        <v>238000</v>
      </c>
      <c r="K109" s="19" t="n">
        <f aca="false">+J109</f>
        <v>238000</v>
      </c>
      <c r="L109" s="19" t="n">
        <f aca="false">+J109/1.19</f>
        <v>200000</v>
      </c>
      <c r="M109" s="19" t="n">
        <f aca="false">+L109*19%</f>
        <v>38000</v>
      </c>
      <c r="N109" s="16" t="s">
        <v>25</v>
      </c>
      <c r="O109" s="20" t="n">
        <v>2025</v>
      </c>
      <c r="P109" s="21"/>
      <c r="Q109" s="19" t="n">
        <f aca="false">+J109-P109</f>
        <v>238000</v>
      </c>
      <c r="R109" s="22" t="str">
        <f aca="false">IF(J109-P109=0,"PAGADA","PENDIENTE")</f>
        <v>PENDIENTE</v>
      </c>
      <c r="S109" s="16"/>
      <c r="T109" s="16"/>
      <c r="U109" s="16"/>
      <c r="V109" s="16"/>
      <c r="W109" s="16"/>
      <c r="X109" s="16"/>
    </row>
    <row r="110" s="8" customFormat="true" ht="13.5" hidden="false" customHeight="false" outlineLevel="0" collapsed="false">
      <c r="A110" s="16" t="n">
        <v>0</v>
      </c>
      <c r="B110" s="16" t="s">
        <v>63</v>
      </c>
      <c r="C110" s="17"/>
      <c r="D110" s="17"/>
      <c r="E110" s="16" t="s">
        <v>24</v>
      </c>
      <c r="F110" s="16" t="n">
        <v>4708</v>
      </c>
      <c r="G110" s="18" t="n">
        <v>46017</v>
      </c>
      <c r="H110" s="18" t="n">
        <f aca="false">+G110+30</f>
        <v>46047</v>
      </c>
      <c r="I110" s="18"/>
      <c r="J110" s="19" t="n">
        <v>0</v>
      </c>
      <c r="K110" s="19" t="n">
        <f aca="false">+J110</f>
        <v>0</v>
      </c>
      <c r="L110" s="19" t="n">
        <f aca="false">+J110/1.19</f>
        <v>0</v>
      </c>
      <c r="M110" s="19" t="n">
        <f aca="false">+L110*19%</f>
        <v>0</v>
      </c>
      <c r="N110" s="16" t="s">
        <v>25</v>
      </c>
      <c r="O110" s="20" t="n">
        <v>2025</v>
      </c>
      <c r="P110" s="21"/>
      <c r="Q110" s="19" t="n">
        <f aca="false">+J110-P110</f>
        <v>0</v>
      </c>
      <c r="R110" s="22" t="str">
        <f aca="false">IF(J110-P110=0,"PAGADA","PENDIENTE")</f>
        <v>PAGADA</v>
      </c>
      <c r="S110" s="16"/>
      <c r="T110" s="16"/>
      <c r="U110" s="16"/>
      <c r="V110" s="16"/>
      <c r="W110" s="16"/>
      <c r="X110" s="16"/>
    </row>
    <row r="111" s="8" customFormat="true" ht="13.5" hidden="false" customHeight="false" outlineLevel="0" collapsed="false">
      <c r="A111" s="16" t="s">
        <v>92</v>
      </c>
      <c r="B111" s="16" t="s">
        <v>93</v>
      </c>
      <c r="C111" s="17"/>
      <c r="D111" s="17"/>
      <c r="E111" s="16" t="s">
        <v>24</v>
      </c>
      <c r="F111" s="16" t="n">
        <v>4709</v>
      </c>
      <c r="G111" s="18" t="n">
        <v>46017</v>
      </c>
      <c r="H111" s="18" t="n">
        <f aca="false">+G111+30</f>
        <v>46047</v>
      </c>
      <c r="I111" s="18"/>
      <c r="J111" s="19" t="n">
        <v>59500</v>
      </c>
      <c r="K111" s="19" t="n">
        <f aca="false">+J111</f>
        <v>59500</v>
      </c>
      <c r="L111" s="19" t="n">
        <f aca="false">+J111/1.19</f>
        <v>50000</v>
      </c>
      <c r="M111" s="19" t="n">
        <f aca="false">+L111*19%</f>
        <v>9500</v>
      </c>
      <c r="N111" s="16" t="s">
        <v>25</v>
      </c>
      <c r="O111" s="20" t="n">
        <v>2025</v>
      </c>
      <c r="P111" s="21"/>
      <c r="Q111" s="19" t="n">
        <f aca="false">+J111-P111</f>
        <v>59500</v>
      </c>
      <c r="R111" s="22" t="str">
        <f aca="false">IF(J111-P111=0,"PAGADA","PENDIENTE")</f>
        <v>PENDIENTE</v>
      </c>
      <c r="S111" s="16"/>
      <c r="T111" s="16"/>
      <c r="U111" s="16"/>
      <c r="V111" s="16"/>
      <c r="W111" s="16"/>
      <c r="X111" s="16"/>
    </row>
    <row r="112" s="8" customFormat="true" ht="13.5" hidden="false" customHeight="false" outlineLevel="0" collapsed="false">
      <c r="A112" s="16" t="s">
        <v>94</v>
      </c>
      <c r="B112" s="16" t="s">
        <v>95</v>
      </c>
      <c r="C112" s="17"/>
      <c r="D112" s="17"/>
      <c r="E112" s="16" t="s">
        <v>24</v>
      </c>
      <c r="F112" s="16" t="n">
        <v>4692</v>
      </c>
      <c r="G112" s="18" t="n">
        <v>46017</v>
      </c>
      <c r="H112" s="18" t="n">
        <f aca="false">+G112+30</f>
        <v>46047</v>
      </c>
      <c r="I112" s="18"/>
      <c r="J112" s="19" t="n">
        <v>2951200</v>
      </c>
      <c r="K112" s="19" t="n">
        <f aca="false">+J112</f>
        <v>2951200</v>
      </c>
      <c r="L112" s="19" t="n">
        <f aca="false">+J112/1.19</f>
        <v>2480000</v>
      </c>
      <c r="M112" s="19" t="n">
        <f aca="false">+L112*19%</f>
        <v>471200</v>
      </c>
      <c r="N112" s="16" t="s">
        <v>25</v>
      </c>
      <c r="O112" s="20" t="n">
        <v>2025</v>
      </c>
      <c r="P112" s="21" t="n">
        <f aca="false">+J112</f>
        <v>2951200</v>
      </c>
      <c r="Q112" s="19" t="n">
        <f aca="false">+J112-P112</f>
        <v>0</v>
      </c>
      <c r="R112" s="22" t="str">
        <f aca="false">IF(J112-P112=0,"PAGADA","PENDIENTE")</f>
        <v>PAGADA</v>
      </c>
      <c r="S112" s="18" t="n">
        <v>46062</v>
      </c>
      <c r="T112" s="16"/>
      <c r="U112" s="16"/>
      <c r="V112" s="16"/>
      <c r="W112" s="16"/>
      <c r="X112" s="16"/>
    </row>
    <row r="113" s="8" customFormat="true" ht="13.5" hidden="false" customHeight="false" outlineLevel="0" collapsed="false">
      <c r="A113" s="16" t="s">
        <v>92</v>
      </c>
      <c r="B113" s="16" t="s">
        <v>93</v>
      </c>
      <c r="C113" s="17"/>
      <c r="D113" s="17"/>
      <c r="E113" s="16" t="s">
        <v>24</v>
      </c>
      <c r="F113" s="16" t="n">
        <v>4711</v>
      </c>
      <c r="G113" s="18" t="n">
        <v>46017</v>
      </c>
      <c r="H113" s="18" t="n">
        <f aca="false">+G113+30</f>
        <v>46047</v>
      </c>
      <c r="I113" s="18"/>
      <c r="J113" s="19" t="n">
        <v>238000</v>
      </c>
      <c r="K113" s="19" t="n">
        <f aca="false">+J113</f>
        <v>238000</v>
      </c>
      <c r="L113" s="19" t="n">
        <f aca="false">+J113/1.19</f>
        <v>200000</v>
      </c>
      <c r="M113" s="19" t="n">
        <f aca="false">+L113*19%</f>
        <v>38000</v>
      </c>
      <c r="N113" s="16" t="s">
        <v>25</v>
      </c>
      <c r="O113" s="20" t="n">
        <v>2025</v>
      </c>
      <c r="P113" s="21"/>
      <c r="Q113" s="19" t="n">
        <f aca="false">+J113-P113</f>
        <v>238000</v>
      </c>
      <c r="R113" s="22" t="str">
        <f aca="false">IF(J113-P113=0,"PAGADA","PENDIENTE")</f>
        <v>PENDIENTE</v>
      </c>
      <c r="S113" s="16"/>
      <c r="T113" s="16"/>
      <c r="U113" s="16"/>
      <c r="V113" s="16"/>
      <c r="W113" s="16"/>
      <c r="X113" s="16"/>
    </row>
    <row r="114" s="8" customFormat="true" ht="13.5" hidden="false" customHeight="false" outlineLevel="0" collapsed="false">
      <c r="A114" s="16" t="s">
        <v>94</v>
      </c>
      <c r="B114" s="16" t="s">
        <v>95</v>
      </c>
      <c r="C114" s="17"/>
      <c r="D114" s="17"/>
      <c r="E114" s="16" t="s">
        <v>24</v>
      </c>
      <c r="F114" s="16" t="n">
        <v>4693</v>
      </c>
      <c r="G114" s="18" t="n">
        <v>46017</v>
      </c>
      <c r="H114" s="18" t="n">
        <f aca="false">+G114+30</f>
        <v>46047</v>
      </c>
      <c r="I114" s="18"/>
      <c r="J114" s="19" t="n">
        <v>119000</v>
      </c>
      <c r="K114" s="19" t="n">
        <f aca="false">+J114</f>
        <v>119000</v>
      </c>
      <c r="L114" s="19" t="n">
        <f aca="false">+J114/1.19</f>
        <v>100000</v>
      </c>
      <c r="M114" s="19" t="n">
        <f aca="false">+L114*19%</f>
        <v>19000</v>
      </c>
      <c r="N114" s="16" t="s">
        <v>25</v>
      </c>
      <c r="O114" s="20" t="n">
        <v>2025</v>
      </c>
      <c r="P114" s="21" t="n">
        <f aca="false">+J114</f>
        <v>119000</v>
      </c>
      <c r="Q114" s="19" t="n">
        <f aca="false">+J114-P114</f>
        <v>0</v>
      </c>
      <c r="R114" s="22" t="str">
        <f aca="false">IF(J114-P114=0,"PAGADA","PENDIENTE")</f>
        <v>PAGADA</v>
      </c>
      <c r="S114" s="18" t="n">
        <v>46062</v>
      </c>
      <c r="T114" s="16"/>
      <c r="U114" s="16"/>
      <c r="V114" s="16"/>
      <c r="W114" s="16"/>
      <c r="X114" s="16"/>
    </row>
    <row r="115" s="8" customFormat="true" ht="13.5" hidden="false" customHeight="false" outlineLevel="0" collapsed="false">
      <c r="A115" s="16" t="s">
        <v>94</v>
      </c>
      <c r="B115" s="16" t="s">
        <v>95</v>
      </c>
      <c r="C115" s="17"/>
      <c r="D115" s="17"/>
      <c r="E115" s="16" t="s">
        <v>24</v>
      </c>
      <c r="F115" s="16" t="n">
        <v>4694</v>
      </c>
      <c r="G115" s="18" t="n">
        <v>46017</v>
      </c>
      <c r="H115" s="18" t="n">
        <f aca="false">+G115+30</f>
        <v>46047</v>
      </c>
      <c r="I115" s="18"/>
      <c r="J115" s="19" t="n">
        <v>119000</v>
      </c>
      <c r="K115" s="19" t="n">
        <f aca="false">+J115</f>
        <v>119000</v>
      </c>
      <c r="L115" s="19" t="n">
        <f aca="false">+J115/1.19</f>
        <v>100000</v>
      </c>
      <c r="M115" s="19" t="n">
        <f aca="false">+L115*19%</f>
        <v>19000</v>
      </c>
      <c r="N115" s="16" t="s">
        <v>25</v>
      </c>
      <c r="O115" s="20" t="n">
        <v>2025</v>
      </c>
      <c r="P115" s="21" t="n">
        <f aca="false">+J115</f>
        <v>119000</v>
      </c>
      <c r="Q115" s="19" t="n">
        <f aca="false">+J115-P115</f>
        <v>0</v>
      </c>
      <c r="R115" s="22" t="str">
        <f aca="false">IF(J115-P115=0,"PAGADA","PENDIENTE")</f>
        <v>PAGADA</v>
      </c>
      <c r="S115" s="18" t="n">
        <v>46062</v>
      </c>
      <c r="T115" s="16"/>
      <c r="U115" s="16"/>
      <c r="V115" s="16"/>
      <c r="W115" s="16"/>
      <c r="X115" s="16"/>
    </row>
    <row r="116" s="8" customFormat="true" ht="13.5" hidden="false" customHeight="false" outlineLevel="0" collapsed="false">
      <c r="A116" s="16" t="s">
        <v>94</v>
      </c>
      <c r="B116" s="16" t="s">
        <v>95</v>
      </c>
      <c r="C116" s="17"/>
      <c r="D116" s="17"/>
      <c r="E116" s="16" t="s">
        <v>24</v>
      </c>
      <c r="F116" s="16" t="n">
        <v>4695</v>
      </c>
      <c r="G116" s="18" t="n">
        <v>46017</v>
      </c>
      <c r="H116" s="18" t="n">
        <f aca="false">+G116+30</f>
        <v>46047</v>
      </c>
      <c r="I116" s="18"/>
      <c r="J116" s="19" t="n">
        <v>119000</v>
      </c>
      <c r="K116" s="19" t="n">
        <f aca="false">+J116</f>
        <v>119000</v>
      </c>
      <c r="L116" s="19" t="n">
        <f aca="false">+J116/1.19</f>
        <v>100000</v>
      </c>
      <c r="M116" s="19" t="n">
        <f aca="false">+L116*19%</f>
        <v>19000</v>
      </c>
      <c r="N116" s="16" t="s">
        <v>25</v>
      </c>
      <c r="O116" s="20" t="n">
        <v>2025</v>
      </c>
      <c r="P116" s="21" t="n">
        <f aca="false">+J116</f>
        <v>119000</v>
      </c>
      <c r="Q116" s="19" t="n">
        <f aca="false">+J116-P116</f>
        <v>0</v>
      </c>
      <c r="R116" s="22" t="str">
        <f aca="false">IF(J116-P116=0,"PAGADA","PENDIENTE")</f>
        <v>PAGADA</v>
      </c>
      <c r="S116" s="18" t="n">
        <v>46062</v>
      </c>
      <c r="T116" s="16"/>
      <c r="U116" s="16"/>
      <c r="V116" s="16"/>
      <c r="W116" s="16"/>
      <c r="X116" s="16"/>
    </row>
    <row r="117" s="8" customFormat="true" ht="13.5" hidden="false" customHeight="false" outlineLevel="0" collapsed="false">
      <c r="A117" s="16" t="s">
        <v>92</v>
      </c>
      <c r="B117" s="16" t="s">
        <v>93</v>
      </c>
      <c r="C117" s="17"/>
      <c r="D117" s="17"/>
      <c r="E117" s="16" t="s">
        <v>24</v>
      </c>
      <c r="F117" s="16" t="n">
        <v>4696</v>
      </c>
      <c r="G117" s="18" t="n">
        <v>46017</v>
      </c>
      <c r="H117" s="18" t="n">
        <f aca="false">+G117+30</f>
        <v>46047</v>
      </c>
      <c r="I117" s="18"/>
      <c r="J117" s="19" t="n">
        <v>238000</v>
      </c>
      <c r="K117" s="19" t="n">
        <f aca="false">+J117</f>
        <v>238000</v>
      </c>
      <c r="L117" s="19" t="n">
        <f aca="false">+J117/1.19</f>
        <v>200000</v>
      </c>
      <c r="M117" s="19" t="n">
        <f aca="false">+L117*19%</f>
        <v>38000</v>
      </c>
      <c r="N117" s="16" t="s">
        <v>25</v>
      </c>
      <c r="O117" s="20" t="n">
        <v>2025</v>
      </c>
      <c r="P117" s="21" t="n">
        <f aca="false">+J117</f>
        <v>238000</v>
      </c>
      <c r="Q117" s="19" t="n">
        <f aca="false">+J117-P117</f>
        <v>0</v>
      </c>
      <c r="R117" s="22" t="str">
        <f aca="false">IF(J117-P117=0,"PAGADA","PENDIENTE")</f>
        <v>PAGADA</v>
      </c>
      <c r="S117" s="18" t="n">
        <v>46062</v>
      </c>
      <c r="T117" s="16"/>
      <c r="U117" s="16"/>
      <c r="V117" s="16"/>
      <c r="W117" s="16"/>
      <c r="X117" s="16"/>
    </row>
    <row r="118" s="8" customFormat="true" ht="13.5" hidden="false" customHeight="false" outlineLevel="0" collapsed="false">
      <c r="A118" s="16" t="s">
        <v>92</v>
      </c>
      <c r="B118" s="16" t="s">
        <v>93</v>
      </c>
      <c r="C118" s="17"/>
      <c r="D118" s="17"/>
      <c r="E118" s="16" t="s">
        <v>24</v>
      </c>
      <c r="F118" s="16" t="n">
        <v>4697</v>
      </c>
      <c r="G118" s="18" t="n">
        <v>46017</v>
      </c>
      <c r="H118" s="18" t="n">
        <f aca="false">+G118+30</f>
        <v>46047</v>
      </c>
      <c r="I118" s="18"/>
      <c r="J118" s="19" t="n">
        <v>238000</v>
      </c>
      <c r="K118" s="19" t="n">
        <f aca="false">+J118</f>
        <v>238000</v>
      </c>
      <c r="L118" s="19" t="n">
        <f aca="false">+J118/1.19</f>
        <v>200000</v>
      </c>
      <c r="M118" s="19" t="n">
        <f aca="false">+L118*19%</f>
        <v>38000</v>
      </c>
      <c r="N118" s="16" t="s">
        <v>25</v>
      </c>
      <c r="O118" s="20" t="n">
        <v>2025</v>
      </c>
      <c r="P118" s="21" t="n">
        <f aca="false">+J118</f>
        <v>238000</v>
      </c>
      <c r="Q118" s="19" t="n">
        <f aca="false">+J118-P118</f>
        <v>0</v>
      </c>
      <c r="R118" s="22" t="str">
        <f aca="false">IF(J118-P118=0,"PAGADA","PENDIENTE")</f>
        <v>PAGADA</v>
      </c>
      <c r="S118" s="18" t="n">
        <v>46062</v>
      </c>
      <c r="T118" s="16"/>
      <c r="U118" s="16"/>
      <c r="V118" s="16"/>
      <c r="W118" s="16"/>
      <c r="X118" s="16"/>
    </row>
    <row r="119" s="8" customFormat="true" ht="13.5" hidden="false" customHeight="false" outlineLevel="0" collapsed="false">
      <c r="A119" s="16" t="s">
        <v>92</v>
      </c>
      <c r="B119" s="16" t="s">
        <v>93</v>
      </c>
      <c r="C119" s="17"/>
      <c r="D119" s="17"/>
      <c r="E119" s="16" t="s">
        <v>24</v>
      </c>
      <c r="F119" s="16" t="n">
        <v>4698</v>
      </c>
      <c r="G119" s="18" t="n">
        <v>46017</v>
      </c>
      <c r="H119" s="18" t="n">
        <f aca="false">+G119+30</f>
        <v>46047</v>
      </c>
      <c r="I119" s="18"/>
      <c r="J119" s="19" t="n">
        <v>238000</v>
      </c>
      <c r="K119" s="19" t="n">
        <f aca="false">+J119</f>
        <v>238000</v>
      </c>
      <c r="L119" s="19" t="n">
        <f aca="false">+J119/1.19</f>
        <v>200000</v>
      </c>
      <c r="M119" s="19" t="n">
        <f aca="false">+L119*19%</f>
        <v>38000</v>
      </c>
      <c r="N119" s="16" t="s">
        <v>25</v>
      </c>
      <c r="O119" s="20" t="n">
        <v>2025</v>
      </c>
      <c r="P119" s="21" t="n">
        <f aca="false">+J119</f>
        <v>238000</v>
      </c>
      <c r="Q119" s="19" t="n">
        <f aca="false">+J119-P119</f>
        <v>0</v>
      </c>
      <c r="R119" s="22" t="str">
        <f aca="false">IF(J119-P119=0,"PAGADA","PENDIENTE")</f>
        <v>PAGADA</v>
      </c>
      <c r="S119" s="18" t="n">
        <v>46062</v>
      </c>
      <c r="T119" s="16"/>
      <c r="U119" s="16"/>
      <c r="V119" s="16"/>
      <c r="W119" s="16"/>
      <c r="X119" s="16"/>
    </row>
    <row r="120" s="8" customFormat="true" ht="13.5" hidden="false" customHeight="false" outlineLevel="0" collapsed="false">
      <c r="A120" s="16" t="s">
        <v>92</v>
      </c>
      <c r="B120" s="16" t="s">
        <v>93</v>
      </c>
      <c r="C120" s="17"/>
      <c r="D120" s="17"/>
      <c r="E120" s="16" t="s">
        <v>24</v>
      </c>
      <c r="F120" s="16" t="n">
        <v>4700</v>
      </c>
      <c r="G120" s="18" t="n">
        <v>46017</v>
      </c>
      <c r="H120" s="18" t="n">
        <f aca="false">+G120+30</f>
        <v>46047</v>
      </c>
      <c r="I120" s="18"/>
      <c r="J120" s="19" t="n">
        <v>355997</v>
      </c>
      <c r="K120" s="19" t="n">
        <f aca="false">+J120</f>
        <v>355997</v>
      </c>
      <c r="L120" s="19" t="n">
        <f aca="false">+J120/1.19</f>
        <v>299157.142857143</v>
      </c>
      <c r="M120" s="19" t="n">
        <f aca="false">+L120*19%</f>
        <v>56839.8571428572</v>
      </c>
      <c r="N120" s="16" t="s">
        <v>25</v>
      </c>
      <c r="O120" s="20" t="n">
        <v>2025</v>
      </c>
      <c r="P120" s="21" t="n">
        <f aca="false">+J120</f>
        <v>355997</v>
      </c>
      <c r="Q120" s="19" t="n">
        <f aca="false">+J120-P120</f>
        <v>0</v>
      </c>
      <c r="R120" s="22" t="str">
        <f aca="false">IF(J120-P120=0,"PAGADA","PENDIENTE")</f>
        <v>PAGADA</v>
      </c>
      <c r="S120" s="18" t="n">
        <v>46062</v>
      </c>
      <c r="T120" s="16"/>
      <c r="U120" s="16"/>
      <c r="V120" s="16"/>
      <c r="W120" s="16"/>
      <c r="X120" s="16"/>
    </row>
    <row r="121" s="8" customFormat="true" ht="13.5" hidden="false" customHeight="false" outlineLevel="0" collapsed="false">
      <c r="A121" s="16" t="s">
        <v>92</v>
      </c>
      <c r="B121" s="16" t="s">
        <v>93</v>
      </c>
      <c r="C121" s="17"/>
      <c r="D121" s="17"/>
      <c r="E121" s="16" t="s">
        <v>24</v>
      </c>
      <c r="F121" s="16" t="n">
        <v>4701</v>
      </c>
      <c r="G121" s="18" t="n">
        <v>46017</v>
      </c>
      <c r="H121" s="18" t="n">
        <f aca="false">+G121+30</f>
        <v>46047</v>
      </c>
      <c r="I121" s="18"/>
      <c r="J121" s="19" t="n">
        <v>359722</v>
      </c>
      <c r="K121" s="19" t="n">
        <f aca="false">+J121</f>
        <v>359722</v>
      </c>
      <c r="L121" s="19" t="n">
        <f aca="false">+J121/1.19</f>
        <v>302287.394957983</v>
      </c>
      <c r="M121" s="19" t="n">
        <f aca="false">+L121*19%</f>
        <v>57434.6050420168</v>
      </c>
      <c r="N121" s="16" t="s">
        <v>25</v>
      </c>
      <c r="O121" s="20" t="n">
        <v>2025</v>
      </c>
      <c r="P121" s="21" t="n">
        <f aca="false">+J121</f>
        <v>359722</v>
      </c>
      <c r="Q121" s="19" t="n">
        <f aca="false">+J121-P121</f>
        <v>0</v>
      </c>
      <c r="R121" s="22" t="str">
        <f aca="false">IF(J121-P121=0,"PAGADA","PENDIENTE")</f>
        <v>PAGADA</v>
      </c>
      <c r="S121" s="18" t="n">
        <v>46062</v>
      </c>
      <c r="T121" s="16"/>
      <c r="U121" s="16"/>
      <c r="V121" s="16"/>
      <c r="W121" s="16"/>
      <c r="X121" s="16"/>
    </row>
    <row r="122" s="8" customFormat="true" ht="13.5" hidden="false" customHeight="false" outlineLevel="0" collapsed="false">
      <c r="A122" s="16" t="s">
        <v>92</v>
      </c>
      <c r="B122" s="16" t="s">
        <v>93</v>
      </c>
      <c r="C122" s="17"/>
      <c r="D122" s="17"/>
      <c r="E122" s="16" t="s">
        <v>24</v>
      </c>
      <c r="F122" s="16" t="n">
        <v>4704</v>
      </c>
      <c r="G122" s="18" t="n">
        <v>46017</v>
      </c>
      <c r="H122" s="18" t="n">
        <f aca="false">+G122+30</f>
        <v>46047</v>
      </c>
      <c r="I122" s="18"/>
      <c r="J122" s="19" t="n">
        <v>119000</v>
      </c>
      <c r="K122" s="19" t="n">
        <f aca="false">+J122</f>
        <v>119000</v>
      </c>
      <c r="L122" s="19" t="n">
        <f aca="false">+J122/1.19</f>
        <v>100000</v>
      </c>
      <c r="M122" s="19" t="n">
        <f aca="false">+L122*19%</f>
        <v>19000</v>
      </c>
      <c r="N122" s="16" t="s">
        <v>25</v>
      </c>
      <c r="O122" s="20" t="n">
        <v>2025</v>
      </c>
      <c r="P122" s="21" t="n">
        <f aca="false">+J122</f>
        <v>119000</v>
      </c>
      <c r="Q122" s="19" t="n">
        <f aca="false">+J122-P122</f>
        <v>0</v>
      </c>
      <c r="R122" s="22" t="str">
        <f aca="false">IF(J122-P122=0,"PAGADA","PENDIENTE")</f>
        <v>PAGADA</v>
      </c>
      <c r="S122" s="18" t="n">
        <v>46062</v>
      </c>
      <c r="T122" s="16"/>
      <c r="U122" s="16"/>
      <c r="V122" s="16"/>
      <c r="W122" s="16"/>
      <c r="X122" s="16"/>
    </row>
    <row r="123" s="8" customFormat="true" ht="13.5" hidden="false" customHeight="false" outlineLevel="0" collapsed="false">
      <c r="A123" s="16" t="s">
        <v>92</v>
      </c>
      <c r="B123" s="16" t="s">
        <v>93</v>
      </c>
      <c r="C123" s="17"/>
      <c r="D123" s="17"/>
      <c r="E123" s="16" t="s">
        <v>24</v>
      </c>
      <c r="F123" s="16" t="n">
        <v>4705</v>
      </c>
      <c r="G123" s="18" t="n">
        <v>46017</v>
      </c>
      <c r="H123" s="18" t="n">
        <f aca="false">+G123+30</f>
        <v>46047</v>
      </c>
      <c r="I123" s="18"/>
      <c r="J123" s="19" t="n">
        <v>595000</v>
      </c>
      <c r="K123" s="19" t="n">
        <f aca="false">+J123</f>
        <v>595000</v>
      </c>
      <c r="L123" s="19" t="n">
        <f aca="false">+J123/1.19</f>
        <v>500000</v>
      </c>
      <c r="M123" s="19" t="n">
        <f aca="false">+L123*19%</f>
        <v>95000</v>
      </c>
      <c r="N123" s="16" t="s">
        <v>25</v>
      </c>
      <c r="O123" s="20" t="n">
        <v>2025</v>
      </c>
      <c r="P123" s="21" t="n">
        <f aca="false">+J123</f>
        <v>595000</v>
      </c>
      <c r="Q123" s="19" t="n">
        <f aca="false">+J123-P123</f>
        <v>0</v>
      </c>
      <c r="R123" s="22" t="str">
        <f aca="false">IF(J123-P123=0,"PAGADA","PENDIENTE")</f>
        <v>PAGADA</v>
      </c>
      <c r="S123" s="18" t="n">
        <v>46062</v>
      </c>
      <c r="T123" s="16"/>
      <c r="U123" s="16"/>
      <c r="V123" s="16"/>
      <c r="W123" s="16"/>
      <c r="X123" s="16"/>
    </row>
    <row r="124" s="8" customFormat="true" ht="13.5" hidden="false" customHeight="false" outlineLevel="0" collapsed="false">
      <c r="A124" s="16" t="s">
        <v>92</v>
      </c>
      <c r="B124" s="16" t="s">
        <v>93</v>
      </c>
      <c r="C124" s="17"/>
      <c r="D124" s="17"/>
      <c r="E124" s="16" t="s">
        <v>24</v>
      </c>
      <c r="F124" s="16" t="n">
        <v>4706</v>
      </c>
      <c r="G124" s="18" t="n">
        <v>46017</v>
      </c>
      <c r="H124" s="18" t="n">
        <f aca="false">+G124+30</f>
        <v>46047</v>
      </c>
      <c r="I124" s="18"/>
      <c r="J124" s="19" t="n">
        <v>532243</v>
      </c>
      <c r="K124" s="19" t="n">
        <f aca="false">+J124</f>
        <v>532243</v>
      </c>
      <c r="L124" s="19" t="n">
        <f aca="false">+J124/1.19</f>
        <v>447263.025210084</v>
      </c>
      <c r="M124" s="19" t="n">
        <f aca="false">+L124*19%</f>
        <v>84979.974789916</v>
      </c>
      <c r="N124" s="16" t="s">
        <v>25</v>
      </c>
      <c r="O124" s="20" t="n">
        <v>2025</v>
      </c>
      <c r="P124" s="21" t="n">
        <f aca="false">+J124</f>
        <v>532243</v>
      </c>
      <c r="Q124" s="19" t="n">
        <f aca="false">+J124-P124</f>
        <v>0</v>
      </c>
      <c r="R124" s="22" t="str">
        <f aca="false">IF(J124-P124=0,"PAGADA","PENDIENTE")</f>
        <v>PAGADA</v>
      </c>
      <c r="S124" s="18" t="n">
        <v>46062</v>
      </c>
      <c r="T124" s="16"/>
      <c r="U124" s="16"/>
      <c r="V124" s="16"/>
      <c r="W124" s="16"/>
      <c r="X124" s="16"/>
    </row>
    <row r="125" s="8" customFormat="true" ht="13.5" hidden="false" customHeight="false" outlineLevel="0" collapsed="false">
      <c r="A125" s="16" t="s">
        <v>92</v>
      </c>
      <c r="B125" s="16" t="s">
        <v>93</v>
      </c>
      <c r="C125" s="17"/>
      <c r="D125" s="17"/>
      <c r="E125" s="16" t="s">
        <v>24</v>
      </c>
      <c r="F125" s="16" t="n">
        <v>4707</v>
      </c>
      <c r="G125" s="18" t="n">
        <v>46017</v>
      </c>
      <c r="H125" s="18" t="n">
        <f aca="false">+G125+30</f>
        <v>46047</v>
      </c>
      <c r="I125" s="18"/>
      <c r="J125" s="19" t="n">
        <v>595000</v>
      </c>
      <c r="K125" s="19" t="n">
        <f aca="false">+J125</f>
        <v>595000</v>
      </c>
      <c r="L125" s="19" t="n">
        <f aca="false">+J125/1.19</f>
        <v>500000</v>
      </c>
      <c r="M125" s="19" t="n">
        <f aca="false">+L125*19%</f>
        <v>95000</v>
      </c>
      <c r="N125" s="16" t="s">
        <v>25</v>
      </c>
      <c r="O125" s="20" t="n">
        <v>2025</v>
      </c>
      <c r="P125" s="21" t="n">
        <f aca="false">+J125</f>
        <v>595000</v>
      </c>
      <c r="Q125" s="19" t="n">
        <f aca="false">+J125-P125</f>
        <v>0</v>
      </c>
      <c r="R125" s="22" t="str">
        <f aca="false">IF(J125-P125=0,"PAGADA","PENDIENTE")</f>
        <v>PAGADA</v>
      </c>
      <c r="S125" s="18" t="n">
        <v>46062</v>
      </c>
      <c r="T125" s="16"/>
      <c r="U125" s="16"/>
      <c r="V125" s="16"/>
      <c r="W125" s="16"/>
      <c r="X125" s="16"/>
    </row>
    <row r="126" s="8" customFormat="true" ht="13.5" hidden="false" customHeight="false" outlineLevel="0" collapsed="false">
      <c r="A126" s="16" t="s">
        <v>92</v>
      </c>
      <c r="B126" s="16" t="s">
        <v>93</v>
      </c>
      <c r="C126" s="17"/>
      <c r="D126" s="17"/>
      <c r="E126" s="16" t="s">
        <v>24</v>
      </c>
      <c r="F126" s="16" t="n">
        <v>4710</v>
      </c>
      <c r="G126" s="18" t="n">
        <v>46017</v>
      </c>
      <c r="H126" s="18" t="n">
        <f aca="false">+G126+30</f>
        <v>46047</v>
      </c>
      <c r="I126" s="18"/>
      <c r="J126" s="19" t="n">
        <v>875916</v>
      </c>
      <c r="K126" s="19" t="n">
        <f aca="false">+J126</f>
        <v>875916</v>
      </c>
      <c r="L126" s="19" t="n">
        <f aca="false">+J126/1.19</f>
        <v>736063.865546219</v>
      </c>
      <c r="M126" s="19" t="n">
        <f aca="false">+L126*19%</f>
        <v>139852.134453782</v>
      </c>
      <c r="N126" s="16" t="s">
        <v>25</v>
      </c>
      <c r="O126" s="20" t="n">
        <v>2025</v>
      </c>
      <c r="P126" s="21" t="n">
        <f aca="false">+J126</f>
        <v>875916</v>
      </c>
      <c r="Q126" s="19" t="n">
        <f aca="false">+J126-P126</f>
        <v>0</v>
      </c>
      <c r="R126" s="22" t="str">
        <f aca="false">IF(J126-P126=0,"PAGADA","PENDIENTE")</f>
        <v>PAGADA</v>
      </c>
      <c r="S126" s="18" t="n">
        <v>46062</v>
      </c>
      <c r="T126" s="16"/>
      <c r="U126" s="16"/>
      <c r="V126" s="16"/>
      <c r="W126" s="16"/>
      <c r="X126" s="16"/>
    </row>
    <row r="127" s="8" customFormat="true" ht="13.5" hidden="false" customHeight="false" outlineLevel="0" collapsed="false">
      <c r="A127" s="16" t="s">
        <v>92</v>
      </c>
      <c r="B127" s="16" t="s">
        <v>93</v>
      </c>
      <c r="C127" s="17"/>
      <c r="D127" s="17"/>
      <c r="E127" s="16" t="s">
        <v>24</v>
      </c>
      <c r="F127" s="16" t="n">
        <v>4712</v>
      </c>
      <c r="G127" s="18" t="n">
        <v>46017</v>
      </c>
      <c r="H127" s="18" t="n">
        <f aca="false">+G127+30</f>
        <v>46047</v>
      </c>
      <c r="I127" s="18"/>
      <c r="J127" s="19" t="n">
        <v>233002</v>
      </c>
      <c r="K127" s="19" t="n">
        <f aca="false">+J127</f>
        <v>233002</v>
      </c>
      <c r="L127" s="19" t="n">
        <f aca="false">+J127/1.19</f>
        <v>195800</v>
      </c>
      <c r="M127" s="19" t="n">
        <f aca="false">+L127*19%</f>
        <v>37202</v>
      </c>
      <c r="N127" s="16" t="s">
        <v>25</v>
      </c>
      <c r="O127" s="20" t="n">
        <v>2025</v>
      </c>
      <c r="P127" s="21" t="n">
        <f aca="false">+J127</f>
        <v>233002</v>
      </c>
      <c r="Q127" s="19" t="n">
        <f aca="false">+J127-P127</f>
        <v>0</v>
      </c>
      <c r="R127" s="22" t="str">
        <f aca="false">IF(J127-P127=0,"PAGADA","PENDIENTE")</f>
        <v>PAGADA</v>
      </c>
      <c r="S127" s="18" t="n">
        <v>46062</v>
      </c>
      <c r="T127" s="16"/>
      <c r="U127" s="16"/>
      <c r="V127" s="16"/>
      <c r="W127" s="16"/>
      <c r="X127" s="16"/>
    </row>
    <row r="128" s="8" customFormat="true" ht="13.5" hidden="false" customHeight="false" outlineLevel="0" collapsed="false">
      <c r="A128" s="16" t="s">
        <v>92</v>
      </c>
      <c r="B128" s="16" t="s">
        <v>93</v>
      </c>
      <c r="C128" s="17"/>
      <c r="D128" s="17"/>
      <c r="E128" s="16" t="s">
        <v>24</v>
      </c>
      <c r="F128" s="16" t="n">
        <v>4713</v>
      </c>
      <c r="G128" s="18" t="n">
        <v>46017</v>
      </c>
      <c r="H128" s="18" t="n">
        <f aca="false">+G128+30</f>
        <v>46047</v>
      </c>
      <c r="I128" s="18"/>
      <c r="J128" s="19" t="n">
        <v>1013600</v>
      </c>
      <c r="K128" s="19" t="n">
        <f aca="false">+J128</f>
        <v>1013600</v>
      </c>
      <c r="L128" s="19" t="n">
        <f aca="false">+J128/1.19</f>
        <v>851764.705882353</v>
      </c>
      <c r="M128" s="19" t="n">
        <f aca="false">+L128*19%</f>
        <v>161835.294117647</v>
      </c>
      <c r="N128" s="16" t="s">
        <v>25</v>
      </c>
      <c r="O128" s="20" t="n">
        <v>2025</v>
      </c>
      <c r="P128" s="21" t="n">
        <f aca="false">+J128</f>
        <v>1013600</v>
      </c>
      <c r="Q128" s="19" t="n">
        <f aca="false">+J128-P128</f>
        <v>0</v>
      </c>
      <c r="R128" s="22" t="str">
        <f aca="false">IF(J128-P128=0,"PAGADA","PENDIENTE")</f>
        <v>PAGADA</v>
      </c>
      <c r="S128" s="18" t="n">
        <v>46062</v>
      </c>
      <c r="T128" s="16"/>
      <c r="U128" s="16"/>
      <c r="V128" s="16"/>
      <c r="W128" s="16"/>
      <c r="X128" s="16"/>
    </row>
    <row r="129" s="8" customFormat="true" ht="13.5" hidden="false" customHeight="false" outlineLevel="0" collapsed="false">
      <c r="A129" s="16" t="s">
        <v>59</v>
      </c>
      <c r="B129" s="16" t="s">
        <v>60</v>
      </c>
      <c r="C129" s="17"/>
      <c r="D129" s="17"/>
      <c r="E129" s="16" t="s">
        <v>24</v>
      </c>
      <c r="F129" s="16" t="n">
        <v>4714</v>
      </c>
      <c r="G129" s="18" t="n">
        <v>46022</v>
      </c>
      <c r="H129" s="18" t="n">
        <f aca="false">+G129+30</f>
        <v>46052</v>
      </c>
      <c r="I129" s="18"/>
      <c r="J129" s="19" t="n">
        <v>595000</v>
      </c>
      <c r="K129" s="19" t="n">
        <f aca="false">+J129</f>
        <v>595000</v>
      </c>
      <c r="L129" s="19" t="n">
        <f aca="false">+J129/1.19</f>
        <v>500000</v>
      </c>
      <c r="M129" s="19" t="n">
        <f aca="false">+L129*19%</f>
        <v>95000</v>
      </c>
      <c r="N129" s="16" t="s">
        <v>25</v>
      </c>
      <c r="O129" s="20" t="n">
        <v>2025</v>
      </c>
      <c r="P129" s="21" t="n">
        <f aca="false">+J129</f>
        <v>595000</v>
      </c>
      <c r="Q129" s="19" t="n">
        <f aca="false">+J129-P129</f>
        <v>0</v>
      </c>
      <c r="R129" s="22" t="str">
        <f aca="false">IF(J129-P129=0,"PAGADA","PENDIENTE")</f>
        <v>PAGADA</v>
      </c>
      <c r="S129" s="18" t="n">
        <v>46057</v>
      </c>
      <c r="T129" s="16"/>
      <c r="U129" s="16"/>
      <c r="V129" s="16"/>
      <c r="W129" s="16"/>
      <c r="X129" s="16"/>
    </row>
    <row r="130" s="8" customFormat="true" ht="13.5" hidden="false" customHeight="false" outlineLevel="0" collapsed="false">
      <c r="A130" s="16" t="s">
        <v>39</v>
      </c>
      <c r="B130" s="16" t="s">
        <v>40</v>
      </c>
      <c r="C130" s="17"/>
      <c r="D130" s="17"/>
      <c r="E130" s="16" t="s">
        <v>24</v>
      </c>
      <c r="F130" s="16" t="n">
        <v>4715</v>
      </c>
      <c r="G130" s="18" t="n">
        <v>46024</v>
      </c>
      <c r="H130" s="18" t="n">
        <f aca="false">+G130+30</f>
        <v>46054</v>
      </c>
      <c r="I130" s="18"/>
      <c r="J130" s="19" t="n">
        <v>3507596</v>
      </c>
      <c r="K130" s="19" t="n">
        <f aca="false">+J130</f>
        <v>3507596</v>
      </c>
      <c r="L130" s="19" t="n">
        <f aca="false">+J130/1.19</f>
        <v>2947559.66386555</v>
      </c>
      <c r="M130" s="19" t="n">
        <f aca="false">+L130*19%</f>
        <v>560036.336134454</v>
      </c>
      <c r="N130" s="16" t="s">
        <v>96</v>
      </c>
      <c r="O130" s="20" t="n">
        <v>2026</v>
      </c>
      <c r="P130" s="21" t="n">
        <f aca="false">+J130</f>
        <v>3507596</v>
      </c>
      <c r="Q130" s="19" t="n">
        <f aca="false">+J130-P130</f>
        <v>0</v>
      </c>
      <c r="R130" s="22" t="str">
        <f aca="false">IF(J130-P130=0,"PAGADA","PENDIENTE")</f>
        <v>PAGADA</v>
      </c>
      <c r="S130" s="18" t="n">
        <v>46054</v>
      </c>
      <c r="T130" s="16"/>
      <c r="U130" s="16"/>
      <c r="V130" s="16"/>
      <c r="W130" s="16"/>
      <c r="X130" s="16"/>
    </row>
    <row r="131" s="8" customFormat="true" ht="13.5" hidden="false" customHeight="false" outlineLevel="0" collapsed="false">
      <c r="A131" s="16" t="s">
        <v>39</v>
      </c>
      <c r="B131" s="16" t="s">
        <v>40</v>
      </c>
      <c r="C131" s="17"/>
      <c r="D131" s="17"/>
      <c r="E131" s="16" t="s">
        <v>24</v>
      </c>
      <c r="F131" s="16" t="n">
        <v>4716</v>
      </c>
      <c r="G131" s="18" t="n">
        <v>46024</v>
      </c>
      <c r="H131" s="18" t="n">
        <f aca="false">+G131+30</f>
        <v>46054</v>
      </c>
      <c r="I131" s="18"/>
      <c r="J131" s="19" t="n">
        <v>5444321</v>
      </c>
      <c r="K131" s="19" t="n">
        <f aca="false">+J131</f>
        <v>5444321</v>
      </c>
      <c r="L131" s="19" t="n">
        <f aca="false">+J131/1.19</f>
        <v>4575059.66386555</v>
      </c>
      <c r="M131" s="19" t="n">
        <f aca="false">+L131*19%</f>
        <v>869261.336134454</v>
      </c>
      <c r="N131" s="16" t="s">
        <v>96</v>
      </c>
      <c r="O131" s="20" t="n">
        <v>2026</v>
      </c>
      <c r="P131" s="21" t="n">
        <f aca="false">+J131</f>
        <v>5444321</v>
      </c>
      <c r="Q131" s="19" t="n">
        <f aca="false">+J131-P131</f>
        <v>0</v>
      </c>
      <c r="R131" s="22" t="str">
        <f aca="false">IF(J131-P131=0,"PAGADA","PENDIENTE")</f>
        <v>PAGADA</v>
      </c>
      <c r="S131" s="18" t="n">
        <v>46054</v>
      </c>
      <c r="T131" s="16"/>
      <c r="U131" s="16"/>
      <c r="V131" s="16"/>
      <c r="W131" s="16"/>
      <c r="X131" s="16"/>
    </row>
    <row r="132" s="8" customFormat="true" ht="13.5" hidden="false" customHeight="false" outlineLevel="0" collapsed="false">
      <c r="A132" s="16" t="s">
        <v>97</v>
      </c>
      <c r="B132" s="16" t="s">
        <v>98</v>
      </c>
      <c r="C132" s="17"/>
      <c r="D132" s="17" t="s">
        <v>61</v>
      </c>
      <c r="E132" s="16" t="s">
        <v>24</v>
      </c>
      <c r="F132" s="16" t="n">
        <v>4718</v>
      </c>
      <c r="G132" s="18" t="n">
        <v>46024</v>
      </c>
      <c r="H132" s="18" t="n">
        <f aca="false">+G132+30</f>
        <v>46054</v>
      </c>
      <c r="I132" s="18"/>
      <c r="J132" s="19" t="n">
        <v>3855600</v>
      </c>
      <c r="K132" s="19" t="n">
        <f aca="false">+J132</f>
        <v>3855600</v>
      </c>
      <c r="L132" s="19" t="n">
        <f aca="false">+J132/1.19</f>
        <v>3240000</v>
      </c>
      <c r="M132" s="19" t="n">
        <f aca="false">+L132*19%</f>
        <v>615600</v>
      </c>
      <c r="N132" s="16" t="s">
        <v>96</v>
      </c>
      <c r="O132" s="20" t="n">
        <v>2026</v>
      </c>
      <c r="P132" s="21" t="n">
        <f aca="false">+J132</f>
        <v>3855600</v>
      </c>
      <c r="Q132" s="19" t="n">
        <f aca="false">+J132-P132</f>
        <v>0</v>
      </c>
      <c r="R132" s="22" t="str">
        <f aca="false">IF(J132-P132=0,"PAGADA","PENDIENTE")</f>
        <v>PAGADA</v>
      </c>
      <c r="S132" s="18" t="n">
        <v>46100</v>
      </c>
      <c r="T132" s="16"/>
      <c r="U132" s="16"/>
      <c r="V132" s="16"/>
      <c r="W132" s="16"/>
      <c r="X132" s="16"/>
    </row>
    <row r="133" s="8" customFormat="true" ht="13.5" hidden="false" customHeight="false" outlineLevel="0" collapsed="false">
      <c r="A133" s="16" t="s">
        <v>92</v>
      </c>
      <c r="B133" s="16" t="s">
        <v>93</v>
      </c>
      <c r="C133" s="17"/>
      <c r="D133" s="17"/>
      <c r="E133" s="16" t="s">
        <v>24</v>
      </c>
      <c r="F133" s="16" t="n">
        <v>4717</v>
      </c>
      <c r="G133" s="18" t="n">
        <v>46024</v>
      </c>
      <c r="H133" s="18" t="n">
        <f aca="false">+G133+30</f>
        <v>46054</v>
      </c>
      <c r="I133" s="18"/>
      <c r="J133" s="19" t="n">
        <v>416500</v>
      </c>
      <c r="K133" s="19" t="n">
        <f aca="false">+J133</f>
        <v>416500</v>
      </c>
      <c r="L133" s="19" t="n">
        <f aca="false">+J133/1.19</f>
        <v>350000</v>
      </c>
      <c r="M133" s="19" t="n">
        <f aca="false">+L133*19%</f>
        <v>66500</v>
      </c>
      <c r="N133" s="16" t="s">
        <v>96</v>
      </c>
      <c r="O133" s="20" t="n">
        <v>2026</v>
      </c>
      <c r="P133" s="21" t="n">
        <f aca="false">+J133</f>
        <v>416500</v>
      </c>
      <c r="Q133" s="19" t="n">
        <f aca="false">+J133-P133</f>
        <v>0</v>
      </c>
      <c r="R133" s="22" t="str">
        <f aca="false">IF(J133-P133=0,"PAGADA","PENDIENTE")</f>
        <v>PAGADA</v>
      </c>
      <c r="S133" s="18" t="n">
        <v>46062</v>
      </c>
      <c r="T133" s="16"/>
      <c r="U133" s="16"/>
      <c r="V133" s="16"/>
      <c r="W133" s="16"/>
      <c r="X133" s="16"/>
    </row>
    <row r="134" s="8" customFormat="true" ht="13.5" hidden="false" customHeight="false" outlineLevel="0" collapsed="false">
      <c r="A134" s="16" t="s">
        <v>43</v>
      </c>
      <c r="B134" s="16" t="s">
        <v>44</v>
      </c>
      <c r="C134" s="17"/>
      <c r="D134" s="17"/>
      <c r="E134" s="16" t="s">
        <v>24</v>
      </c>
      <c r="F134" s="16" t="n">
        <v>4719</v>
      </c>
      <c r="G134" s="18" t="n">
        <v>46027</v>
      </c>
      <c r="H134" s="18" t="n">
        <f aca="false">+G134+30</f>
        <v>46057</v>
      </c>
      <c r="I134" s="18"/>
      <c r="J134" s="19" t="n">
        <v>4060875</v>
      </c>
      <c r="K134" s="19" t="n">
        <f aca="false">+J134</f>
        <v>4060875</v>
      </c>
      <c r="L134" s="19" t="n">
        <f aca="false">+J134/1.19</f>
        <v>3412500</v>
      </c>
      <c r="M134" s="19" t="n">
        <f aca="false">+L134*19%</f>
        <v>648375</v>
      </c>
      <c r="N134" s="16" t="s">
        <v>96</v>
      </c>
      <c r="O134" s="20" t="n">
        <v>2026</v>
      </c>
      <c r="P134" s="21" t="n">
        <f aca="false">+J134</f>
        <v>4060875</v>
      </c>
      <c r="Q134" s="19" t="n">
        <f aca="false">+J134-P134</f>
        <v>0</v>
      </c>
      <c r="R134" s="22" t="str">
        <f aca="false">IF(J134-P134=0,"PAGADA","PENDIENTE")</f>
        <v>PAGADA</v>
      </c>
      <c r="S134" s="18" t="n">
        <v>46085</v>
      </c>
      <c r="T134" s="16"/>
      <c r="U134" s="16"/>
      <c r="V134" s="16"/>
      <c r="W134" s="16"/>
      <c r="X134" s="16"/>
    </row>
    <row r="135" s="8" customFormat="true" ht="13.5" hidden="false" customHeight="false" outlineLevel="0" collapsed="false">
      <c r="A135" s="16" t="s">
        <v>59</v>
      </c>
      <c r="B135" s="16" t="s">
        <v>60</v>
      </c>
      <c r="C135" s="17"/>
      <c r="D135" s="17"/>
      <c r="E135" s="16" t="s">
        <v>24</v>
      </c>
      <c r="F135" s="16" t="n">
        <v>4720</v>
      </c>
      <c r="G135" s="18" t="n">
        <v>46028</v>
      </c>
      <c r="H135" s="18" t="n">
        <f aca="false">+G135+30</f>
        <v>46058</v>
      </c>
      <c r="I135" s="18"/>
      <c r="J135" s="19" t="n">
        <v>1785000</v>
      </c>
      <c r="K135" s="19" t="n">
        <f aca="false">+J135</f>
        <v>1785000</v>
      </c>
      <c r="L135" s="19" t="n">
        <f aca="false">+J135/1.19</f>
        <v>1500000</v>
      </c>
      <c r="M135" s="19" t="n">
        <f aca="false">+L135*19%</f>
        <v>285000</v>
      </c>
      <c r="N135" s="16" t="s">
        <v>96</v>
      </c>
      <c r="O135" s="20" t="n">
        <v>2026</v>
      </c>
      <c r="P135" s="21" t="n">
        <f aca="false">+J135</f>
        <v>1785000</v>
      </c>
      <c r="Q135" s="19" t="n">
        <f aca="false">+J135-P135</f>
        <v>0</v>
      </c>
      <c r="R135" s="22" t="str">
        <f aca="false">IF(J135-P135=0,"PAGADA","PENDIENTE")</f>
        <v>PAGADA</v>
      </c>
      <c r="S135" s="18" t="n">
        <v>46057</v>
      </c>
      <c r="T135" s="16"/>
      <c r="U135" s="16"/>
      <c r="V135" s="16"/>
      <c r="W135" s="16"/>
      <c r="X135" s="16"/>
    </row>
    <row r="136" s="8" customFormat="true" ht="13.5" hidden="false" customHeight="false" outlineLevel="0" collapsed="false">
      <c r="A136" s="16" t="s">
        <v>59</v>
      </c>
      <c r="B136" s="16" t="s">
        <v>60</v>
      </c>
      <c r="C136" s="17"/>
      <c r="D136" s="17"/>
      <c r="E136" s="16" t="s">
        <v>24</v>
      </c>
      <c r="F136" s="16" t="n">
        <v>4721</v>
      </c>
      <c r="G136" s="18" t="n">
        <v>46028</v>
      </c>
      <c r="H136" s="18" t="n">
        <f aca="false">+G136+30</f>
        <v>46058</v>
      </c>
      <c r="I136" s="18"/>
      <c r="J136" s="19" t="n">
        <v>19591730</v>
      </c>
      <c r="K136" s="19" t="n">
        <f aca="false">+J136</f>
        <v>19591730</v>
      </c>
      <c r="L136" s="19" t="n">
        <f aca="false">+J136/1.19</f>
        <v>16463638.6554622</v>
      </c>
      <c r="M136" s="19" t="n">
        <f aca="false">+L136*19%</f>
        <v>3128091.34453782</v>
      </c>
      <c r="N136" s="16" t="s">
        <v>96</v>
      </c>
      <c r="O136" s="20" t="n">
        <v>2026</v>
      </c>
      <c r="P136" s="21" t="n">
        <f aca="false">+J136</f>
        <v>19591730</v>
      </c>
      <c r="Q136" s="19" t="n">
        <f aca="false">+J136-P136</f>
        <v>0</v>
      </c>
      <c r="R136" s="22" t="str">
        <f aca="false">IF(J136-P136=0,"PAGADA","PENDIENTE")</f>
        <v>PAGADA</v>
      </c>
      <c r="S136" s="18" t="n">
        <v>46057</v>
      </c>
      <c r="T136" s="16"/>
      <c r="U136" s="16"/>
      <c r="V136" s="16"/>
      <c r="W136" s="16"/>
      <c r="X136" s="16"/>
    </row>
    <row r="137" s="8" customFormat="true" ht="13.5" hidden="false" customHeight="false" outlineLevel="0" collapsed="false">
      <c r="A137" s="16" t="s">
        <v>78</v>
      </c>
      <c r="B137" s="16" t="s">
        <v>79</v>
      </c>
      <c r="C137" s="17"/>
      <c r="D137" s="17"/>
      <c r="E137" s="16" t="s">
        <v>24</v>
      </c>
      <c r="F137" s="16" t="n">
        <v>4722</v>
      </c>
      <c r="G137" s="18" t="n">
        <v>46029</v>
      </c>
      <c r="H137" s="18" t="n">
        <f aca="false">+G137+30</f>
        <v>46059</v>
      </c>
      <c r="I137" s="18"/>
      <c r="J137" s="19" t="n">
        <v>4412422</v>
      </c>
      <c r="K137" s="19" t="n">
        <f aca="false">+J137</f>
        <v>4412422</v>
      </c>
      <c r="L137" s="19" t="n">
        <f aca="false">+J137/1.19</f>
        <v>3707917.64705882</v>
      </c>
      <c r="M137" s="19" t="n">
        <f aca="false">+L137*19%</f>
        <v>704504.352941177</v>
      </c>
      <c r="N137" s="16" t="s">
        <v>96</v>
      </c>
      <c r="O137" s="20" t="n">
        <v>2026</v>
      </c>
      <c r="P137" s="21" t="n">
        <f aca="false">+J137</f>
        <v>4412422</v>
      </c>
      <c r="Q137" s="19" t="n">
        <f aca="false">+J137-P137</f>
        <v>0</v>
      </c>
      <c r="R137" s="22" t="str">
        <f aca="false">IF(J137-P137=0,"PAGADA","PENDIENTE")</f>
        <v>PAGADA</v>
      </c>
      <c r="S137" s="18" t="n">
        <v>46059</v>
      </c>
      <c r="T137" s="16"/>
      <c r="U137" s="16"/>
      <c r="V137" s="16"/>
      <c r="W137" s="16"/>
      <c r="X137" s="16"/>
    </row>
    <row r="138" s="8" customFormat="true" ht="13.5" hidden="false" customHeight="false" outlineLevel="0" collapsed="false">
      <c r="A138" s="16" t="s">
        <v>99</v>
      </c>
      <c r="B138" s="16" t="s">
        <v>100</v>
      </c>
      <c r="C138" s="17"/>
      <c r="D138" s="17"/>
      <c r="E138" s="16" t="s">
        <v>24</v>
      </c>
      <c r="F138" s="16" t="n">
        <v>4723</v>
      </c>
      <c r="G138" s="18" t="n">
        <v>46029</v>
      </c>
      <c r="H138" s="18" t="n">
        <f aca="false">+G138+30</f>
        <v>46059</v>
      </c>
      <c r="I138" s="18"/>
      <c r="J138" s="19" t="n">
        <v>4855200</v>
      </c>
      <c r="K138" s="19" t="n">
        <f aca="false">+J138</f>
        <v>4855200</v>
      </c>
      <c r="L138" s="19" t="n">
        <f aca="false">+J138/1.19</f>
        <v>4080000</v>
      </c>
      <c r="M138" s="19" t="n">
        <f aca="false">+L138*19%</f>
        <v>775200</v>
      </c>
      <c r="N138" s="16" t="s">
        <v>96</v>
      </c>
      <c r="O138" s="20" t="n">
        <v>2026</v>
      </c>
      <c r="P138" s="21" t="n">
        <f aca="false">+J138</f>
        <v>4855200</v>
      </c>
      <c r="Q138" s="19" t="n">
        <f aca="false">+J138-P138</f>
        <v>0</v>
      </c>
      <c r="R138" s="22" t="str">
        <f aca="false">IF(J138-P138=0,"PAGADA","PENDIENTE")</f>
        <v>PAGADA</v>
      </c>
      <c r="S138" s="16" t="s">
        <v>101</v>
      </c>
      <c r="T138" s="16"/>
      <c r="U138" s="16"/>
      <c r="V138" s="16"/>
      <c r="W138" s="16"/>
      <c r="X138" s="16"/>
    </row>
    <row r="139" s="8" customFormat="true" ht="13.5" hidden="false" customHeight="false" outlineLevel="0" collapsed="false">
      <c r="A139" s="16" t="s">
        <v>66</v>
      </c>
      <c r="B139" s="16" t="s">
        <v>67</v>
      </c>
      <c r="C139" s="17"/>
      <c r="D139" s="17"/>
      <c r="E139" s="16" t="s">
        <v>24</v>
      </c>
      <c r="F139" s="16" t="n">
        <v>4724</v>
      </c>
      <c r="G139" s="18" t="n">
        <v>46030</v>
      </c>
      <c r="H139" s="18" t="n">
        <f aca="false">+G139+30</f>
        <v>46060</v>
      </c>
      <c r="I139" s="18"/>
      <c r="J139" s="19" t="n">
        <v>595000</v>
      </c>
      <c r="K139" s="19" t="n">
        <f aca="false">+J139</f>
        <v>595000</v>
      </c>
      <c r="L139" s="19" t="n">
        <f aca="false">+J139/1.19</f>
        <v>500000</v>
      </c>
      <c r="M139" s="19" t="n">
        <f aca="false">+L139*19%</f>
        <v>95000</v>
      </c>
      <c r="N139" s="16" t="s">
        <v>96</v>
      </c>
      <c r="O139" s="20" t="n">
        <v>2026</v>
      </c>
      <c r="P139" s="21" t="n">
        <f aca="false">+J139</f>
        <v>595000</v>
      </c>
      <c r="Q139" s="19" t="n">
        <f aca="false">+J139-P139</f>
        <v>0</v>
      </c>
      <c r="R139" s="22" t="str">
        <f aca="false">IF(J139-P139=0,"PAGADA","PENDIENTE")</f>
        <v>PAGADA</v>
      </c>
      <c r="S139" s="18" t="n">
        <v>46062</v>
      </c>
      <c r="T139" s="16"/>
      <c r="U139" s="16"/>
      <c r="V139" s="16"/>
      <c r="W139" s="16"/>
      <c r="X139" s="16"/>
    </row>
    <row r="140" s="8" customFormat="true" ht="13.5" hidden="false" customHeight="false" outlineLevel="0" collapsed="false">
      <c r="A140" s="16" t="s">
        <v>30</v>
      </c>
      <c r="B140" s="16" t="s">
        <v>31</v>
      </c>
      <c r="C140" s="17"/>
      <c r="D140" s="17"/>
      <c r="E140" s="16" t="s">
        <v>24</v>
      </c>
      <c r="F140" s="16" t="n">
        <v>4725</v>
      </c>
      <c r="G140" s="18" t="n">
        <v>46031</v>
      </c>
      <c r="H140" s="18" t="n">
        <f aca="false">+G140+30</f>
        <v>46061</v>
      </c>
      <c r="I140" s="18"/>
      <c r="J140" s="19" t="n">
        <v>5950752</v>
      </c>
      <c r="K140" s="19" t="n">
        <f aca="false">+J140</f>
        <v>5950752</v>
      </c>
      <c r="L140" s="19" t="n">
        <f aca="false">+J140/1.19</f>
        <v>5000631.93277311</v>
      </c>
      <c r="M140" s="19" t="n">
        <f aca="false">+L140*19%</f>
        <v>950120.067226891</v>
      </c>
      <c r="N140" s="16" t="s">
        <v>96</v>
      </c>
      <c r="O140" s="20" t="n">
        <v>2026</v>
      </c>
      <c r="P140" s="21" t="n">
        <f aca="false">+J140</f>
        <v>5950752</v>
      </c>
      <c r="Q140" s="19" t="n">
        <f aca="false">+J140-P140</f>
        <v>0</v>
      </c>
      <c r="R140" s="22" t="str">
        <f aca="false">IF(J140-P140=0,"PAGADA","PENDIENTE")</f>
        <v>PAGADA</v>
      </c>
      <c r="S140" s="18" t="n">
        <v>46059</v>
      </c>
      <c r="T140" s="16"/>
      <c r="U140" s="16"/>
      <c r="V140" s="16"/>
      <c r="W140" s="16"/>
      <c r="X140" s="16"/>
    </row>
    <row r="141" s="8" customFormat="true" ht="13.5" hidden="false" customHeight="false" outlineLevel="0" collapsed="false">
      <c r="A141" s="16" t="s">
        <v>30</v>
      </c>
      <c r="B141" s="16" t="s">
        <v>31</v>
      </c>
      <c r="C141" s="17"/>
      <c r="D141" s="17"/>
      <c r="E141" s="16" t="s">
        <v>24</v>
      </c>
      <c r="F141" s="16" t="n">
        <v>4726</v>
      </c>
      <c r="G141" s="18" t="n">
        <v>46031</v>
      </c>
      <c r="H141" s="18" t="n">
        <f aca="false">+G141+30</f>
        <v>46061</v>
      </c>
      <c r="I141" s="18"/>
      <c r="J141" s="19" t="n">
        <v>7455350</v>
      </c>
      <c r="K141" s="19" t="n">
        <f aca="false">+J141</f>
        <v>7455350</v>
      </c>
      <c r="L141" s="19" t="n">
        <f aca="false">+J141/1.19</f>
        <v>6265000</v>
      </c>
      <c r="M141" s="19" t="n">
        <f aca="false">+L141*19%</f>
        <v>1190350</v>
      </c>
      <c r="N141" s="16" t="s">
        <v>96</v>
      </c>
      <c r="O141" s="20" t="n">
        <v>2026</v>
      </c>
      <c r="P141" s="21" t="n">
        <f aca="false">+J141</f>
        <v>7455350</v>
      </c>
      <c r="Q141" s="19" t="n">
        <f aca="false">+J141-P141</f>
        <v>0</v>
      </c>
      <c r="R141" s="22" t="str">
        <f aca="false">IF(J141-P141=0,"PAGADA","PENDIENTE")</f>
        <v>PAGADA</v>
      </c>
      <c r="S141" s="18" t="n">
        <v>46059</v>
      </c>
      <c r="T141" s="16"/>
      <c r="U141" s="16"/>
      <c r="V141" s="16"/>
      <c r="W141" s="16"/>
      <c r="X141" s="16"/>
    </row>
    <row r="142" s="8" customFormat="true" ht="13.5" hidden="false" customHeight="false" outlineLevel="0" collapsed="false">
      <c r="A142" s="16" t="s">
        <v>76</v>
      </c>
      <c r="B142" s="16" t="s">
        <v>77</v>
      </c>
      <c r="C142" s="17"/>
      <c r="D142" s="17"/>
      <c r="E142" s="16" t="s">
        <v>24</v>
      </c>
      <c r="F142" s="16" t="n">
        <v>4727</v>
      </c>
      <c r="G142" s="18" t="n">
        <v>46031</v>
      </c>
      <c r="H142" s="18" t="n">
        <f aca="false">+G142+30</f>
        <v>46061</v>
      </c>
      <c r="I142" s="18"/>
      <c r="J142" s="19" t="n">
        <v>31255850</v>
      </c>
      <c r="K142" s="19" t="n">
        <f aca="false">+J142</f>
        <v>31255850</v>
      </c>
      <c r="L142" s="19" t="n">
        <f aca="false">+J142/1.19</f>
        <v>26265420.1680672</v>
      </c>
      <c r="M142" s="19" t="n">
        <f aca="false">+L142*19%</f>
        <v>4990429.83193277</v>
      </c>
      <c r="N142" s="16" t="s">
        <v>96</v>
      </c>
      <c r="O142" s="20" t="n">
        <v>2026</v>
      </c>
      <c r="P142" s="21" t="n">
        <f aca="false">+J142</f>
        <v>31255850</v>
      </c>
      <c r="Q142" s="19" t="n">
        <f aca="false">+J142-P142</f>
        <v>0</v>
      </c>
      <c r="R142" s="22" t="str">
        <f aca="false">IF(J142-P142=0,"PAGADA","PENDIENTE")</f>
        <v>PAGADA</v>
      </c>
      <c r="S142" s="18" t="n">
        <v>46059</v>
      </c>
      <c r="T142" s="16"/>
      <c r="U142" s="16"/>
      <c r="V142" s="16"/>
      <c r="W142" s="16"/>
      <c r="X142" s="16"/>
    </row>
    <row r="143" s="8" customFormat="true" ht="13.5" hidden="false" customHeight="false" outlineLevel="0" collapsed="false">
      <c r="A143" s="16" t="s">
        <v>72</v>
      </c>
      <c r="B143" s="16" t="s">
        <v>73</v>
      </c>
      <c r="C143" s="29"/>
      <c r="D143" s="37"/>
      <c r="E143" s="16" t="s">
        <v>24</v>
      </c>
      <c r="F143" s="16" t="n">
        <v>4728</v>
      </c>
      <c r="G143" s="18" t="n">
        <v>46031</v>
      </c>
      <c r="H143" s="18" t="n">
        <f aca="false">+G143+30</f>
        <v>46061</v>
      </c>
      <c r="I143" s="18"/>
      <c r="J143" s="19" t="n">
        <v>47925636</v>
      </c>
      <c r="K143" s="19" t="n">
        <f aca="false">+J143</f>
        <v>47925636</v>
      </c>
      <c r="L143" s="19" t="n">
        <f aca="false">+J143/1.19</f>
        <v>40273643.697479</v>
      </c>
      <c r="M143" s="19" t="n">
        <f aca="false">+L143*19%</f>
        <v>7651992.30252101</v>
      </c>
      <c r="N143" s="16" t="s">
        <v>96</v>
      </c>
      <c r="O143" s="20" t="n">
        <v>2026</v>
      </c>
      <c r="P143" s="21" t="n">
        <f aca="false">+J143</f>
        <v>47925636</v>
      </c>
      <c r="Q143" s="19" t="n">
        <f aca="false">+J143-P143</f>
        <v>0</v>
      </c>
      <c r="R143" s="22" t="str">
        <f aca="false">IF(J143-P143=0,"PAGADA","PENDIENTE")</f>
        <v>PAGADA</v>
      </c>
      <c r="S143" s="18" t="n">
        <v>46059</v>
      </c>
      <c r="T143" s="16"/>
      <c r="U143" s="16"/>
      <c r="V143" s="16"/>
      <c r="W143" s="16"/>
      <c r="X143" s="16"/>
    </row>
    <row r="144" s="8" customFormat="true" ht="13.5" hidden="false" customHeight="false" outlineLevel="0" collapsed="false">
      <c r="A144" s="16" t="s">
        <v>74</v>
      </c>
      <c r="B144" s="16" t="s">
        <v>75</v>
      </c>
      <c r="C144" s="17"/>
      <c r="D144" s="17"/>
      <c r="E144" s="16" t="s">
        <v>24</v>
      </c>
      <c r="F144" s="16" t="n">
        <v>4729</v>
      </c>
      <c r="G144" s="18" t="n">
        <v>46031</v>
      </c>
      <c r="H144" s="18" t="n">
        <f aca="false">+G144+30</f>
        <v>46061</v>
      </c>
      <c r="I144" s="18"/>
      <c r="J144" s="19" t="n">
        <v>43758190</v>
      </c>
      <c r="K144" s="19" t="n">
        <f aca="false">+J144</f>
        <v>43758190</v>
      </c>
      <c r="L144" s="19" t="n">
        <f aca="false">+J144/1.19</f>
        <v>36771588.2352941</v>
      </c>
      <c r="M144" s="19" t="n">
        <f aca="false">+L144*19%</f>
        <v>6986601.76470588</v>
      </c>
      <c r="N144" s="16" t="s">
        <v>96</v>
      </c>
      <c r="O144" s="20" t="n">
        <v>2026</v>
      </c>
      <c r="P144" s="21" t="n">
        <f aca="false">+J144</f>
        <v>43758190</v>
      </c>
      <c r="Q144" s="19" t="n">
        <f aca="false">+J144-P144</f>
        <v>0</v>
      </c>
      <c r="R144" s="22" t="str">
        <f aca="false">IF(J144-P144=0,"PAGADA","PENDIENTE")</f>
        <v>PAGADA</v>
      </c>
      <c r="S144" s="18" t="n">
        <v>46059</v>
      </c>
      <c r="T144" s="16"/>
      <c r="U144" s="16"/>
      <c r="V144" s="16"/>
      <c r="W144" s="16"/>
      <c r="X144" s="16"/>
    </row>
    <row r="145" s="8" customFormat="true" ht="13.5" hidden="false" customHeight="false" outlineLevel="0" collapsed="false">
      <c r="A145" s="16" t="s">
        <v>102</v>
      </c>
      <c r="B145" s="16" t="s">
        <v>103</v>
      </c>
      <c r="C145" s="17"/>
      <c r="D145" s="17"/>
      <c r="E145" s="16" t="s">
        <v>24</v>
      </c>
      <c r="F145" s="16" t="n">
        <v>4730</v>
      </c>
      <c r="G145" s="18" t="n">
        <v>46036</v>
      </c>
      <c r="H145" s="18" t="n">
        <f aca="false">+G145+30</f>
        <v>46066</v>
      </c>
      <c r="I145" s="18"/>
      <c r="J145" s="19" t="n">
        <v>6545000</v>
      </c>
      <c r="K145" s="19" t="n">
        <f aca="false">+J145</f>
        <v>6545000</v>
      </c>
      <c r="L145" s="19" t="n">
        <f aca="false">+J145/1.19</f>
        <v>5500000</v>
      </c>
      <c r="M145" s="19" t="n">
        <f aca="false">+L145*19%</f>
        <v>1045000</v>
      </c>
      <c r="N145" s="16" t="s">
        <v>96</v>
      </c>
      <c r="O145" s="20" t="n">
        <v>2026</v>
      </c>
      <c r="P145" s="21" t="n">
        <f aca="false">+J145</f>
        <v>6545000</v>
      </c>
      <c r="Q145" s="19" t="n">
        <f aca="false">+J145-P145</f>
        <v>0</v>
      </c>
      <c r="R145" s="22" t="str">
        <f aca="false">IF(J145-P145=0,"PAGADA","PENDIENTE")</f>
        <v>PAGADA</v>
      </c>
      <c r="S145" s="16" t="s">
        <v>104</v>
      </c>
      <c r="T145" s="16"/>
      <c r="U145" s="16"/>
      <c r="V145" s="16"/>
      <c r="W145" s="16"/>
      <c r="X145" s="16"/>
    </row>
    <row r="146" s="8" customFormat="true" ht="13.5" hidden="false" customHeight="false" outlineLevel="0" collapsed="false">
      <c r="A146" s="16" t="n">
        <v>0</v>
      </c>
      <c r="B146" s="16" t="s">
        <v>63</v>
      </c>
      <c r="C146" s="17"/>
      <c r="D146" s="17"/>
      <c r="E146" s="16" t="s">
        <v>24</v>
      </c>
      <c r="F146" s="16" t="n">
        <v>4731</v>
      </c>
      <c r="G146" s="18" t="n">
        <v>46036</v>
      </c>
      <c r="H146" s="18" t="n">
        <f aca="false">+G146+30</f>
        <v>46066</v>
      </c>
      <c r="I146" s="18"/>
      <c r="J146" s="19" t="n">
        <v>0</v>
      </c>
      <c r="K146" s="19" t="n">
        <f aca="false">+J146</f>
        <v>0</v>
      </c>
      <c r="L146" s="19" t="n">
        <f aca="false">+J146/1.19</f>
        <v>0</v>
      </c>
      <c r="M146" s="19" t="n">
        <f aca="false">+L146*19%</f>
        <v>0</v>
      </c>
      <c r="N146" s="16" t="s">
        <v>96</v>
      </c>
      <c r="O146" s="20" t="n">
        <v>2026</v>
      </c>
      <c r="P146" s="21"/>
      <c r="Q146" s="19" t="n">
        <f aca="false">+J146-P146</f>
        <v>0</v>
      </c>
      <c r="R146" s="22" t="str">
        <f aca="false">IF(J146-P146=0,"PAGADA","PENDIENTE")</f>
        <v>PAGADA</v>
      </c>
      <c r="S146" s="16"/>
      <c r="T146" s="16"/>
      <c r="U146" s="16"/>
      <c r="V146" s="16"/>
      <c r="W146" s="16"/>
      <c r="X146" s="16"/>
    </row>
    <row r="147" s="8" customFormat="true" ht="13.5" hidden="false" customHeight="false" outlineLevel="0" collapsed="false">
      <c r="A147" s="16" t="s">
        <v>102</v>
      </c>
      <c r="B147" s="16" t="s">
        <v>103</v>
      </c>
      <c r="C147" s="17"/>
      <c r="D147" s="17"/>
      <c r="E147" s="16" t="s">
        <v>24</v>
      </c>
      <c r="F147" s="16" t="n">
        <v>4732</v>
      </c>
      <c r="G147" s="18" t="n">
        <v>46036</v>
      </c>
      <c r="H147" s="18" t="n">
        <f aca="false">+G147+30</f>
        <v>46066</v>
      </c>
      <c r="I147" s="18"/>
      <c r="J147" s="19" t="n">
        <v>6545000</v>
      </c>
      <c r="K147" s="19" t="n">
        <f aca="false">+J147</f>
        <v>6545000</v>
      </c>
      <c r="L147" s="19" t="n">
        <f aca="false">+J147/1.19</f>
        <v>5500000</v>
      </c>
      <c r="M147" s="19" t="n">
        <f aca="false">+L147*19%</f>
        <v>1045000</v>
      </c>
      <c r="N147" s="16" t="s">
        <v>96</v>
      </c>
      <c r="O147" s="20" t="n">
        <v>2026</v>
      </c>
      <c r="P147" s="21" t="n">
        <f aca="false">+J147</f>
        <v>6545000</v>
      </c>
      <c r="Q147" s="19" t="n">
        <f aca="false">+J147-P147</f>
        <v>0</v>
      </c>
      <c r="R147" s="22" t="str">
        <f aca="false">IF(J147-P147=0,"PAGADA","PENDIENTE")</f>
        <v>PAGADA</v>
      </c>
      <c r="S147" s="18" t="n">
        <v>46087</v>
      </c>
      <c r="T147" s="16"/>
      <c r="U147" s="16"/>
      <c r="V147" s="16"/>
      <c r="W147" s="16"/>
      <c r="X147" s="16"/>
    </row>
    <row r="148" s="8" customFormat="true" ht="13.5" hidden="false" customHeight="false" outlineLevel="0" collapsed="false">
      <c r="A148" s="24" t="s">
        <v>102</v>
      </c>
      <c r="B148" s="24" t="s">
        <v>103</v>
      </c>
      <c r="C148" s="25"/>
      <c r="D148" s="25"/>
      <c r="E148" s="24" t="s">
        <v>35</v>
      </c>
      <c r="F148" s="24" t="n">
        <v>471</v>
      </c>
      <c r="G148" s="26" t="n">
        <v>46036</v>
      </c>
      <c r="H148" s="26" t="n">
        <f aca="false">+G148+30</f>
        <v>46066</v>
      </c>
      <c r="I148" s="26"/>
      <c r="J148" s="21" t="n">
        <v>-6545000</v>
      </c>
      <c r="K148" s="21" t="n">
        <f aca="false">+J148</f>
        <v>-6545000</v>
      </c>
      <c r="L148" s="21" t="n">
        <f aca="false">+J148/1.19</f>
        <v>-5500000</v>
      </c>
      <c r="M148" s="21" t="n">
        <f aca="false">+L148*19%</f>
        <v>-1045000</v>
      </c>
      <c r="N148" s="24" t="s">
        <v>96</v>
      </c>
      <c r="O148" s="27" t="n">
        <v>2026</v>
      </c>
      <c r="P148" s="21" t="n">
        <f aca="false">+J148</f>
        <v>-6545000</v>
      </c>
      <c r="Q148" s="21" t="n">
        <f aca="false">+J148-P148</f>
        <v>0</v>
      </c>
      <c r="R148" s="28" t="str">
        <f aca="false">IF(J148-P148=0,"PAGADA","PENDIENTE")</f>
        <v>PAGADA</v>
      </c>
      <c r="S148" s="24" t="s">
        <v>36</v>
      </c>
      <c r="T148" s="24"/>
      <c r="U148" s="24"/>
      <c r="V148" s="24"/>
      <c r="W148" s="24"/>
      <c r="X148" s="24"/>
    </row>
    <row r="149" s="7" customFormat="true" ht="13.5" hidden="false" customHeight="false" outlineLevel="0" collapsed="false">
      <c r="A149" s="16" t="s">
        <v>105</v>
      </c>
      <c r="B149" s="16" t="s">
        <v>79</v>
      </c>
      <c r="C149" s="17"/>
      <c r="D149" s="17"/>
      <c r="E149" s="16" t="s">
        <v>24</v>
      </c>
      <c r="F149" s="16" t="n">
        <v>4733</v>
      </c>
      <c r="G149" s="18" t="n">
        <v>46036</v>
      </c>
      <c r="H149" s="18" t="n">
        <f aca="false">+G149+30</f>
        <v>46066</v>
      </c>
      <c r="I149" s="18"/>
      <c r="J149" s="19" t="n">
        <v>104548696</v>
      </c>
      <c r="K149" s="19" t="n">
        <f aca="false">+J149</f>
        <v>104548696</v>
      </c>
      <c r="L149" s="19" t="n">
        <f aca="false">+J149/1.19</f>
        <v>87856047.0588235</v>
      </c>
      <c r="M149" s="19" t="n">
        <f aca="false">+L149*19%</f>
        <v>16692648.9411765</v>
      </c>
      <c r="N149" s="16" t="s">
        <v>96</v>
      </c>
      <c r="O149" s="20" t="n">
        <v>2026</v>
      </c>
      <c r="P149" s="21" t="n">
        <f aca="false">+J149</f>
        <v>104548696</v>
      </c>
      <c r="Q149" s="19" t="n">
        <f aca="false">+J149-P149</f>
        <v>0</v>
      </c>
      <c r="R149" s="22" t="str">
        <f aca="false">IF(J149-P149=0,"PAGADA","PENDIENTE")</f>
        <v>PAGADA</v>
      </c>
      <c r="S149" s="18" t="n">
        <v>46066</v>
      </c>
      <c r="T149" s="16"/>
      <c r="U149" s="16"/>
      <c r="V149" s="16"/>
      <c r="W149" s="16"/>
      <c r="X149" s="16"/>
    </row>
    <row r="150" s="8" customFormat="true" ht="13.5" hidden="false" customHeight="false" outlineLevel="0" collapsed="false">
      <c r="A150" s="16" t="s">
        <v>99</v>
      </c>
      <c r="B150" s="16" t="s">
        <v>100</v>
      </c>
      <c r="C150" s="17"/>
      <c r="D150" s="17"/>
      <c r="E150" s="16" t="s">
        <v>24</v>
      </c>
      <c r="F150" s="16" t="n">
        <v>4735</v>
      </c>
      <c r="G150" s="18" t="n">
        <v>46038</v>
      </c>
      <c r="H150" s="18" t="n">
        <f aca="false">+G150+30</f>
        <v>46068</v>
      </c>
      <c r="I150" s="18"/>
      <c r="J150" s="19" t="n">
        <v>2699954</v>
      </c>
      <c r="K150" s="19" t="n">
        <f aca="false">+J150</f>
        <v>2699954</v>
      </c>
      <c r="L150" s="19" t="n">
        <f aca="false">+J150/1.19</f>
        <v>2268868.90756303</v>
      </c>
      <c r="M150" s="19" t="n">
        <f aca="false">+L150*19%</f>
        <v>431085.092436975</v>
      </c>
      <c r="N150" s="16" t="s">
        <v>96</v>
      </c>
      <c r="O150" s="20" t="n">
        <v>2026</v>
      </c>
      <c r="P150" s="21" t="n">
        <f aca="false">+J150</f>
        <v>2699954</v>
      </c>
      <c r="Q150" s="19" t="n">
        <f aca="false">+J150-P150</f>
        <v>0</v>
      </c>
      <c r="R150" s="22" t="str">
        <f aca="false">IF(J150-P150=0,"PAGADA","PENDIENTE")</f>
        <v>PAGADA</v>
      </c>
      <c r="S150" s="18" t="n">
        <v>46051</v>
      </c>
      <c r="T150" s="16"/>
      <c r="U150" s="16"/>
      <c r="V150" s="16"/>
      <c r="W150" s="16"/>
      <c r="X150" s="16"/>
    </row>
    <row r="151" s="8" customFormat="true" ht="13.5" hidden="false" customHeight="false" outlineLevel="0" collapsed="false">
      <c r="A151" s="16" t="s">
        <v>106</v>
      </c>
      <c r="B151" s="16" t="s">
        <v>107</v>
      </c>
      <c r="C151" s="17"/>
      <c r="D151" s="17"/>
      <c r="E151" s="16" t="s">
        <v>24</v>
      </c>
      <c r="F151" s="16" t="n">
        <v>4736</v>
      </c>
      <c r="G151" s="18" t="n">
        <v>46038</v>
      </c>
      <c r="H151" s="18" t="n">
        <f aca="false">+G151+30</f>
        <v>46068</v>
      </c>
      <c r="I151" s="18"/>
      <c r="J151" s="19" t="n">
        <v>7689234</v>
      </c>
      <c r="K151" s="19" t="n">
        <f aca="false">+J151</f>
        <v>7689234</v>
      </c>
      <c r="L151" s="19" t="n">
        <f aca="false">+J151/1.19</f>
        <v>6461541.17647059</v>
      </c>
      <c r="M151" s="19" t="n">
        <f aca="false">+L151*19%</f>
        <v>1227692.82352941</v>
      </c>
      <c r="N151" s="16" t="s">
        <v>96</v>
      </c>
      <c r="O151" s="20" t="n">
        <v>2026</v>
      </c>
      <c r="P151" s="21" t="n">
        <f aca="false">+J151</f>
        <v>7689234</v>
      </c>
      <c r="Q151" s="19" t="n">
        <f aca="false">+J151-P151</f>
        <v>0</v>
      </c>
      <c r="R151" s="22" t="str">
        <f aca="false">IF(J151-P151=0,"PAGADA","PENDIENTE")</f>
        <v>PAGADA</v>
      </c>
      <c r="S151" s="16" t="s">
        <v>108</v>
      </c>
      <c r="T151" s="16"/>
      <c r="U151" s="16"/>
      <c r="V151" s="16"/>
      <c r="W151" s="16"/>
      <c r="X151" s="16"/>
    </row>
    <row r="152" s="8" customFormat="true" ht="13.5" hidden="false" customHeight="false" outlineLevel="0" collapsed="false">
      <c r="A152" s="24" t="s">
        <v>99</v>
      </c>
      <c r="B152" s="24" t="s">
        <v>100</v>
      </c>
      <c r="C152" s="25"/>
      <c r="D152" s="25"/>
      <c r="E152" s="24" t="s">
        <v>35</v>
      </c>
      <c r="F152" s="24" t="n">
        <v>472</v>
      </c>
      <c r="G152" s="26" t="n">
        <v>46038</v>
      </c>
      <c r="H152" s="26" t="n">
        <f aca="false">+G152+30</f>
        <v>46068</v>
      </c>
      <c r="I152" s="26"/>
      <c r="J152" s="21" t="n">
        <v>-4855200</v>
      </c>
      <c r="K152" s="21" t="n">
        <f aca="false">+J152</f>
        <v>-4855200</v>
      </c>
      <c r="L152" s="21" t="n">
        <f aca="false">+J152/1.19</f>
        <v>-4080000</v>
      </c>
      <c r="M152" s="21" t="n">
        <f aca="false">+L152*19%</f>
        <v>-775200</v>
      </c>
      <c r="N152" s="24" t="s">
        <v>96</v>
      </c>
      <c r="O152" s="27" t="n">
        <v>2026</v>
      </c>
      <c r="P152" s="21" t="n">
        <f aca="false">+J152</f>
        <v>-4855200</v>
      </c>
      <c r="Q152" s="21" t="n">
        <f aca="false">+J152-P152</f>
        <v>0</v>
      </c>
      <c r="R152" s="28" t="str">
        <f aca="false">IF(J152-P152=0,"PAGADA","PENDIENTE")</f>
        <v>PAGADA</v>
      </c>
      <c r="S152" s="24" t="s">
        <v>36</v>
      </c>
      <c r="T152" s="24"/>
      <c r="U152" s="24"/>
      <c r="V152" s="24"/>
      <c r="W152" s="24"/>
      <c r="X152" s="24"/>
    </row>
    <row r="153" s="7" customFormat="true" ht="13.5" hidden="false" customHeight="false" outlineLevel="0" collapsed="false">
      <c r="A153" s="16" t="s">
        <v>66</v>
      </c>
      <c r="B153" s="16" t="s">
        <v>67</v>
      </c>
      <c r="C153" s="17"/>
      <c r="D153" s="17"/>
      <c r="E153" s="16" t="s">
        <v>24</v>
      </c>
      <c r="F153" s="16" t="n">
        <v>4734</v>
      </c>
      <c r="G153" s="18" t="n">
        <v>46038</v>
      </c>
      <c r="H153" s="18" t="n">
        <f aca="false">+G153+30</f>
        <v>46068</v>
      </c>
      <c r="I153" s="18"/>
      <c r="J153" s="19" t="n">
        <v>4500000</v>
      </c>
      <c r="K153" s="19" t="n">
        <f aca="false">+J153</f>
        <v>4500000</v>
      </c>
      <c r="L153" s="19" t="n">
        <f aca="false">+J153/1.19</f>
        <v>3781512.60504202</v>
      </c>
      <c r="M153" s="19" t="n">
        <f aca="false">+L153*19%</f>
        <v>718487.394957983</v>
      </c>
      <c r="N153" s="16" t="s">
        <v>96</v>
      </c>
      <c r="O153" s="20" t="n">
        <v>2026</v>
      </c>
      <c r="P153" s="21" t="n">
        <f aca="false">+J153</f>
        <v>4500000</v>
      </c>
      <c r="Q153" s="19" t="n">
        <f aca="false">+J153-P153</f>
        <v>0</v>
      </c>
      <c r="R153" s="22" t="str">
        <f aca="false">IF(J153-P153=0,"PAGADA","PENDIENTE")</f>
        <v>PAGADA</v>
      </c>
      <c r="S153" s="18" t="n">
        <v>46066</v>
      </c>
      <c r="T153" s="16"/>
      <c r="U153" s="16"/>
      <c r="V153" s="16"/>
      <c r="W153" s="16"/>
      <c r="X153" s="16"/>
    </row>
    <row r="154" s="8" customFormat="true" ht="13.5" hidden="false" customHeight="false" outlineLevel="0" collapsed="false">
      <c r="A154" s="16" t="s">
        <v>109</v>
      </c>
      <c r="B154" s="16" t="s">
        <v>50</v>
      </c>
      <c r="C154" s="17"/>
      <c r="D154" s="17"/>
      <c r="E154" s="16" t="s">
        <v>24</v>
      </c>
      <c r="F154" s="16" t="n">
        <v>4739</v>
      </c>
      <c r="G154" s="18" t="n">
        <v>46041</v>
      </c>
      <c r="H154" s="18" t="n">
        <f aca="false">+G154+30</f>
        <v>46071</v>
      </c>
      <c r="I154" s="18"/>
      <c r="J154" s="19" t="n">
        <v>35567439</v>
      </c>
      <c r="K154" s="19" t="n">
        <f aca="false">+J154</f>
        <v>35567439</v>
      </c>
      <c r="L154" s="19" t="n">
        <f aca="false">+J154/1.19</f>
        <v>29888604.2016807</v>
      </c>
      <c r="M154" s="19" t="n">
        <f aca="false">+L154*19%</f>
        <v>5678834.79831933</v>
      </c>
      <c r="N154" s="16" t="s">
        <v>96</v>
      </c>
      <c r="O154" s="20" t="n">
        <v>2026</v>
      </c>
      <c r="P154" s="21" t="n">
        <f aca="false">+J154</f>
        <v>35567439</v>
      </c>
      <c r="Q154" s="19" t="n">
        <f aca="false">+J154-P154</f>
        <v>0</v>
      </c>
      <c r="R154" s="22" t="str">
        <f aca="false">IF(J154-P154=0,"PAGADA","PENDIENTE")</f>
        <v>PAGADA</v>
      </c>
      <c r="S154" s="18" t="n">
        <v>46062</v>
      </c>
      <c r="T154" s="16"/>
      <c r="U154" s="16"/>
      <c r="V154" s="16"/>
      <c r="W154" s="16"/>
      <c r="X154" s="16"/>
    </row>
    <row r="155" s="8" customFormat="true" ht="13.5" hidden="false" customHeight="false" outlineLevel="0" collapsed="false">
      <c r="A155" s="16" t="s">
        <v>66</v>
      </c>
      <c r="B155" s="16" t="s">
        <v>67</v>
      </c>
      <c r="C155" s="17"/>
      <c r="D155" s="17"/>
      <c r="E155" s="16" t="s">
        <v>24</v>
      </c>
      <c r="F155" s="16" t="n">
        <v>4737</v>
      </c>
      <c r="G155" s="18" t="n">
        <v>46041</v>
      </c>
      <c r="H155" s="18" t="n">
        <f aca="false">+G155+30</f>
        <v>46071</v>
      </c>
      <c r="I155" s="18"/>
      <c r="J155" s="19" t="n">
        <v>3626674</v>
      </c>
      <c r="K155" s="19" t="n">
        <f aca="false">+J155</f>
        <v>3626674</v>
      </c>
      <c r="L155" s="19" t="n">
        <f aca="false">+J155/1.19</f>
        <v>3047625.21008403</v>
      </c>
      <c r="M155" s="19" t="n">
        <f aca="false">+L155*19%</f>
        <v>579048.789915967</v>
      </c>
      <c r="N155" s="16" t="s">
        <v>96</v>
      </c>
      <c r="O155" s="20" t="n">
        <v>2026</v>
      </c>
      <c r="P155" s="21" t="n">
        <f aca="false">+J155</f>
        <v>3626674</v>
      </c>
      <c r="Q155" s="19" t="n">
        <f aca="false">+J155-P155</f>
        <v>0</v>
      </c>
      <c r="R155" s="22" t="str">
        <f aca="false">IF(J155-P155=0,"PAGADA","PENDIENTE")</f>
        <v>PAGADA</v>
      </c>
      <c r="S155" s="18" t="n">
        <v>46069</v>
      </c>
      <c r="T155" s="16"/>
      <c r="U155" s="16"/>
      <c r="V155" s="16"/>
      <c r="W155" s="16"/>
      <c r="X155" s="16"/>
    </row>
    <row r="156" s="8" customFormat="true" ht="13.5" hidden="false" customHeight="false" outlineLevel="0" collapsed="false">
      <c r="A156" s="16" t="s">
        <v>64</v>
      </c>
      <c r="B156" s="16" t="s">
        <v>65</v>
      </c>
      <c r="C156" s="17"/>
      <c r="D156" s="17"/>
      <c r="E156" s="16" t="s">
        <v>24</v>
      </c>
      <c r="F156" s="16" t="n">
        <v>4738</v>
      </c>
      <c r="G156" s="18" t="n">
        <v>46041</v>
      </c>
      <c r="H156" s="18" t="n">
        <f aca="false">+G156+30</f>
        <v>46071</v>
      </c>
      <c r="I156" s="18"/>
      <c r="J156" s="19" t="n">
        <v>61550965</v>
      </c>
      <c r="K156" s="19" t="n">
        <f aca="false">+J156</f>
        <v>61550965</v>
      </c>
      <c r="L156" s="19" t="n">
        <f aca="false">+J156/1.19</f>
        <v>51723500</v>
      </c>
      <c r="M156" s="19" t="n">
        <f aca="false">+L156*19%</f>
        <v>9827465</v>
      </c>
      <c r="N156" s="16" t="s">
        <v>96</v>
      </c>
      <c r="O156" s="20" t="n">
        <v>2026</v>
      </c>
      <c r="P156" s="21" t="n">
        <f aca="false">+J156</f>
        <v>61550965</v>
      </c>
      <c r="Q156" s="19" t="n">
        <f aca="false">+J156-P156</f>
        <v>0</v>
      </c>
      <c r="R156" s="22" t="str">
        <f aca="false">IF(J156-P156=0,"PAGADA","PENDIENTE")</f>
        <v>PAGADA</v>
      </c>
      <c r="S156" s="18" t="n">
        <v>46070</v>
      </c>
      <c r="T156" s="16"/>
      <c r="U156" s="16"/>
      <c r="V156" s="16"/>
      <c r="W156" s="16"/>
      <c r="X156" s="16"/>
    </row>
    <row r="157" s="8" customFormat="true" ht="13.5" hidden="false" customHeight="false" outlineLevel="0" collapsed="false">
      <c r="A157" s="16" t="s">
        <v>88</v>
      </c>
      <c r="B157" s="16" t="s">
        <v>89</v>
      </c>
      <c r="C157" s="17"/>
      <c r="D157" s="17"/>
      <c r="E157" s="16" t="s">
        <v>24</v>
      </c>
      <c r="F157" s="16" t="n">
        <v>4740</v>
      </c>
      <c r="G157" s="18" t="n">
        <v>46045</v>
      </c>
      <c r="H157" s="18" t="n">
        <f aca="false">+G157+30</f>
        <v>46075</v>
      </c>
      <c r="I157" s="18"/>
      <c r="J157" s="19" t="n">
        <v>6345655</v>
      </c>
      <c r="K157" s="19" t="n">
        <f aca="false">+J157</f>
        <v>6345655</v>
      </c>
      <c r="L157" s="19" t="n">
        <f aca="false">+J157/1.19</f>
        <v>5332483.19327731</v>
      </c>
      <c r="M157" s="19" t="n">
        <f aca="false">+L157*19%</f>
        <v>1013171.80672269</v>
      </c>
      <c r="N157" s="16" t="s">
        <v>96</v>
      </c>
      <c r="O157" s="20" t="n">
        <v>2026</v>
      </c>
      <c r="P157" s="21" t="n">
        <f aca="false">+J157</f>
        <v>6345655</v>
      </c>
      <c r="Q157" s="19" t="n">
        <f aca="false">+J157-P157</f>
        <v>0</v>
      </c>
      <c r="R157" s="22" t="str">
        <f aca="false">IF(J157-P157=0,"PAGADA","PENDIENTE")</f>
        <v>PAGADA</v>
      </c>
      <c r="S157" s="18" t="n">
        <v>46076</v>
      </c>
      <c r="T157" s="16"/>
      <c r="U157" s="16"/>
      <c r="V157" s="16"/>
      <c r="W157" s="16"/>
      <c r="X157" s="16"/>
    </row>
    <row r="158" s="8" customFormat="true" ht="13.5" hidden="false" customHeight="false" outlineLevel="0" collapsed="false">
      <c r="A158" s="16" t="s">
        <v>53</v>
      </c>
      <c r="B158" s="16" t="s">
        <v>54</v>
      </c>
      <c r="C158" s="17"/>
      <c r="D158" s="17"/>
      <c r="E158" s="16" t="s">
        <v>24</v>
      </c>
      <c r="F158" s="16" t="n">
        <v>4741</v>
      </c>
      <c r="G158" s="18" t="n">
        <v>46049</v>
      </c>
      <c r="H158" s="18" t="n">
        <f aca="false">+G158+30</f>
        <v>46079</v>
      </c>
      <c r="I158" s="18"/>
      <c r="J158" s="19" t="n">
        <v>715880</v>
      </c>
      <c r="K158" s="19" t="n">
        <f aca="false">+J158</f>
        <v>715880</v>
      </c>
      <c r="L158" s="19" t="n">
        <f aca="false">+J158/1.19</f>
        <v>601579.831932773</v>
      </c>
      <c r="M158" s="19" t="n">
        <f aca="false">+L158*19%</f>
        <v>114300.168067227</v>
      </c>
      <c r="N158" s="16" t="s">
        <v>96</v>
      </c>
      <c r="O158" s="20" t="n">
        <v>2026</v>
      </c>
      <c r="P158" s="21" t="n">
        <f aca="false">+J158</f>
        <v>715880</v>
      </c>
      <c r="Q158" s="19" t="n">
        <f aca="false">+J158-P158</f>
        <v>0</v>
      </c>
      <c r="R158" s="22" t="str">
        <f aca="false">IF(J158-P158=0,"PAGADA","PENDIENTE")</f>
        <v>PAGADA</v>
      </c>
      <c r="S158" s="18" t="n">
        <v>46059</v>
      </c>
      <c r="T158" s="16"/>
      <c r="U158" s="16"/>
      <c r="V158" s="16"/>
      <c r="W158" s="16"/>
      <c r="X158" s="16"/>
    </row>
    <row r="159" s="8" customFormat="true" ht="13.5" hidden="false" customHeight="false" outlineLevel="0" collapsed="false">
      <c r="A159" s="16" t="s">
        <v>53</v>
      </c>
      <c r="B159" s="16" t="s">
        <v>54</v>
      </c>
      <c r="C159" s="17"/>
      <c r="D159" s="17"/>
      <c r="E159" s="16" t="s">
        <v>24</v>
      </c>
      <c r="F159" s="16" t="n">
        <v>4742</v>
      </c>
      <c r="G159" s="18" t="n">
        <v>46049</v>
      </c>
      <c r="H159" s="18" t="n">
        <f aca="false">+G159+30</f>
        <v>46079</v>
      </c>
      <c r="I159" s="18"/>
      <c r="J159" s="19" t="n">
        <v>718969</v>
      </c>
      <c r="K159" s="19" t="n">
        <f aca="false">+J159</f>
        <v>718969</v>
      </c>
      <c r="L159" s="19" t="n">
        <f aca="false">+J159/1.19</f>
        <v>604175.630252101</v>
      </c>
      <c r="M159" s="19" t="n">
        <f aca="false">+L159*19%</f>
        <v>114793.369747899</v>
      </c>
      <c r="N159" s="16" t="s">
        <v>96</v>
      </c>
      <c r="O159" s="20" t="n">
        <v>2026</v>
      </c>
      <c r="P159" s="21" t="n">
        <f aca="false">+J159</f>
        <v>718969</v>
      </c>
      <c r="Q159" s="19" t="n">
        <f aca="false">+J159-P159</f>
        <v>0</v>
      </c>
      <c r="R159" s="22" t="str">
        <f aca="false">IF(J159-P159=0,"PAGADA","PENDIENTE")</f>
        <v>PAGADA</v>
      </c>
      <c r="S159" s="18" t="n">
        <v>46059</v>
      </c>
      <c r="T159" s="16"/>
      <c r="U159" s="16"/>
      <c r="V159" s="16"/>
      <c r="W159" s="16"/>
      <c r="X159" s="16"/>
    </row>
    <row r="160" s="8" customFormat="true" ht="13.5" hidden="false" customHeight="false" outlineLevel="0" collapsed="false">
      <c r="A160" s="16" t="n">
        <v>0</v>
      </c>
      <c r="B160" s="16" t="s">
        <v>63</v>
      </c>
      <c r="C160" s="17"/>
      <c r="D160" s="17"/>
      <c r="E160" s="16" t="s">
        <v>24</v>
      </c>
      <c r="F160" s="16" t="n">
        <v>4743</v>
      </c>
      <c r="G160" s="18" t="n">
        <v>46049</v>
      </c>
      <c r="H160" s="18" t="n">
        <f aca="false">+G160+30</f>
        <v>46079</v>
      </c>
      <c r="I160" s="18"/>
      <c r="J160" s="19" t="n">
        <v>0</v>
      </c>
      <c r="K160" s="19" t="n">
        <f aca="false">+J160</f>
        <v>0</v>
      </c>
      <c r="L160" s="19" t="n">
        <f aca="false">+J160/1.19</f>
        <v>0</v>
      </c>
      <c r="M160" s="19" t="n">
        <f aca="false">+L160*19%</f>
        <v>0</v>
      </c>
      <c r="N160" s="16" t="s">
        <v>96</v>
      </c>
      <c r="O160" s="20" t="n">
        <v>2026</v>
      </c>
      <c r="P160" s="21"/>
      <c r="Q160" s="19" t="n">
        <f aca="false">+J160-P160</f>
        <v>0</v>
      </c>
      <c r="R160" s="22" t="str">
        <f aca="false">IF(J160-P160=0,"PAGADA","PENDIENTE")</f>
        <v>PAGADA</v>
      </c>
      <c r="S160" s="16"/>
      <c r="T160" s="16"/>
      <c r="U160" s="16"/>
      <c r="V160" s="16"/>
      <c r="W160" s="16"/>
      <c r="X160" s="16"/>
    </row>
    <row r="161" s="8" customFormat="true" ht="13.5" hidden="false" customHeight="false" outlineLevel="0" collapsed="false">
      <c r="A161" s="16" t="s">
        <v>55</v>
      </c>
      <c r="B161" s="16" t="s">
        <v>56</v>
      </c>
      <c r="C161" s="17"/>
      <c r="D161" s="17"/>
      <c r="E161" s="16" t="s">
        <v>24</v>
      </c>
      <c r="F161" s="16" t="n">
        <v>4744</v>
      </c>
      <c r="G161" s="18" t="n">
        <v>46049</v>
      </c>
      <c r="H161" s="18" t="n">
        <f aca="false">+G161+30</f>
        <v>46079</v>
      </c>
      <c r="I161" s="18"/>
      <c r="J161" s="19" t="n">
        <v>361860</v>
      </c>
      <c r="K161" s="19" t="n">
        <f aca="false">+J161</f>
        <v>361860</v>
      </c>
      <c r="L161" s="19" t="n">
        <f aca="false">+J161/1.19</f>
        <v>304084.033613445</v>
      </c>
      <c r="M161" s="19" t="n">
        <f aca="false">+L161*19%</f>
        <v>57775.9663865546</v>
      </c>
      <c r="N161" s="16" t="s">
        <v>96</v>
      </c>
      <c r="O161" s="20" t="n">
        <v>2026</v>
      </c>
      <c r="P161" s="21" t="n">
        <f aca="false">+J161</f>
        <v>361860</v>
      </c>
      <c r="Q161" s="19" t="n">
        <f aca="false">+J161-P161</f>
        <v>0</v>
      </c>
      <c r="R161" s="22" t="str">
        <f aca="false">IF(J161-P161=0,"PAGADA","PENDIENTE")</f>
        <v>PAGADA</v>
      </c>
      <c r="S161" s="18" t="n">
        <v>46080</v>
      </c>
      <c r="T161" s="16"/>
      <c r="U161" s="16"/>
      <c r="V161" s="16"/>
      <c r="W161" s="16"/>
      <c r="X161" s="16"/>
    </row>
    <row r="162" s="8" customFormat="true" ht="13.5" hidden="false" customHeight="false" outlineLevel="0" collapsed="false">
      <c r="A162" s="16" t="s">
        <v>57</v>
      </c>
      <c r="B162" s="16" t="s">
        <v>58</v>
      </c>
      <c r="C162" s="17"/>
      <c r="D162" s="17"/>
      <c r="E162" s="16" t="s">
        <v>24</v>
      </c>
      <c r="F162" s="16" t="n">
        <v>4745</v>
      </c>
      <c r="G162" s="18" t="n">
        <v>46050</v>
      </c>
      <c r="H162" s="18" t="n">
        <f aca="false">+G162+30</f>
        <v>46080</v>
      </c>
      <c r="I162" s="18"/>
      <c r="J162" s="19" t="n">
        <v>5675853</v>
      </c>
      <c r="K162" s="19" t="n">
        <f aca="false">+J162</f>
        <v>5675853</v>
      </c>
      <c r="L162" s="19" t="n">
        <f aca="false">+J162/1.19</f>
        <v>4769624.3697479</v>
      </c>
      <c r="M162" s="19" t="n">
        <f aca="false">+L162*19%</f>
        <v>906228.630252101</v>
      </c>
      <c r="N162" s="16" t="s">
        <v>96</v>
      </c>
      <c r="O162" s="20" t="n">
        <v>2026</v>
      </c>
      <c r="P162" s="21" t="n">
        <f aca="false">+J162</f>
        <v>5675853</v>
      </c>
      <c r="Q162" s="19" t="n">
        <f aca="false">+J162-P162</f>
        <v>0</v>
      </c>
      <c r="R162" s="22" t="str">
        <f aca="false">IF(J162-P162=0,"PAGADA","PENDIENTE")</f>
        <v>PAGADA</v>
      </c>
      <c r="S162" s="16" t="s">
        <v>110</v>
      </c>
      <c r="T162" s="16"/>
      <c r="U162" s="16"/>
      <c r="V162" s="16"/>
      <c r="W162" s="16"/>
      <c r="X162" s="16"/>
    </row>
    <row r="163" s="8" customFormat="true" ht="13.5" hidden="false" customHeight="false" outlineLevel="0" collapsed="false">
      <c r="A163" s="16" t="s">
        <v>57</v>
      </c>
      <c r="B163" s="16" t="s">
        <v>58</v>
      </c>
      <c r="C163" s="17"/>
      <c r="D163" s="17"/>
      <c r="E163" s="16" t="s">
        <v>24</v>
      </c>
      <c r="F163" s="16" t="n">
        <v>4746</v>
      </c>
      <c r="G163" s="18" t="n">
        <v>46050</v>
      </c>
      <c r="H163" s="18" t="n">
        <f aca="false">+G163+30</f>
        <v>46080</v>
      </c>
      <c r="I163" s="18"/>
      <c r="J163" s="19" t="n">
        <v>5675853</v>
      </c>
      <c r="K163" s="19" t="n">
        <f aca="false">+J163</f>
        <v>5675853</v>
      </c>
      <c r="L163" s="19" t="n">
        <f aca="false">+J163/1.19</f>
        <v>4769624.3697479</v>
      </c>
      <c r="M163" s="19" t="n">
        <f aca="false">+L163*19%</f>
        <v>906228.630252101</v>
      </c>
      <c r="N163" s="16" t="s">
        <v>96</v>
      </c>
      <c r="O163" s="20" t="n">
        <v>2026</v>
      </c>
      <c r="P163" s="21" t="n">
        <f aca="false">+J163</f>
        <v>5675853</v>
      </c>
      <c r="Q163" s="19" t="n">
        <f aca="false">+J163-P163</f>
        <v>0</v>
      </c>
      <c r="R163" s="22" t="str">
        <f aca="false">IF(J163-P163=0,"PAGADA","PENDIENTE")</f>
        <v>PAGADA</v>
      </c>
      <c r="S163" s="18" t="n">
        <v>46094</v>
      </c>
      <c r="T163" s="16"/>
      <c r="U163" s="16"/>
      <c r="V163" s="16"/>
      <c r="W163" s="16"/>
      <c r="X163" s="16"/>
    </row>
    <row r="164" s="8" customFormat="true" ht="13.5" hidden="false" customHeight="false" outlineLevel="0" collapsed="false">
      <c r="A164" s="16" t="s">
        <v>57</v>
      </c>
      <c r="B164" s="16" t="s">
        <v>58</v>
      </c>
      <c r="C164" s="17"/>
      <c r="D164" s="17"/>
      <c r="E164" s="16" t="s">
        <v>24</v>
      </c>
      <c r="F164" s="16" t="n">
        <v>4747</v>
      </c>
      <c r="G164" s="18" t="n">
        <v>46050</v>
      </c>
      <c r="H164" s="18" t="n">
        <f aca="false">+G164+30</f>
        <v>46080</v>
      </c>
      <c r="I164" s="18"/>
      <c r="J164" s="19" t="n">
        <v>403264</v>
      </c>
      <c r="K164" s="19" t="n">
        <f aca="false">+J164</f>
        <v>403264</v>
      </c>
      <c r="L164" s="19" t="n">
        <f aca="false">+J164/1.19</f>
        <v>338877.31092437</v>
      </c>
      <c r="M164" s="19" t="n">
        <f aca="false">+L164*19%</f>
        <v>64386.6890756303</v>
      </c>
      <c r="N164" s="16" t="s">
        <v>96</v>
      </c>
      <c r="O164" s="20" t="n">
        <v>2026</v>
      </c>
      <c r="P164" s="21" t="n">
        <f aca="false">+J164</f>
        <v>403264</v>
      </c>
      <c r="Q164" s="19" t="n">
        <f aca="false">+J164-P164</f>
        <v>0</v>
      </c>
      <c r="R164" s="22" t="str">
        <f aca="false">IF(J164-P164=0,"PAGADA","PENDIENTE")</f>
        <v>PAGADA</v>
      </c>
      <c r="S164" s="18" t="n">
        <v>46094</v>
      </c>
      <c r="T164" s="16"/>
      <c r="U164" s="16"/>
      <c r="V164" s="16"/>
      <c r="W164" s="16"/>
      <c r="X164" s="16"/>
    </row>
    <row r="165" s="7" customFormat="true" ht="13.5" hidden="false" customHeight="false" outlineLevel="0" collapsed="false">
      <c r="A165" s="24" t="s">
        <v>57</v>
      </c>
      <c r="B165" s="24" t="s">
        <v>58</v>
      </c>
      <c r="C165" s="25"/>
      <c r="D165" s="25"/>
      <c r="E165" s="24" t="s">
        <v>35</v>
      </c>
      <c r="F165" s="24" t="n">
        <v>473</v>
      </c>
      <c r="G165" s="26" t="n">
        <v>46050</v>
      </c>
      <c r="H165" s="26" t="n">
        <f aca="false">+G165+30</f>
        <v>46080</v>
      </c>
      <c r="I165" s="26"/>
      <c r="J165" s="21" t="n">
        <v>-5675853</v>
      </c>
      <c r="K165" s="21" t="n">
        <f aca="false">+J165</f>
        <v>-5675853</v>
      </c>
      <c r="L165" s="21" t="n">
        <f aca="false">+J165/1.19</f>
        <v>-4769624.3697479</v>
      </c>
      <c r="M165" s="21" t="n">
        <f aca="false">+L165*19%</f>
        <v>-906228.630252101</v>
      </c>
      <c r="N165" s="24" t="s">
        <v>96</v>
      </c>
      <c r="O165" s="27" t="n">
        <v>2026</v>
      </c>
      <c r="P165" s="21" t="n">
        <f aca="false">+J165</f>
        <v>-5675853</v>
      </c>
      <c r="Q165" s="21" t="n">
        <f aca="false">+J165-P165</f>
        <v>0</v>
      </c>
      <c r="R165" s="28" t="str">
        <f aca="false">IF(J165-P165=0,"PAGADA","PENDIENTE")</f>
        <v>PAGADA</v>
      </c>
      <c r="S165" s="24" t="s">
        <v>36</v>
      </c>
      <c r="T165" s="24"/>
      <c r="U165" s="24"/>
      <c r="V165" s="24"/>
      <c r="W165" s="24"/>
      <c r="X165" s="24"/>
    </row>
    <row r="166" s="8" customFormat="true" ht="13.5" hidden="false" customHeight="false" outlineLevel="0" collapsed="false">
      <c r="A166" s="16" t="s">
        <v>97</v>
      </c>
      <c r="B166" s="16" t="s">
        <v>98</v>
      </c>
      <c r="C166" s="17"/>
      <c r="D166" s="17"/>
      <c r="E166" s="16" t="s">
        <v>24</v>
      </c>
      <c r="F166" s="16" t="n">
        <v>4748</v>
      </c>
      <c r="G166" s="18" t="n">
        <v>46050</v>
      </c>
      <c r="H166" s="18" t="n">
        <f aca="false">+G166+30</f>
        <v>46080</v>
      </c>
      <c r="I166" s="18"/>
      <c r="J166" s="19" t="n">
        <v>2570095</v>
      </c>
      <c r="K166" s="19" t="n">
        <f aca="false">+J166</f>
        <v>2570095</v>
      </c>
      <c r="L166" s="19" t="n">
        <f aca="false">+J166/1.19</f>
        <v>2159743.69747899</v>
      </c>
      <c r="M166" s="19" t="n">
        <f aca="false">+L166*19%</f>
        <v>410351.302521008</v>
      </c>
      <c r="N166" s="16" t="s">
        <v>96</v>
      </c>
      <c r="O166" s="20" t="n">
        <v>2026</v>
      </c>
      <c r="P166" s="21" t="n">
        <f aca="false">+J166</f>
        <v>2570095</v>
      </c>
      <c r="Q166" s="19" t="n">
        <f aca="false">+J166-P166</f>
        <v>0</v>
      </c>
      <c r="R166" s="22" t="str">
        <f aca="false">IF(J166-P166=0,"PAGADA","PENDIENTE")</f>
        <v>PAGADA</v>
      </c>
      <c r="S166" s="18" t="n">
        <v>46100</v>
      </c>
      <c r="T166" s="16"/>
      <c r="U166" s="16"/>
      <c r="V166" s="16"/>
      <c r="W166" s="16"/>
      <c r="X166" s="16"/>
    </row>
    <row r="167" s="8" customFormat="true" ht="13.5" hidden="false" customHeight="false" outlineLevel="0" collapsed="false">
      <c r="A167" s="16" t="s">
        <v>64</v>
      </c>
      <c r="B167" s="16" t="s">
        <v>65</v>
      </c>
      <c r="C167" s="17"/>
      <c r="D167" s="17"/>
      <c r="E167" s="16" t="s">
        <v>24</v>
      </c>
      <c r="F167" s="16" t="n">
        <v>4749</v>
      </c>
      <c r="G167" s="18" t="n">
        <v>46050</v>
      </c>
      <c r="H167" s="18" t="n">
        <f aca="false">+G167+30</f>
        <v>46080</v>
      </c>
      <c r="I167" s="18"/>
      <c r="J167" s="19" t="n">
        <v>6414100</v>
      </c>
      <c r="K167" s="19" t="n">
        <f aca="false">+J167</f>
        <v>6414100</v>
      </c>
      <c r="L167" s="19" t="n">
        <f aca="false">+J167/1.19</f>
        <v>5390000</v>
      </c>
      <c r="M167" s="19" t="n">
        <f aca="false">+L167*19%</f>
        <v>1024100</v>
      </c>
      <c r="N167" s="16" t="s">
        <v>96</v>
      </c>
      <c r="O167" s="20" t="n">
        <v>2026</v>
      </c>
      <c r="P167" s="21" t="n">
        <f aca="false">+J167</f>
        <v>6414100</v>
      </c>
      <c r="Q167" s="19" t="n">
        <f aca="false">+J167-P167</f>
        <v>0</v>
      </c>
      <c r="R167" s="22" t="str">
        <f aca="false">IF(J167-P167=0,"PAGADA","PENDIENTE")</f>
        <v>PAGADA</v>
      </c>
      <c r="S167" s="18" t="n">
        <v>46080</v>
      </c>
      <c r="T167" s="16"/>
      <c r="U167" s="16"/>
      <c r="V167" s="16"/>
      <c r="W167" s="16"/>
      <c r="X167" s="16"/>
    </row>
    <row r="168" s="8" customFormat="true" ht="13.5" hidden="false" customHeight="false" outlineLevel="0" collapsed="false">
      <c r="A168" s="16" t="s">
        <v>81</v>
      </c>
      <c r="B168" s="16" t="s">
        <v>82</v>
      </c>
      <c r="C168" s="17"/>
      <c r="D168" s="17"/>
      <c r="E168" s="16" t="s">
        <v>24</v>
      </c>
      <c r="F168" s="16" t="n">
        <v>4756</v>
      </c>
      <c r="G168" s="18" t="n">
        <v>46051</v>
      </c>
      <c r="H168" s="18" t="n">
        <f aca="false">+G168+30</f>
        <v>46081</v>
      </c>
      <c r="I168" s="18"/>
      <c r="J168" s="19" t="n">
        <v>5352025</v>
      </c>
      <c r="K168" s="19" t="n">
        <f aca="false">+J168</f>
        <v>5352025</v>
      </c>
      <c r="L168" s="19" t="n">
        <f aca="false">+J168/1.19</f>
        <v>4497500</v>
      </c>
      <c r="M168" s="19" t="n">
        <f aca="false">+L168*19%</f>
        <v>854525</v>
      </c>
      <c r="N168" s="16" t="s">
        <v>96</v>
      </c>
      <c r="O168" s="20" t="n">
        <v>2026</v>
      </c>
      <c r="P168" s="21" t="n">
        <f aca="false">+J168</f>
        <v>5352025</v>
      </c>
      <c r="Q168" s="19" t="n">
        <f aca="false">+J168-P168</f>
        <v>0</v>
      </c>
      <c r="R168" s="22" t="str">
        <f aca="false">IF(J168-P168=0,"PAGADA","PENDIENTE")</f>
        <v>PAGADA</v>
      </c>
      <c r="S168" s="18" t="n">
        <v>46055</v>
      </c>
      <c r="T168" s="16"/>
      <c r="U168" s="16"/>
      <c r="V168" s="16"/>
      <c r="W168" s="16"/>
      <c r="X168" s="16"/>
    </row>
    <row r="169" s="8" customFormat="true" ht="13.5" hidden="false" customHeight="false" outlineLevel="0" collapsed="false">
      <c r="A169" s="16" t="s">
        <v>83</v>
      </c>
      <c r="B169" s="16" t="s">
        <v>84</v>
      </c>
      <c r="C169" s="17"/>
      <c r="D169" s="17"/>
      <c r="E169" s="16" t="s">
        <v>24</v>
      </c>
      <c r="F169" s="16" t="n">
        <v>4751</v>
      </c>
      <c r="G169" s="18" t="n">
        <v>46051</v>
      </c>
      <c r="H169" s="18" t="n">
        <f aca="false">+G169+30</f>
        <v>46081</v>
      </c>
      <c r="I169" s="18"/>
      <c r="J169" s="19" t="n">
        <v>12307575</v>
      </c>
      <c r="K169" s="19" t="n">
        <f aca="false">+J169</f>
        <v>12307575</v>
      </c>
      <c r="L169" s="19" t="n">
        <f aca="false">+J169/1.19</f>
        <v>10342500</v>
      </c>
      <c r="M169" s="19" t="n">
        <f aca="false">+L169*19%</f>
        <v>1965075</v>
      </c>
      <c r="N169" s="16" t="s">
        <v>96</v>
      </c>
      <c r="O169" s="20" t="n">
        <v>2026</v>
      </c>
      <c r="P169" s="21" t="n">
        <f aca="false">+J169</f>
        <v>12307575</v>
      </c>
      <c r="Q169" s="19" t="n">
        <f aca="false">+J169-P169</f>
        <v>0</v>
      </c>
      <c r="R169" s="22" t="str">
        <f aca="false">IF(J169-P169=0,"PAGADA","PENDIENTE")</f>
        <v>PAGADA</v>
      </c>
      <c r="S169" s="16" t="s">
        <v>111</v>
      </c>
      <c r="T169" s="16"/>
      <c r="U169" s="16"/>
      <c r="V169" s="16"/>
      <c r="W169" s="16"/>
      <c r="X169" s="16"/>
    </row>
    <row r="170" s="8" customFormat="true" ht="13.5" hidden="false" customHeight="false" outlineLevel="0" collapsed="false">
      <c r="A170" s="16" t="s">
        <v>83</v>
      </c>
      <c r="B170" s="16" t="s">
        <v>84</v>
      </c>
      <c r="C170" s="17"/>
      <c r="D170" s="17"/>
      <c r="E170" s="16" t="s">
        <v>24</v>
      </c>
      <c r="F170" s="16" t="n">
        <v>4752</v>
      </c>
      <c r="G170" s="18" t="n">
        <v>46051</v>
      </c>
      <c r="H170" s="18" t="n">
        <f aca="false">+G170+30</f>
        <v>46081</v>
      </c>
      <c r="I170" s="18"/>
      <c r="J170" s="19" t="n">
        <v>8384233</v>
      </c>
      <c r="K170" s="19" t="n">
        <f aca="false">+J170</f>
        <v>8384233</v>
      </c>
      <c r="L170" s="19" t="n">
        <f aca="false">+J170/1.19</f>
        <v>7045573.94957983</v>
      </c>
      <c r="M170" s="19" t="n">
        <f aca="false">+L170*19%</f>
        <v>1338659.05042017</v>
      </c>
      <c r="N170" s="16" t="s">
        <v>96</v>
      </c>
      <c r="O170" s="20" t="n">
        <v>2026</v>
      </c>
      <c r="P170" s="21" t="n">
        <f aca="false">+J170</f>
        <v>8384233</v>
      </c>
      <c r="Q170" s="19" t="n">
        <f aca="false">+J170-P170</f>
        <v>0</v>
      </c>
      <c r="R170" s="22" t="str">
        <f aca="false">IF(J170-P170=0,"PAGADA","PENDIENTE")</f>
        <v>PAGADA</v>
      </c>
      <c r="S170" s="16" t="s">
        <v>112</v>
      </c>
      <c r="T170" s="16"/>
      <c r="U170" s="16"/>
      <c r="V170" s="16"/>
      <c r="W170" s="16"/>
      <c r="X170" s="16"/>
    </row>
    <row r="171" s="8" customFormat="true" ht="13.5" hidden="false" customHeight="false" outlineLevel="0" collapsed="false">
      <c r="A171" s="16" t="s">
        <v>32</v>
      </c>
      <c r="B171" s="16" t="s">
        <v>33</v>
      </c>
      <c r="C171" s="17"/>
      <c r="D171" s="17"/>
      <c r="E171" s="16" t="s">
        <v>24</v>
      </c>
      <c r="F171" s="16" t="n">
        <v>4753</v>
      </c>
      <c r="G171" s="18" t="n">
        <v>46051</v>
      </c>
      <c r="H171" s="18" t="n">
        <f aca="false">+G171+30</f>
        <v>46081</v>
      </c>
      <c r="I171" s="18"/>
      <c r="J171" s="19" t="n">
        <v>2686068</v>
      </c>
      <c r="K171" s="19" t="n">
        <f aca="false">+J171</f>
        <v>2686068</v>
      </c>
      <c r="L171" s="19" t="n">
        <f aca="false">+J171/1.19</f>
        <v>2257200</v>
      </c>
      <c r="M171" s="19" t="n">
        <f aca="false">+L171*19%</f>
        <v>428868</v>
      </c>
      <c r="N171" s="16" t="s">
        <v>96</v>
      </c>
      <c r="O171" s="20" t="n">
        <v>2026</v>
      </c>
      <c r="P171" s="21"/>
      <c r="Q171" s="19" t="n">
        <f aca="false">+J171-P171</f>
        <v>2686068</v>
      </c>
      <c r="R171" s="22" t="str">
        <f aca="false">IF(J171-P171=0,"PAGADA","PENDIENTE")</f>
        <v>PENDIENTE</v>
      </c>
      <c r="S171" s="16"/>
      <c r="T171" s="16"/>
      <c r="U171" s="16"/>
      <c r="V171" s="16"/>
      <c r="W171" s="16"/>
      <c r="X171" s="16"/>
    </row>
    <row r="172" s="8" customFormat="true" ht="13.5" hidden="false" customHeight="false" outlineLevel="0" collapsed="false">
      <c r="A172" s="16" t="n">
        <v>0</v>
      </c>
      <c r="B172" s="16" t="s">
        <v>63</v>
      </c>
      <c r="C172" s="17"/>
      <c r="D172" s="17"/>
      <c r="E172" s="16" t="s">
        <v>24</v>
      </c>
      <c r="F172" s="16" t="n">
        <v>4755</v>
      </c>
      <c r="G172" s="18" t="n">
        <v>46051</v>
      </c>
      <c r="H172" s="18" t="n">
        <f aca="false">+G172+30</f>
        <v>46081</v>
      </c>
      <c r="I172" s="18"/>
      <c r="J172" s="19" t="n">
        <v>0</v>
      </c>
      <c r="K172" s="19" t="n">
        <f aca="false">+J172</f>
        <v>0</v>
      </c>
      <c r="L172" s="19" t="n">
        <f aca="false">+J172/1.19</f>
        <v>0</v>
      </c>
      <c r="M172" s="19" t="n">
        <f aca="false">+L172*19%</f>
        <v>0</v>
      </c>
      <c r="N172" s="16" t="s">
        <v>96</v>
      </c>
      <c r="O172" s="20" t="n">
        <v>2026</v>
      </c>
      <c r="P172" s="21"/>
      <c r="Q172" s="19" t="n">
        <f aca="false">+J172-P172</f>
        <v>0</v>
      </c>
      <c r="R172" s="22" t="str">
        <f aca="false">IF(J172-P172=0,"PAGADA","PENDIENTE")</f>
        <v>PAGADA</v>
      </c>
      <c r="S172" s="16"/>
      <c r="T172" s="16"/>
      <c r="U172" s="16"/>
      <c r="V172" s="16"/>
      <c r="W172" s="16"/>
      <c r="X172" s="16"/>
    </row>
    <row r="173" s="8" customFormat="true" ht="13.5" hidden="false" customHeight="false" outlineLevel="0" collapsed="false">
      <c r="A173" s="16" t="s">
        <v>113</v>
      </c>
      <c r="B173" s="16" t="s">
        <v>114</v>
      </c>
      <c r="C173" s="17"/>
      <c r="D173" s="17"/>
      <c r="E173" s="16" t="s">
        <v>24</v>
      </c>
      <c r="F173" s="16" t="n">
        <v>4757</v>
      </c>
      <c r="G173" s="18" t="n">
        <v>46051</v>
      </c>
      <c r="H173" s="18" t="n">
        <f aca="false">+G173+30</f>
        <v>46081</v>
      </c>
      <c r="I173" s="18"/>
      <c r="J173" s="19" t="n">
        <v>5352025</v>
      </c>
      <c r="K173" s="19" t="n">
        <f aca="false">+J173</f>
        <v>5352025</v>
      </c>
      <c r="L173" s="19" t="n">
        <f aca="false">+J173/1.19</f>
        <v>4497500</v>
      </c>
      <c r="M173" s="19" t="n">
        <f aca="false">+L173*19%</f>
        <v>854525</v>
      </c>
      <c r="N173" s="16" t="s">
        <v>96</v>
      </c>
      <c r="O173" s="20" t="n">
        <v>2026</v>
      </c>
      <c r="P173" s="21" t="n">
        <f aca="false">+J173</f>
        <v>5352025</v>
      </c>
      <c r="Q173" s="19" t="n">
        <f aca="false">+J173-P173</f>
        <v>0</v>
      </c>
      <c r="R173" s="22" t="str">
        <f aca="false">IF(J173-P173=0,"PAGADA","PENDIENTE")</f>
        <v>PAGADA</v>
      </c>
      <c r="S173" s="16" t="s">
        <v>115</v>
      </c>
      <c r="T173" s="16"/>
      <c r="U173" s="16"/>
      <c r="V173" s="16"/>
      <c r="W173" s="16"/>
      <c r="X173" s="16"/>
    </row>
    <row r="174" s="8" customFormat="true" ht="13.5" hidden="false" customHeight="false" outlineLevel="0" collapsed="false">
      <c r="A174" s="16" t="s">
        <v>116</v>
      </c>
      <c r="B174" s="16" t="s">
        <v>117</v>
      </c>
      <c r="C174" s="17"/>
      <c r="D174" s="17"/>
      <c r="E174" s="16" t="s">
        <v>24</v>
      </c>
      <c r="F174" s="16" t="n">
        <v>4758</v>
      </c>
      <c r="G174" s="18" t="n">
        <v>46051</v>
      </c>
      <c r="H174" s="18" t="n">
        <f aca="false">+G174+30</f>
        <v>46081</v>
      </c>
      <c r="I174" s="18"/>
      <c r="J174" s="19" t="n">
        <v>5352025</v>
      </c>
      <c r="K174" s="19" t="n">
        <f aca="false">+J174</f>
        <v>5352025</v>
      </c>
      <c r="L174" s="19" t="n">
        <f aca="false">+J174/1.19</f>
        <v>4497500</v>
      </c>
      <c r="M174" s="19" t="n">
        <f aca="false">+L174*19%</f>
        <v>854525</v>
      </c>
      <c r="N174" s="16" t="s">
        <v>96</v>
      </c>
      <c r="O174" s="20" t="n">
        <v>2026</v>
      </c>
      <c r="P174" s="21" t="n">
        <f aca="false">+J174</f>
        <v>5352025</v>
      </c>
      <c r="Q174" s="19" t="n">
        <f aca="false">+J174-P174</f>
        <v>0</v>
      </c>
      <c r="R174" s="22" t="str">
        <f aca="false">IF(J174-P174=0,"PAGADA","PENDIENTE")</f>
        <v>PAGADA</v>
      </c>
      <c r="S174" s="16" t="s">
        <v>118</v>
      </c>
      <c r="T174" s="16"/>
      <c r="U174" s="16"/>
      <c r="V174" s="16"/>
      <c r="W174" s="16"/>
      <c r="X174" s="16"/>
    </row>
    <row r="175" s="8" customFormat="true" ht="13.5" hidden="false" customHeight="false" outlineLevel="0" collapsed="false">
      <c r="A175" s="24" t="s">
        <v>83</v>
      </c>
      <c r="B175" s="24" t="s">
        <v>84</v>
      </c>
      <c r="C175" s="25"/>
      <c r="D175" s="25"/>
      <c r="E175" s="24" t="s">
        <v>35</v>
      </c>
      <c r="F175" s="24" t="n">
        <v>474</v>
      </c>
      <c r="G175" s="26" t="n">
        <v>46051</v>
      </c>
      <c r="H175" s="26" t="n">
        <f aca="false">+G175+30</f>
        <v>46081</v>
      </c>
      <c r="I175" s="26"/>
      <c r="J175" s="21" t="n">
        <v>-12307575</v>
      </c>
      <c r="K175" s="21" t="n">
        <f aca="false">+J175</f>
        <v>-12307575</v>
      </c>
      <c r="L175" s="21" t="n">
        <f aca="false">+J175/1.19</f>
        <v>-10342500</v>
      </c>
      <c r="M175" s="21" t="n">
        <f aca="false">+L175*19%</f>
        <v>-1965075</v>
      </c>
      <c r="N175" s="24" t="s">
        <v>96</v>
      </c>
      <c r="O175" s="27" t="n">
        <v>2026</v>
      </c>
      <c r="P175" s="21" t="n">
        <f aca="false">+J175</f>
        <v>-12307575</v>
      </c>
      <c r="Q175" s="21" t="n">
        <f aca="false">+J175-P175</f>
        <v>0</v>
      </c>
      <c r="R175" s="28" t="str">
        <f aca="false">IF(J175-P175=0,"PAGADA","PENDIENTE")</f>
        <v>PAGADA</v>
      </c>
      <c r="S175" s="24" t="s">
        <v>36</v>
      </c>
      <c r="T175" s="24"/>
      <c r="U175" s="24"/>
      <c r="V175" s="24"/>
      <c r="W175" s="24"/>
      <c r="X175" s="24"/>
    </row>
    <row r="176" s="8" customFormat="true" ht="13.5" hidden="false" customHeight="false" outlineLevel="0" collapsed="false">
      <c r="A176" s="24" t="s">
        <v>83</v>
      </c>
      <c r="B176" s="24" t="s">
        <v>84</v>
      </c>
      <c r="C176" s="25"/>
      <c r="D176" s="25"/>
      <c r="E176" s="24" t="s">
        <v>35</v>
      </c>
      <c r="F176" s="24" t="n">
        <v>475</v>
      </c>
      <c r="G176" s="26" t="n">
        <v>46051</v>
      </c>
      <c r="H176" s="26" t="n">
        <f aca="false">+G176+30</f>
        <v>46081</v>
      </c>
      <c r="I176" s="26"/>
      <c r="J176" s="21" t="n">
        <v>-8384233</v>
      </c>
      <c r="K176" s="21" t="n">
        <f aca="false">+J176</f>
        <v>-8384233</v>
      </c>
      <c r="L176" s="21" t="n">
        <f aca="false">+J176/1.19</f>
        <v>-7045573.94957983</v>
      </c>
      <c r="M176" s="21" t="n">
        <f aca="false">+L176*19%</f>
        <v>-1338659.05042017</v>
      </c>
      <c r="N176" s="24" t="s">
        <v>96</v>
      </c>
      <c r="O176" s="27" t="n">
        <v>2026</v>
      </c>
      <c r="P176" s="21" t="n">
        <f aca="false">+J176</f>
        <v>-8384233</v>
      </c>
      <c r="Q176" s="21" t="n">
        <f aca="false">+J176-P176</f>
        <v>0</v>
      </c>
      <c r="R176" s="28" t="str">
        <f aca="false">IF(J176-P176=0,"PAGADA","PENDIENTE")</f>
        <v>PAGADA</v>
      </c>
      <c r="S176" s="24" t="s">
        <v>36</v>
      </c>
      <c r="T176" s="24"/>
      <c r="U176" s="24"/>
      <c r="V176" s="24"/>
      <c r="W176" s="24"/>
      <c r="X176" s="24"/>
    </row>
    <row r="177" s="8" customFormat="true" ht="13.5" hidden="false" customHeight="false" outlineLevel="0" collapsed="false">
      <c r="A177" s="16" t="s">
        <v>83</v>
      </c>
      <c r="B177" s="16" t="s">
        <v>84</v>
      </c>
      <c r="C177" s="17"/>
      <c r="D177" s="17"/>
      <c r="E177" s="16" t="s">
        <v>24</v>
      </c>
      <c r="F177" s="16" t="n">
        <v>4750</v>
      </c>
      <c r="G177" s="18" t="n">
        <v>46051</v>
      </c>
      <c r="H177" s="18" t="n">
        <f aca="false">+G177+30</f>
        <v>46081</v>
      </c>
      <c r="I177" s="18"/>
      <c r="J177" s="19" t="n">
        <v>2011743</v>
      </c>
      <c r="K177" s="19" t="n">
        <f aca="false">+J177</f>
        <v>2011743</v>
      </c>
      <c r="L177" s="19" t="n">
        <f aca="false">+J177/1.19</f>
        <v>1690540.33613445</v>
      </c>
      <c r="M177" s="19" t="n">
        <f aca="false">+L177*19%</f>
        <v>321202.663865546</v>
      </c>
      <c r="N177" s="16" t="s">
        <v>96</v>
      </c>
      <c r="O177" s="20" t="n">
        <v>2026</v>
      </c>
      <c r="P177" s="21" t="n">
        <f aca="false">+J177</f>
        <v>2011743</v>
      </c>
      <c r="Q177" s="19" t="n">
        <f aca="false">+J177-P177</f>
        <v>0</v>
      </c>
      <c r="R177" s="22" t="str">
        <f aca="false">IF(J177-P177=0,"PAGADA","PENDIENTE")</f>
        <v>PAGADA</v>
      </c>
      <c r="S177" s="18" t="n">
        <v>46079</v>
      </c>
      <c r="T177" s="16"/>
      <c r="U177" s="16"/>
      <c r="V177" s="16"/>
      <c r="W177" s="16"/>
      <c r="X177" s="16"/>
    </row>
    <row r="178" s="8" customFormat="true" ht="13.5" hidden="false" customHeight="false" outlineLevel="0" collapsed="false">
      <c r="A178" s="16" t="s">
        <v>83</v>
      </c>
      <c r="B178" s="16" t="s">
        <v>84</v>
      </c>
      <c r="C178" s="17"/>
      <c r="D178" s="17"/>
      <c r="E178" s="16" t="s">
        <v>24</v>
      </c>
      <c r="F178" s="16" t="n">
        <v>4754</v>
      </c>
      <c r="G178" s="18" t="n">
        <v>46051</v>
      </c>
      <c r="H178" s="18" t="n">
        <f aca="false">+G178+30</f>
        <v>46081</v>
      </c>
      <c r="I178" s="18"/>
      <c r="J178" s="19" t="n">
        <v>4635733</v>
      </c>
      <c r="K178" s="19" t="n">
        <f aca="false">+J178</f>
        <v>4635733</v>
      </c>
      <c r="L178" s="19" t="n">
        <f aca="false">+J178/1.19</f>
        <v>3895573.94957983</v>
      </c>
      <c r="M178" s="19" t="n">
        <f aca="false">+L178*19%</f>
        <v>740159.050420168</v>
      </c>
      <c r="N178" s="16" t="s">
        <v>96</v>
      </c>
      <c r="O178" s="20" t="n">
        <v>2026</v>
      </c>
      <c r="P178" s="21" t="n">
        <f aca="false">+J178</f>
        <v>4635733</v>
      </c>
      <c r="Q178" s="19" t="n">
        <f aca="false">+J178-P178</f>
        <v>0</v>
      </c>
      <c r="R178" s="22" t="str">
        <f aca="false">IF(J178-P178=0,"PAGADA","PENDIENTE")</f>
        <v>PAGADA</v>
      </c>
      <c r="S178" s="18" t="n">
        <v>46079</v>
      </c>
      <c r="T178" s="16"/>
      <c r="U178" s="16"/>
      <c r="V178" s="16"/>
      <c r="W178" s="16"/>
      <c r="X178" s="16"/>
    </row>
    <row r="179" s="8" customFormat="true" ht="13.5" hidden="false" customHeight="false" outlineLevel="0" collapsed="false">
      <c r="A179" s="16" t="s">
        <v>119</v>
      </c>
      <c r="B179" s="16" t="s">
        <v>120</v>
      </c>
      <c r="C179" s="17"/>
      <c r="D179" s="17"/>
      <c r="E179" s="16" t="s">
        <v>24</v>
      </c>
      <c r="F179" s="16" t="n">
        <v>4759</v>
      </c>
      <c r="G179" s="18" t="n">
        <v>46052</v>
      </c>
      <c r="H179" s="18" t="n">
        <f aca="false">+G179+30</f>
        <v>46082</v>
      </c>
      <c r="I179" s="18"/>
      <c r="J179" s="19" t="n">
        <v>1488382</v>
      </c>
      <c r="K179" s="19" t="n">
        <f aca="false">+J179</f>
        <v>1488382</v>
      </c>
      <c r="L179" s="19" t="n">
        <f aca="false">+J179/1.19</f>
        <v>1250741.17647059</v>
      </c>
      <c r="M179" s="19" t="n">
        <f aca="false">+L179*19%</f>
        <v>237640.823529412</v>
      </c>
      <c r="N179" s="16" t="s">
        <v>96</v>
      </c>
      <c r="O179" s="20" t="n">
        <v>2026</v>
      </c>
      <c r="P179" s="21" t="n">
        <f aca="false">+J179</f>
        <v>1488382</v>
      </c>
      <c r="Q179" s="19" t="n">
        <f aca="false">+J179-P179</f>
        <v>0</v>
      </c>
      <c r="R179" s="22" t="str">
        <f aca="false">IF(J179-P179=0,"PAGADA","PENDIENTE")</f>
        <v>PAGADA</v>
      </c>
      <c r="S179" s="18" t="n">
        <v>46080</v>
      </c>
      <c r="T179" s="16"/>
      <c r="U179" s="16"/>
      <c r="V179" s="16"/>
      <c r="W179" s="16"/>
      <c r="X179" s="16"/>
    </row>
    <row r="180" s="7" customFormat="true" ht="13.5" hidden="false" customHeight="false" outlineLevel="0" collapsed="false">
      <c r="A180" s="16" t="s">
        <v>119</v>
      </c>
      <c r="B180" s="16" t="s">
        <v>120</v>
      </c>
      <c r="C180" s="17"/>
      <c r="D180" s="17"/>
      <c r="E180" s="16" t="s">
        <v>24</v>
      </c>
      <c r="F180" s="16" t="n">
        <v>4760</v>
      </c>
      <c r="G180" s="18" t="n">
        <v>46054</v>
      </c>
      <c r="H180" s="18" t="n">
        <f aca="false">+G180+30</f>
        <v>46084</v>
      </c>
      <c r="I180" s="18"/>
      <c r="J180" s="19" t="n">
        <v>1488285</v>
      </c>
      <c r="K180" s="19" t="n">
        <f aca="false">+J180</f>
        <v>1488285</v>
      </c>
      <c r="L180" s="19" t="n">
        <f aca="false">+J180/1.19</f>
        <v>1250659.66386555</v>
      </c>
      <c r="M180" s="19" t="n">
        <f aca="false">+L180*19%</f>
        <v>237625.336134454</v>
      </c>
      <c r="N180" s="16" t="s">
        <v>121</v>
      </c>
      <c r="O180" s="20" t="n">
        <v>2026</v>
      </c>
      <c r="P180" s="21" t="n">
        <f aca="false">+J180</f>
        <v>1488285</v>
      </c>
      <c r="Q180" s="19" t="n">
        <f aca="false">+J180-P180</f>
        <v>0</v>
      </c>
      <c r="R180" s="22" t="str">
        <f aca="false">IF(J180-P180=0,"PAGADA","PENDIENTE")</f>
        <v>PAGADA</v>
      </c>
      <c r="S180" s="18" t="n">
        <v>46087</v>
      </c>
      <c r="T180" s="16"/>
      <c r="U180" s="16"/>
      <c r="V180" s="16"/>
      <c r="W180" s="16"/>
      <c r="X180" s="16"/>
    </row>
    <row r="181" s="7" customFormat="true" ht="13.5" hidden="false" customHeight="false" outlineLevel="0" collapsed="false">
      <c r="A181" s="16" t="s">
        <v>45</v>
      </c>
      <c r="B181" s="16" t="s">
        <v>46</v>
      </c>
      <c r="C181" s="17"/>
      <c r="D181" s="17"/>
      <c r="E181" s="16" t="s">
        <v>24</v>
      </c>
      <c r="F181" s="16" t="n">
        <v>4761</v>
      </c>
      <c r="G181" s="18" t="n">
        <v>46055</v>
      </c>
      <c r="H181" s="18" t="n">
        <f aca="false">+G181+30</f>
        <v>46085</v>
      </c>
      <c r="I181" s="18"/>
      <c r="J181" s="19" t="n">
        <v>3682121</v>
      </c>
      <c r="K181" s="19" t="n">
        <f aca="false">+J181</f>
        <v>3682121</v>
      </c>
      <c r="L181" s="19" t="n">
        <f aca="false">+J181/1.19</f>
        <v>3094219.32773109</v>
      </c>
      <c r="M181" s="19" t="n">
        <f aca="false">+L181*19%</f>
        <v>587901.672268908</v>
      </c>
      <c r="N181" s="16" t="s">
        <v>121</v>
      </c>
      <c r="O181" s="20" t="n">
        <v>2026</v>
      </c>
      <c r="P181" s="21" t="n">
        <f aca="false">+J181</f>
        <v>3682121</v>
      </c>
      <c r="Q181" s="19" t="n">
        <f aca="false">+J181-P181</f>
        <v>0</v>
      </c>
      <c r="R181" s="22" t="str">
        <f aca="false">IF(J181-P181=0,"PAGADA","PENDIENTE")</f>
        <v>PAGADA</v>
      </c>
      <c r="S181" s="18" t="n">
        <v>46112</v>
      </c>
      <c r="T181" s="16"/>
      <c r="U181" s="16"/>
      <c r="V181" s="16"/>
      <c r="W181" s="16"/>
      <c r="X181" s="16"/>
    </row>
    <row r="182" s="8" customFormat="true" ht="13.5" hidden="false" customHeight="false" outlineLevel="0" collapsed="false">
      <c r="A182" s="16" t="s">
        <v>122</v>
      </c>
      <c r="B182" s="16" t="s">
        <v>123</v>
      </c>
      <c r="C182" s="17"/>
      <c r="D182" s="17"/>
      <c r="E182" s="16" t="s">
        <v>24</v>
      </c>
      <c r="F182" s="16" t="n">
        <v>4771</v>
      </c>
      <c r="G182" s="18" t="n">
        <v>46058</v>
      </c>
      <c r="H182" s="18" t="n">
        <f aca="false">+G182+30</f>
        <v>46088</v>
      </c>
      <c r="I182" s="18"/>
      <c r="J182" s="19" t="n">
        <v>2738730</v>
      </c>
      <c r="K182" s="19" t="n">
        <f aca="false">+J182</f>
        <v>2738730</v>
      </c>
      <c r="L182" s="19" t="n">
        <f aca="false">+J182/1.19</f>
        <v>2301453.78151261</v>
      </c>
      <c r="M182" s="19" t="n">
        <f aca="false">+L182*19%</f>
        <v>437276.218487395</v>
      </c>
      <c r="N182" s="16" t="s">
        <v>121</v>
      </c>
      <c r="O182" s="20" t="n">
        <v>2026</v>
      </c>
      <c r="P182" s="21" t="n">
        <f aca="false">+J182</f>
        <v>2738730</v>
      </c>
      <c r="Q182" s="19" t="n">
        <f aca="false">+J182-P182</f>
        <v>0</v>
      </c>
      <c r="R182" s="22" t="str">
        <f aca="false">IF(J182-P182=0,"PAGADA","PENDIENTE")</f>
        <v>PAGADA</v>
      </c>
      <c r="S182" s="18" t="n">
        <v>46066</v>
      </c>
      <c r="T182" s="16"/>
      <c r="U182" s="16"/>
      <c r="V182" s="16"/>
      <c r="W182" s="16"/>
      <c r="X182" s="16"/>
    </row>
    <row r="183" s="8" customFormat="true" ht="13.5" hidden="false" customHeight="false" outlineLevel="0" collapsed="false">
      <c r="A183" s="16" t="s">
        <v>124</v>
      </c>
      <c r="B183" s="16" t="s">
        <v>125</v>
      </c>
      <c r="C183" s="17"/>
      <c r="D183" s="17"/>
      <c r="E183" s="16" t="s">
        <v>24</v>
      </c>
      <c r="F183" s="16" t="n">
        <v>4772</v>
      </c>
      <c r="G183" s="18" t="n">
        <v>46058</v>
      </c>
      <c r="H183" s="18" t="n">
        <f aca="false">+G183+30</f>
        <v>46088</v>
      </c>
      <c r="I183" s="18"/>
      <c r="J183" s="19" t="n">
        <v>300000</v>
      </c>
      <c r="K183" s="19" t="n">
        <f aca="false">+J183</f>
        <v>300000</v>
      </c>
      <c r="L183" s="19" t="n">
        <f aca="false">+J183/1.19</f>
        <v>252100.840336134</v>
      </c>
      <c r="M183" s="19" t="n">
        <f aca="false">+L183*19%</f>
        <v>47899.1596638656</v>
      </c>
      <c r="N183" s="16" t="s">
        <v>121</v>
      </c>
      <c r="O183" s="20" t="n">
        <v>2026</v>
      </c>
      <c r="P183" s="21" t="n">
        <v>300000</v>
      </c>
      <c r="Q183" s="19" t="n">
        <f aca="false">+J183-P183</f>
        <v>0</v>
      </c>
      <c r="R183" s="22" t="str">
        <f aca="false">IF(J183-P183=0,"PAGADA","PENDIENTE")</f>
        <v>PAGADA</v>
      </c>
      <c r="S183" s="18" t="n">
        <v>46066</v>
      </c>
      <c r="T183" s="16"/>
      <c r="U183" s="16"/>
      <c r="V183" s="16"/>
      <c r="W183" s="16"/>
      <c r="X183" s="16"/>
    </row>
    <row r="184" s="8" customFormat="true" ht="13.5" hidden="false" customHeight="false" outlineLevel="0" collapsed="false">
      <c r="A184" s="16" t="s">
        <v>57</v>
      </c>
      <c r="B184" s="16" t="s">
        <v>58</v>
      </c>
      <c r="C184" s="17"/>
      <c r="D184" s="17"/>
      <c r="E184" s="16" t="s">
        <v>24</v>
      </c>
      <c r="F184" s="16" t="n">
        <v>4762</v>
      </c>
      <c r="G184" s="18" t="n">
        <v>46058</v>
      </c>
      <c r="H184" s="18" t="n">
        <f aca="false">+G184+30</f>
        <v>46088</v>
      </c>
      <c r="I184" s="18"/>
      <c r="J184" s="19" t="n">
        <v>2852768</v>
      </c>
      <c r="K184" s="19" t="n">
        <f aca="false">+J184</f>
        <v>2852768</v>
      </c>
      <c r="L184" s="19" t="n">
        <f aca="false">+J184/1.19</f>
        <v>2397284.03361345</v>
      </c>
      <c r="M184" s="19" t="n">
        <f aca="false">+L184*19%</f>
        <v>455483.966386555</v>
      </c>
      <c r="N184" s="16" t="s">
        <v>121</v>
      </c>
      <c r="O184" s="20" t="n">
        <v>2026</v>
      </c>
      <c r="P184" s="21" t="n">
        <f aca="false">+J184</f>
        <v>2852768</v>
      </c>
      <c r="Q184" s="19" t="n">
        <f aca="false">+J184-P184</f>
        <v>0</v>
      </c>
      <c r="R184" s="22" t="str">
        <f aca="false">IF(J184-P184=0,"PAGADA","PENDIENTE")</f>
        <v>PAGADA</v>
      </c>
      <c r="S184" s="18" t="n">
        <v>46078</v>
      </c>
      <c r="T184" s="16"/>
      <c r="U184" s="16"/>
      <c r="V184" s="16"/>
      <c r="W184" s="16"/>
      <c r="X184" s="16"/>
    </row>
    <row r="185" s="8" customFormat="true" ht="13.5" hidden="false" customHeight="false" outlineLevel="0" collapsed="false">
      <c r="A185" s="16" t="s">
        <v>57</v>
      </c>
      <c r="B185" s="16" t="s">
        <v>58</v>
      </c>
      <c r="C185" s="17"/>
      <c r="D185" s="17"/>
      <c r="E185" s="16" t="s">
        <v>24</v>
      </c>
      <c r="F185" s="16" t="n">
        <v>4763</v>
      </c>
      <c r="G185" s="18" t="n">
        <v>46058</v>
      </c>
      <c r="H185" s="18" t="n">
        <f aca="false">+G185+30</f>
        <v>46088</v>
      </c>
      <c r="I185" s="18"/>
      <c r="J185" s="19" t="n">
        <v>1847802</v>
      </c>
      <c r="K185" s="19" t="n">
        <f aca="false">+J185</f>
        <v>1847802</v>
      </c>
      <c r="L185" s="19" t="n">
        <f aca="false">+J185/1.19</f>
        <v>1552774.78991597</v>
      </c>
      <c r="M185" s="19" t="n">
        <f aca="false">+L185*19%</f>
        <v>295027.210084034</v>
      </c>
      <c r="N185" s="16" t="s">
        <v>121</v>
      </c>
      <c r="O185" s="20" t="n">
        <v>2026</v>
      </c>
      <c r="P185" s="21" t="n">
        <f aca="false">+J185</f>
        <v>1847802</v>
      </c>
      <c r="Q185" s="19" t="n">
        <f aca="false">+J185-P185</f>
        <v>0</v>
      </c>
      <c r="R185" s="22" t="str">
        <f aca="false">IF(J185-P185=0,"PAGADA","PENDIENTE")</f>
        <v>PAGADA</v>
      </c>
      <c r="S185" s="18" t="n">
        <v>46078</v>
      </c>
      <c r="T185" s="16"/>
      <c r="U185" s="16"/>
      <c r="V185" s="16"/>
      <c r="W185" s="16"/>
      <c r="X185" s="16"/>
    </row>
    <row r="186" s="8" customFormat="true" ht="13.5" hidden="false" customHeight="false" outlineLevel="0" collapsed="false">
      <c r="A186" s="16" t="s">
        <v>57</v>
      </c>
      <c r="B186" s="16" t="s">
        <v>58</v>
      </c>
      <c r="C186" s="17"/>
      <c r="D186" s="17"/>
      <c r="E186" s="16" t="s">
        <v>24</v>
      </c>
      <c r="F186" s="16" t="n">
        <v>4764</v>
      </c>
      <c r="G186" s="18" t="n">
        <v>46058</v>
      </c>
      <c r="H186" s="18" t="n">
        <f aca="false">+G186+30</f>
        <v>46088</v>
      </c>
      <c r="I186" s="18"/>
      <c r="J186" s="19" t="n">
        <v>512200</v>
      </c>
      <c r="K186" s="19" t="n">
        <f aca="false">+J186</f>
        <v>512200</v>
      </c>
      <c r="L186" s="19" t="n">
        <f aca="false">+J186/1.19</f>
        <v>430420.168067227</v>
      </c>
      <c r="M186" s="19" t="n">
        <f aca="false">+L186*19%</f>
        <v>81779.8319327731</v>
      </c>
      <c r="N186" s="16" t="s">
        <v>121</v>
      </c>
      <c r="O186" s="20" t="n">
        <v>2026</v>
      </c>
      <c r="P186" s="21" t="n">
        <f aca="false">+J186</f>
        <v>512200</v>
      </c>
      <c r="Q186" s="19" t="n">
        <f aca="false">+J186-P186</f>
        <v>0</v>
      </c>
      <c r="R186" s="22" t="str">
        <f aca="false">IF(J186-P186=0,"PAGADA","PENDIENTE")</f>
        <v>PAGADA</v>
      </c>
      <c r="S186" s="18" t="n">
        <v>46078</v>
      </c>
      <c r="T186" s="16"/>
      <c r="U186" s="16"/>
      <c r="V186" s="16"/>
      <c r="W186" s="16"/>
      <c r="X186" s="16"/>
    </row>
    <row r="187" s="8" customFormat="true" ht="13.5" hidden="false" customHeight="false" outlineLevel="0" collapsed="false">
      <c r="A187" s="16" t="s">
        <v>57</v>
      </c>
      <c r="B187" s="16" t="s">
        <v>58</v>
      </c>
      <c r="C187" s="17"/>
      <c r="D187" s="17"/>
      <c r="E187" s="16" t="s">
        <v>24</v>
      </c>
      <c r="F187" s="16" t="n">
        <v>4765</v>
      </c>
      <c r="G187" s="18" t="n">
        <v>46058</v>
      </c>
      <c r="H187" s="18" t="n">
        <f aca="false">+G187+30</f>
        <v>46088</v>
      </c>
      <c r="I187" s="18"/>
      <c r="J187" s="19" t="n">
        <v>533020</v>
      </c>
      <c r="K187" s="19" t="n">
        <f aca="false">+J187</f>
        <v>533020</v>
      </c>
      <c r="L187" s="19" t="n">
        <f aca="false">+J187/1.19</f>
        <v>447915.966386555</v>
      </c>
      <c r="M187" s="19" t="n">
        <f aca="false">+L187*19%</f>
        <v>85104.0336134454</v>
      </c>
      <c r="N187" s="16" t="s">
        <v>121</v>
      </c>
      <c r="O187" s="20" t="n">
        <v>2026</v>
      </c>
      <c r="P187" s="21" t="n">
        <f aca="false">+J187</f>
        <v>533020</v>
      </c>
      <c r="Q187" s="19" t="n">
        <f aca="false">+J187-P187</f>
        <v>0</v>
      </c>
      <c r="R187" s="22" t="str">
        <f aca="false">IF(J187-P187=0,"PAGADA","PENDIENTE")</f>
        <v>PAGADA</v>
      </c>
      <c r="S187" s="18" t="n">
        <v>46078</v>
      </c>
      <c r="T187" s="16"/>
      <c r="U187" s="16"/>
      <c r="V187" s="16"/>
      <c r="W187" s="16"/>
      <c r="X187" s="16"/>
    </row>
    <row r="188" s="8" customFormat="true" ht="13.5" hidden="false" customHeight="false" outlineLevel="0" collapsed="false">
      <c r="A188" s="16" t="s">
        <v>68</v>
      </c>
      <c r="B188" s="16" t="s">
        <v>69</v>
      </c>
      <c r="C188" s="17"/>
      <c r="D188" s="17"/>
      <c r="E188" s="16" t="s">
        <v>24</v>
      </c>
      <c r="F188" s="16" t="n">
        <v>4766</v>
      </c>
      <c r="G188" s="18" t="n">
        <v>46058</v>
      </c>
      <c r="H188" s="18" t="n">
        <f aca="false">+G188+30</f>
        <v>46088</v>
      </c>
      <c r="I188" s="18"/>
      <c r="J188" s="19" t="n">
        <v>1249500</v>
      </c>
      <c r="K188" s="19" t="n">
        <f aca="false">+J188</f>
        <v>1249500</v>
      </c>
      <c r="L188" s="19" t="n">
        <f aca="false">+J188/1.19</f>
        <v>1050000</v>
      </c>
      <c r="M188" s="19" t="n">
        <f aca="false">+L188*19%</f>
        <v>199500</v>
      </c>
      <c r="N188" s="16" t="s">
        <v>121</v>
      </c>
      <c r="O188" s="20" t="n">
        <v>2026</v>
      </c>
      <c r="P188" s="21" t="n">
        <f aca="false">+J188</f>
        <v>1249500</v>
      </c>
      <c r="Q188" s="19" t="n">
        <f aca="false">+J188-P188</f>
        <v>0</v>
      </c>
      <c r="R188" s="22" t="str">
        <f aca="false">IF(J188-P188=0,"PAGADA","PENDIENTE")</f>
        <v>PAGADA</v>
      </c>
      <c r="S188" s="18" t="n">
        <v>46097</v>
      </c>
      <c r="T188" s="16"/>
      <c r="U188" s="16"/>
      <c r="V188" s="16"/>
      <c r="W188" s="16"/>
      <c r="X188" s="16"/>
    </row>
    <row r="189" s="8" customFormat="true" ht="13.5" hidden="false" customHeight="false" outlineLevel="0" collapsed="false">
      <c r="A189" s="16" t="s">
        <v>30</v>
      </c>
      <c r="B189" s="16" t="s">
        <v>31</v>
      </c>
      <c r="C189" s="17"/>
      <c r="D189" s="17"/>
      <c r="E189" s="16" t="s">
        <v>24</v>
      </c>
      <c r="F189" s="16" t="n">
        <v>4767</v>
      </c>
      <c r="G189" s="18" t="n">
        <v>46058</v>
      </c>
      <c r="H189" s="18" t="n">
        <f aca="false">+G189+30</f>
        <v>46088</v>
      </c>
      <c r="I189" s="18"/>
      <c r="J189" s="19" t="n">
        <v>178500</v>
      </c>
      <c r="K189" s="19" t="n">
        <f aca="false">+J189</f>
        <v>178500</v>
      </c>
      <c r="L189" s="19" t="n">
        <f aca="false">+J189/1.19</f>
        <v>150000</v>
      </c>
      <c r="M189" s="19" t="n">
        <f aca="false">+L189*19%</f>
        <v>28500</v>
      </c>
      <c r="N189" s="16" t="s">
        <v>121</v>
      </c>
      <c r="O189" s="20" t="n">
        <v>2026</v>
      </c>
      <c r="P189" s="21" t="n">
        <f aca="false">+J189</f>
        <v>178500</v>
      </c>
      <c r="Q189" s="19" t="n">
        <f aca="false">+J189-P189</f>
        <v>0</v>
      </c>
      <c r="R189" s="22" t="str">
        <f aca="false">IF(J189-P189=0,"PAGADA","PENDIENTE")</f>
        <v>PAGADA</v>
      </c>
      <c r="S189" s="18" t="n">
        <v>46087</v>
      </c>
      <c r="T189" s="16"/>
      <c r="U189" s="16"/>
      <c r="V189" s="16"/>
      <c r="W189" s="16"/>
      <c r="X189" s="16"/>
    </row>
    <row r="190" s="8" customFormat="true" ht="13.5" hidden="false" customHeight="false" outlineLevel="0" collapsed="false">
      <c r="A190" s="16" t="s">
        <v>30</v>
      </c>
      <c r="B190" s="16" t="s">
        <v>31</v>
      </c>
      <c r="C190" s="17"/>
      <c r="D190" s="17"/>
      <c r="E190" s="16" t="s">
        <v>24</v>
      </c>
      <c r="F190" s="16" t="n">
        <v>4768</v>
      </c>
      <c r="G190" s="18" t="n">
        <v>46058</v>
      </c>
      <c r="H190" s="18" t="n">
        <f aca="false">+G190+30</f>
        <v>46088</v>
      </c>
      <c r="I190" s="18"/>
      <c r="J190" s="19" t="n">
        <v>67580</v>
      </c>
      <c r="K190" s="19" t="n">
        <f aca="false">+J190</f>
        <v>67580</v>
      </c>
      <c r="L190" s="19" t="n">
        <f aca="false">+J190/1.19</f>
        <v>56789.9159663866</v>
      </c>
      <c r="M190" s="19" t="n">
        <f aca="false">+L190*19%</f>
        <v>10790.0840336134</v>
      </c>
      <c r="N190" s="16" t="s">
        <v>121</v>
      </c>
      <c r="O190" s="20" t="n">
        <v>2026</v>
      </c>
      <c r="P190" s="21" t="n">
        <f aca="false">+J190</f>
        <v>67580</v>
      </c>
      <c r="Q190" s="19" t="n">
        <f aca="false">+J190-P190</f>
        <v>0</v>
      </c>
      <c r="R190" s="22" t="str">
        <f aca="false">IF(J190-P190=0,"PAGADA","PENDIENTE")</f>
        <v>PAGADA</v>
      </c>
      <c r="S190" s="18" t="n">
        <v>46087</v>
      </c>
      <c r="T190" s="16"/>
      <c r="U190" s="16"/>
      <c r="V190" s="16"/>
      <c r="W190" s="16"/>
      <c r="X190" s="16"/>
    </row>
    <row r="191" s="8" customFormat="true" ht="13.5" hidden="false" customHeight="false" outlineLevel="0" collapsed="false">
      <c r="A191" s="16" t="s">
        <v>30</v>
      </c>
      <c r="B191" s="16" t="s">
        <v>31</v>
      </c>
      <c r="C191" s="17"/>
      <c r="D191" s="17"/>
      <c r="E191" s="16" t="s">
        <v>24</v>
      </c>
      <c r="F191" s="16" t="n">
        <v>4769</v>
      </c>
      <c r="G191" s="18" t="n">
        <v>46058</v>
      </c>
      <c r="H191" s="18" t="n">
        <f aca="false">+G191+30</f>
        <v>46088</v>
      </c>
      <c r="I191" s="18"/>
      <c r="J191" s="19" t="n">
        <v>731848</v>
      </c>
      <c r="K191" s="19" t="n">
        <f aca="false">+J191</f>
        <v>731848</v>
      </c>
      <c r="L191" s="19" t="n">
        <f aca="false">+J191/1.19</f>
        <v>614998.319327731</v>
      </c>
      <c r="M191" s="19" t="n">
        <f aca="false">+L191*19%</f>
        <v>116849.680672269</v>
      </c>
      <c r="N191" s="16" t="s">
        <v>121</v>
      </c>
      <c r="O191" s="20" t="n">
        <v>2026</v>
      </c>
      <c r="P191" s="21" t="n">
        <f aca="false">+J191</f>
        <v>731848</v>
      </c>
      <c r="Q191" s="19" t="n">
        <f aca="false">+J191-P191</f>
        <v>0</v>
      </c>
      <c r="R191" s="22" t="str">
        <f aca="false">IF(J191-P191=0,"PAGADA","PENDIENTE")</f>
        <v>PAGADA</v>
      </c>
      <c r="S191" s="18" t="n">
        <v>46087</v>
      </c>
      <c r="T191" s="16"/>
      <c r="U191" s="16"/>
      <c r="V191" s="16"/>
      <c r="W191" s="16"/>
      <c r="X191" s="16"/>
    </row>
    <row r="192" s="8" customFormat="true" ht="13.5" hidden="false" customHeight="false" outlineLevel="0" collapsed="false">
      <c r="A192" s="16" t="s">
        <v>30</v>
      </c>
      <c r="B192" s="16" t="s">
        <v>31</v>
      </c>
      <c r="C192" s="17"/>
      <c r="D192" s="17"/>
      <c r="E192" s="16" t="s">
        <v>24</v>
      </c>
      <c r="F192" s="16" t="n">
        <v>4770</v>
      </c>
      <c r="G192" s="18" t="n">
        <v>46058</v>
      </c>
      <c r="H192" s="18" t="n">
        <f aca="false">+G192+30</f>
        <v>46088</v>
      </c>
      <c r="I192" s="18"/>
      <c r="J192" s="19" t="n">
        <v>2031147</v>
      </c>
      <c r="K192" s="19" t="n">
        <f aca="false">+J192</f>
        <v>2031147</v>
      </c>
      <c r="L192" s="19" t="n">
        <f aca="false">+J192/1.19</f>
        <v>1706846.2184874</v>
      </c>
      <c r="M192" s="19" t="n">
        <f aca="false">+L192*19%</f>
        <v>324300.781512605</v>
      </c>
      <c r="N192" s="16" t="s">
        <v>121</v>
      </c>
      <c r="O192" s="20" t="n">
        <v>2026</v>
      </c>
      <c r="P192" s="21" t="n">
        <f aca="false">+J192</f>
        <v>2031147</v>
      </c>
      <c r="Q192" s="19" t="n">
        <f aca="false">+J192-P192</f>
        <v>0</v>
      </c>
      <c r="R192" s="22" t="str">
        <f aca="false">IF(J192-P192=0,"PAGADA","PENDIENTE")</f>
        <v>PAGADA</v>
      </c>
      <c r="S192" s="18" t="n">
        <v>46087</v>
      </c>
      <c r="T192" s="16"/>
      <c r="U192" s="16"/>
      <c r="V192" s="16"/>
      <c r="W192" s="16"/>
      <c r="X192" s="16"/>
    </row>
    <row r="193" s="8" customFormat="true" ht="13.5" hidden="false" customHeight="false" outlineLevel="0" collapsed="false">
      <c r="A193" s="16" t="n">
        <v>0</v>
      </c>
      <c r="B193" s="16" t="s">
        <v>63</v>
      </c>
      <c r="C193" s="17"/>
      <c r="D193" s="17"/>
      <c r="E193" s="16" t="s">
        <v>24</v>
      </c>
      <c r="F193" s="16" t="n">
        <v>4773</v>
      </c>
      <c r="G193" s="18" t="n">
        <v>46058</v>
      </c>
      <c r="H193" s="18" t="n">
        <f aca="false">+G193+30</f>
        <v>46088</v>
      </c>
      <c r="I193" s="18"/>
      <c r="J193" s="19" t="n">
        <v>0</v>
      </c>
      <c r="K193" s="19" t="n">
        <f aca="false">+J193</f>
        <v>0</v>
      </c>
      <c r="L193" s="19" t="n">
        <f aca="false">+J193/1.19</f>
        <v>0</v>
      </c>
      <c r="M193" s="19" t="n">
        <f aca="false">+L193*19%</f>
        <v>0</v>
      </c>
      <c r="N193" s="16" t="s">
        <v>121</v>
      </c>
      <c r="O193" s="20" t="n">
        <v>2026</v>
      </c>
      <c r="P193" s="21"/>
      <c r="Q193" s="19" t="n">
        <f aca="false">+J193-P193</f>
        <v>0</v>
      </c>
      <c r="R193" s="22" t="str">
        <f aca="false">IF(J193-P193=0,"PAGADA","PENDIENTE")</f>
        <v>PAGADA</v>
      </c>
      <c r="S193" s="16"/>
      <c r="T193" s="16"/>
      <c r="U193" s="16"/>
      <c r="V193" s="16"/>
      <c r="W193" s="16"/>
      <c r="X193" s="16"/>
    </row>
    <row r="194" s="8" customFormat="true" ht="13.5" hidden="false" customHeight="false" outlineLevel="0" collapsed="false">
      <c r="A194" s="16" t="s">
        <v>53</v>
      </c>
      <c r="B194" s="16" t="s">
        <v>54</v>
      </c>
      <c r="C194" s="17"/>
      <c r="D194" s="17"/>
      <c r="E194" s="16" t="s">
        <v>24</v>
      </c>
      <c r="F194" s="16" t="n">
        <v>4774</v>
      </c>
      <c r="G194" s="18" t="n">
        <v>46058</v>
      </c>
      <c r="H194" s="18" t="n">
        <f aca="false">+G194+30</f>
        <v>46088</v>
      </c>
      <c r="I194" s="18"/>
      <c r="J194" s="19" t="n">
        <v>715880</v>
      </c>
      <c r="K194" s="19" t="n">
        <f aca="false">+J194</f>
        <v>715880</v>
      </c>
      <c r="L194" s="19" t="n">
        <f aca="false">+J194/1.19</f>
        <v>601579.831932773</v>
      </c>
      <c r="M194" s="19" t="n">
        <f aca="false">+L194*19%</f>
        <v>114300.168067227</v>
      </c>
      <c r="N194" s="16" t="s">
        <v>121</v>
      </c>
      <c r="O194" s="20" t="n">
        <v>2026</v>
      </c>
      <c r="P194" s="21" t="n">
        <f aca="false">+J194</f>
        <v>715880</v>
      </c>
      <c r="Q194" s="19" t="n">
        <f aca="false">+J194-P194</f>
        <v>0</v>
      </c>
      <c r="R194" s="22" t="str">
        <f aca="false">IF(J194-P194=0,"PAGADA","PENDIENTE")</f>
        <v>PAGADA</v>
      </c>
      <c r="S194" s="16" t="s">
        <v>126</v>
      </c>
      <c r="T194" s="16"/>
      <c r="U194" s="16"/>
      <c r="V194" s="16"/>
      <c r="W194" s="16"/>
      <c r="X194" s="16"/>
    </row>
    <row r="195" s="8" customFormat="true" ht="13.5" hidden="false" customHeight="false" outlineLevel="0" collapsed="false">
      <c r="A195" s="16" t="s">
        <v>53</v>
      </c>
      <c r="B195" s="16" t="s">
        <v>54</v>
      </c>
      <c r="C195" s="17"/>
      <c r="D195" s="17"/>
      <c r="E195" s="16" t="s">
        <v>24</v>
      </c>
      <c r="F195" s="16" t="n">
        <v>4775</v>
      </c>
      <c r="G195" s="18" t="n">
        <v>46058</v>
      </c>
      <c r="H195" s="18" t="n">
        <f aca="false">+G195+30</f>
        <v>46088</v>
      </c>
      <c r="I195" s="18"/>
      <c r="J195" s="19" t="n">
        <v>691672</v>
      </c>
      <c r="K195" s="19" t="n">
        <f aca="false">+J195</f>
        <v>691672</v>
      </c>
      <c r="L195" s="19" t="n">
        <f aca="false">+J195/1.19</f>
        <v>581236.974789916</v>
      </c>
      <c r="M195" s="19" t="n">
        <f aca="false">+L195*19%</f>
        <v>110435.025210084</v>
      </c>
      <c r="N195" s="16" t="s">
        <v>121</v>
      </c>
      <c r="O195" s="20" t="n">
        <v>2026</v>
      </c>
      <c r="P195" s="21" t="n">
        <f aca="false">+J195</f>
        <v>691672</v>
      </c>
      <c r="Q195" s="19" t="n">
        <f aca="false">+J195-P195</f>
        <v>0</v>
      </c>
      <c r="R195" s="22" t="str">
        <f aca="false">IF(J195-P195=0,"PAGADA","PENDIENTE")</f>
        <v>PAGADA</v>
      </c>
      <c r="S195" s="18" t="n">
        <v>46080</v>
      </c>
      <c r="T195" s="16"/>
      <c r="U195" s="16"/>
      <c r="V195" s="16"/>
      <c r="W195" s="16"/>
      <c r="X195" s="16"/>
    </row>
    <row r="196" s="8" customFormat="true" ht="13.5" hidden="false" customHeight="false" outlineLevel="0" collapsed="false">
      <c r="A196" s="16" t="s">
        <v>55</v>
      </c>
      <c r="B196" s="16" t="s">
        <v>56</v>
      </c>
      <c r="C196" s="17"/>
      <c r="D196" s="17"/>
      <c r="E196" s="16" t="s">
        <v>24</v>
      </c>
      <c r="F196" s="16" t="n">
        <v>4776</v>
      </c>
      <c r="G196" s="18" t="n">
        <v>46058</v>
      </c>
      <c r="H196" s="18" t="n">
        <f aca="false">+G196+30</f>
        <v>46088</v>
      </c>
      <c r="I196" s="18"/>
      <c r="J196" s="19" t="n">
        <v>366858</v>
      </c>
      <c r="K196" s="19" t="n">
        <f aca="false">+J196</f>
        <v>366858</v>
      </c>
      <c r="L196" s="19" t="n">
        <f aca="false">+J196/1.19</f>
        <v>308284.033613445</v>
      </c>
      <c r="M196" s="19" t="n">
        <f aca="false">+L196*19%</f>
        <v>58573.9663865546</v>
      </c>
      <c r="N196" s="16" t="s">
        <v>121</v>
      </c>
      <c r="O196" s="20" t="n">
        <v>2026</v>
      </c>
      <c r="P196" s="21" t="n">
        <f aca="false">+J196</f>
        <v>366858</v>
      </c>
      <c r="Q196" s="19" t="n">
        <f aca="false">+J196-P196</f>
        <v>0</v>
      </c>
      <c r="R196" s="22" t="str">
        <f aca="false">IF(J196-P196=0,"PAGADA","PENDIENTE")</f>
        <v>PAGADA</v>
      </c>
      <c r="S196" s="18" t="n">
        <v>46080</v>
      </c>
      <c r="T196" s="16"/>
      <c r="U196" s="16"/>
      <c r="V196" s="16"/>
      <c r="W196" s="16"/>
      <c r="X196" s="16"/>
    </row>
    <row r="197" s="8" customFormat="true" ht="13.5" hidden="false" customHeight="false" outlineLevel="0" collapsed="false">
      <c r="A197" s="16" t="s">
        <v>53</v>
      </c>
      <c r="B197" s="16" t="s">
        <v>54</v>
      </c>
      <c r="C197" s="17"/>
      <c r="D197" s="17"/>
      <c r="E197" s="16" t="s">
        <v>24</v>
      </c>
      <c r="F197" s="16" t="n">
        <v>4777</v>
      </c>
      <c r="G197" s="18" t="n">
        <v>46058</v>
      </c>
      <c r="H197" s="18" t="n">
        <f aca="false">+G197+30</f>
        <v>46088</v>
      </c>
      <c r="I197" s="18"/>
      <c r="J197" s="19" t="n">
        <v>735087</v>
      </c>
      <c r="K197" s="19" t="n">
        <f aca="false">+J197</f>
        <v>735087</v>
      </c>
      <c r="L197" s="19" t="n">
        <f aca="false">+J197/1.19</f>
        <v>617720.168067227</v>
      </c>
      <c r="M197" s="19" t="n">
        <f aca="false">+L197*19%</f>
        <v>117366.831932773</v>
      </c>
      <c r="N197" s="16" t="s">
        <v>121</v>
      </c>
      <c r="O197" s="20" t="n">
        <v>2026</v>
      </c>
      <c r="P197" s="21" t="n">
        <f aca="false">+J197</f>
        <v>735087</v>
      </c>
      <c r="Q197" s="19" t="n">
        <f aca="false">+J197-P197</f>
        <v>0</v>
      </c>
      <c r="R197" s="22" t="str">
        <f aca="false">IF(J197-P197=0,"PAGADA","PENDIENTE")</f>
        <v>PAGADA</v>
      </c>
      <c r="S197" s="18" t="n">
        <v>46080</v>
      </c>
      <c r="T197" s="16"/>
      <c r="U197" s="16"/>
      <c r="V197" s="16"/>
      <c r="W197" s="16"/>
      <c r="X197" s="16"/>
    </row>
    <row r="198" s="8" customFormat="true" ht="13.5" hidden="false" customHeight="false" outlineLevel="0" collapsed="false">
      <c r="A198" s="24" t="s">
        <v>53</v>
      </c>
      <c r="B198" s="24" t="s">
        <v>54</v>
      </c>
      <c r="C198" s="25"/>
      <c r="D198" s="25"/>
      <c r="E198" s="24" t="s">
        <v>35</v>
      </c>
      <c r="F198" s="24" t="n">
        <v>476</v>
      </c>
      <c r="G198" s="26" t="n">
        <v>46058</v>
      </c>
      <c r="H198" s="26" t="n">
        <f aca="false">+G198+30</f>
        <v>46088</v>
      </c>
      <c r="I198" s="26"/>
      <c r="J198" s="21" t="n">
        <v>-715880</v>
      </c>
      <c r="K198" s="21" t="n">
        <f aca="false">+J198</f>
        <v>-715880</v>
      </c>
      <c r="L198" s="21" t="n">
        <f aca="false">+J198/1.19</f>
        <v>-601579.831932773</v>
      </c>
      <c r="M198" s="21" t="n">
        <f aca="false">+L198*19%</f>
        <v>-114300.168067227</v>
      </c>
      <c r="N198" s="24" t="s">
        <v>121</v>
      </c>
      <c r="O198" s="27" t="n">
        <v>2026</v>
      </c>
      <c r="P198" s="21" t="n">
        <f aca="false">+J198</f>
        <v>-715880</v>
      </c>
      <c r="Q198" s="21" t="n">
        <f aca="false">+J198-P198</f>
        <v>0</v>
      </c>
      <c r="R198" s="28" t="str">
        <f aca="false">IF(J198-P198=0,"PAGADA","PENDIENTE")</f>
        <v>PAGADA</v>
      </c>
      <c r="S198" s="24" t="s">
        <v>36</v>
      </c>
      <c r="T198" s="24"/>
      <c r="U198" s="24"/>
      <c r="V198" s="24"/>
      <c r="W198" s="24"/>
      <c r="X198" s="24"/>
    </row>
    <row r="199" s="8" customFormat="true" ht="13.5" hidden="false" customHeight="false" outlineLevel="0" collapsed="false">
      <c r="A199" s="16" t="s">
        <v>22</v>
      </c>
      <c r="B199" s="16" t="s">
        <v>23</v>
      </c>
      <c r="C199" s="17"/>
      <c r="D199" s="17"/>
      <c r="E199" s="16" t="s">
        <v>24</v>
      </c>
      <c r="F199" s="16" t="n">
        <v>4778</v>
      </c>
      <c r="G199" s="18" t="n">
        <v>46064</v>
      </c>
      <c r="H199" s="18" t="n">
        <f aca="false">+G199+30</f>
        <v>46094</v>
      </c>
      <c r="I199" s="18"/>
      <c r="J199" s="19" t="n">
        <v>121413</v>
      </c>
      <c r="K199" s="19" t="n">
        <f aca="false">+J199</f>
        <v>121413</v>
      </c>
      <c r="L199" s="19" t="n">
        <f aca="false">+J199/1.19</f>
        <v>102027.731092437</v>
      </c>
      <c r="M199" s="19" t="n">
        <f aca="false">+L199*19%</f>
        <v>19385.268907563</v>
      </c>
      <c r="N199" s="16" t="s">
        <v>121</v>
      </c>
      <c r="O199" s="20" t="n">
        <v>2026</v>
      </c>
      <c r="P199" s="21" t="n">
        <f aca="false">+J199</f>
        <v>121413</v>
      </c>
      <c r="Q199" s="19" t="n">
        <f aca="false">+J199-P199</f>
        <v>0</v>
      </c>
      <c r="R199" s="22" t="str">
        <f aca="false">IF(J199-P199=0,"PAGADA","PENDIENTE")</f>
        <v>PAGADA</v>
      </c>
      <c r="S199" s="18" t="n">
        <v>46087</v>
      </c>
      <c r="T199" s="16"/>
      <c r="U199" s="16"/>
      <c r="V199" s="16"/>
      <c r="W199" s="16"/>
      <c r="X199" s="16"/>
    </row>
    <row r="200" s="7" customFormat="true" ht="13.5" hidden="false" customHeight="false" outlineLevel="0" collapsed="false">
      <c r="A200" s="16" t="s">
        <v>64</v>
      </c>
      <c r="B200" s="16" t="s">
        <v>65</v>
      </c>
      <c r="C200" s="17"/>
      <c r="D200" s="17"/>
      <c r="E200" s="16" t="s">
        <v>24</v>
      </c>
      <c r="F200" s="16" t="n">
        <v>4779</v>
      </c>
      <c r="G200" s="18" t="n">
        <v>46064</v>
      </c>
      <c r="H200" s="18" t="n">
        <f aca="false">+G200+30</f>
        <v>46094</v>
      </c>
      <c r="I200" s="18"/>
      <c r="J200" s="19" t="n">
        <v>64936798</v>
      </c>
      <c r="K200" s="19" t="n">
        <f aca="false">+J200</f>
        <v>64936798</v>
      </c>
      <c r="L200" s="19" t="n">
        <f aca="false">+J200/1.19</f>
        <v>54568737.8151261</v>
      </c>
      <c r="M200" s="19" t="n">
        <f aca="false">+L200*19%</f>
        <v>10368060.184874</v>
      </c>
      <c r="N200" s="16" t="s">
        <v>121</v>
      </c>
      <c r="O200" s="20" t="n">
        <v>2026</v>
      </c>
      <c r="P200" s="21" t="n">
        <f aca="false">+J200</f>
        <v>64936798</v>
      </c>
      <c r="Q200" s="19" t="n">
        <f aca="false">+J200-P200</f>
        <v>0</v>
      </c>
      <c r="R200" s="22" t="str">
        <f aca="false">IF(J200-P200=0,"PAGADA","PENDIENTE")</f>
        <v>PAGADA</v>
      </c>
      <c r="S200" s="18" t="n">
        <v>46094</v>
      </c>
      <c r="T200" s="16"/>
      <c r="U200" s="16"/>
      <c r="V200" s="16"/>
      <c r="W200" s="16"/>
      <c r="X200" s="16"/>
    </row>
    <row r="201" s="8" customFormat="true" ht="13.5" hidden="false" customHeight="false" outlineLevel="0" collapsed="false">
      <c r="A201" s="16" t="s">
        <v>43</v>
      </c>
      <c r="B201" s="16" t="s">
        <v>44</v>
      </c>
      <c r="C201" s="17"/>
      <c r="D201" s="17"/>
      <c r="E201" s="16" t="s">
        <v>24</v>
      </c>
      <c r="F201" s="16" t="n">
        <v>4780</v>
      </c>
      <c r="G201" s="18" t="n">
        <v>46072</v>
      </c>
      <c r="H201" s="18" t="n">
        <f aca="false">+G201+30</f>
        <v>46102</v>
      </c>
      <c r="I201" s="18"/>
      <c r="J201" s="19" t="n">
        <v>4466963</v>
      </c>
      <c r="K201" s="19" t="n">
        <f aca="false">+J201</f>
        <v>4466963</v>
      </c>
      <c r="L201" s="19" t="n">
        <f aca="false">+J201/1.19</f>
        <v>3753750.42016807</v>
      </c>
      <c r="M201" s="19" t="n">
        <f aca="false">+L201*19%</f>
        <v>713212.579831933</v>
      </c>
      <c r="N201" s="16" t="s">
        <v>121</v>
      </c>
      <c r="O201" s="20" t="n">
        <v>2026</v>
      </c>
      <c r="P201" s="21" t="n">
        <f aca="false">+J201</f>
        <v>4466963</v>
      </c>
      <c r="Q201" s="19" t="n">
        <f aca="false">+J201-P201</f>
        <v>0</v>
      </c>
      <c r="R201" s="22" t="str">
        <f aca="false">IF(J201-P201=0,"PAGADA","PENDIENTE")</f>
        <v>PAGADA</v>
      </c>
      <c r="S201" s="18" t="n">
        <v>46118</v>
      </c>
      <c r="T201" s="16"/>
      <c r="U201" s="16"/>
      <c r="V201" s="16"/>
      <c r="W201" s="16"/>
      <c r="X201" s="16"/>
    </row>
    <row r="202" s="8" customFormat="true" ht="13.5" hidden="false" customHeight="false" outlineLevel="0" collapsed="false">
      <c r="A202" s="16" t="s">
        <v>59</v>
      </c>
      <c r="B202" s="16" t="s">
        <v>60</v>
      </c>
      <c r="C202" s="17"/>
      <c r="D202" s="17"/>
      <c r="E202" s="16" t="s">
        <v>24</v>
      </c>
      <c r="F202" s="16" t="n">
        <v>4781</v>
      </c>
      <c r="G202" s="18" t="n">
        <v>46072</v>
      </c>
      <c r="H202" s="18" t="n">
        <f aca="false">+G202+30</f>
        <v>46102</v>
      </c>
      <c r="I202" s="18"/>
      <c r="J202" s="19" t="n">
        <v>20209394</v>
      </c>
      <c r="K202" s="19" t="n">
        <f aca="false">+J202</f>
        <v>20209394</v>
      </c>
      <c r="L202" s="19" t="n">
        <f aca="false">+J202/1.19</f>
        <v>16982684.0336134</v>
      </c>
      <c r="M202" s="19" t="n">
        <f aca="false">+L202*19%</f>
        <v>3226709.96638655</v>
      </c>
      <c r="N202" s="16" t="s">
        <v>121</v>
      </c>
      <c r="O202" s="20" t="n">
        <v>2026</v>
      </c>
      <c r="P202" s="21" t="n">
        <f aca="false">+J202</f>
        <v>20209394</v>
      </c>
      <c r="Q202" s="19" t="n">
        <f aca="false">+J202-P202</f>
        <v>0</v>
      </c>
      <c r="R202" s="22" t="str">
        <f aca="false">IF(J202-P202=0,"PAGADA","PENDIENTE")</f>
        <v>PAGADA</v>
      </c>
      <c r="S202" s="18" t="n">
        <v>46106</v>
      </c>
      <c r="T202" s="16"/>
      <c r="U202" s="16"/>
      <c r="V202" s="16"/>
      <c r="W202" s="16"/>
      <c r="X202" s="16"/>
    </row>
    <row r="203" s="8" customFormat="true" ht="13.5" hidden="false" customHeight="false" outlineLevel="0" collapsed="false">
      <c r="A203" s="16" t="s">
        <v>59</v>
      </c>
      <c r="B203" s="16" t="s">
        <v>60</v>
      </c>
      <c r="C203" s="17"/>
      <c r="D203" s="17"/>
      <c r="E203" s="16" t="s">
        <v>24</v>
      </c>
      <c r="F203" s="16" t="n">
        <v>4782</v>
      </c>
      <c r="G203" s="18" t="n">
        <v>46072</v>
      </c>
      <c r="H203" s="18" t="n">
        <f aca="false">+G203+30</f>
        <v>46102</v>
      </c>
      <c r="I203" s="18"/>
      <c r="J203" s="19" t="n">
        <v>1785000</v>
      </c>
      <c r="K203" s="19" t="n">
        <f aca="false">+J203</f>
        <v>1785000</v>
      </c>
      <c r="L203" s="19" t="n">
        <f aca="false">+J203/1.19</f>
        <v>1500000</v>
      </c>
      <c r="M203" s="19" t="n">
        <f aca="false">+L203*19%</f>
        <v>285000</v>
      </c>
      <c r="N203" s="16" t="s">
        <v>121</v>
      </c>
      <c r="O203" s="20" t="n">
        <v>2026</v>
      </c>
      <c r="P203" s="21" t="n">
        <f aca="false">+J203</f>
        <v>1785000</v>
      </c>
      <c r="Q203" s="19" t="n">
        <f aca="false">+J203-P203</f>
        <v>0</v>
      </c>
      <c r="R203" s="22" t="str">
        <f aca="false">IF(J203-P203=0,"PAGADA","PENDIENTE")</f>
        <v>PAGADA</v>
      </c>
      <c r="S203" s="18" t="n">
        <v>46106</v>
      </c>
      <c r="T203" s="16"/>
      <c r="U203" s="16"/>
      <c r="V203" s="16"/>
      <c r="W203" s="16"/>
      <c r="X203" s="16"/>
    </row>
    <row r="204" s="8" customFormat="true" ht="13.5" hidden="false" customHeight="false" outlineLevel="0" collapsed="false">
      <c r="A204" s="16" t="s">
        <v>26</v>
      </c>
      <c r="B204" s="16" t="s">
        <v>27</v>
      </c>
      <c r="C204" s="17"/>
      <c r="D204" s="17"/>
      <c r="E204" s="16" t="s">
        <v>24</v>
      </c>
      <c r="F204" s="16" t="n">
        <v>4783</v>
      </c>
      <c r="G204" s="18" t="n">
        <v>46072</v>
      </c>
      <c r="H204" s="18" t="n">
        <f aca="false">+G204+30</f>
        <v>46102</v>
      </c>
      <c r="I204" s="18"/>
      <c r="J204" s="19" t="n">
        <v>1130500</v>
      </c>
      <c r="K204" s="19" t="n">
        <f aca="false">+J204</f>
        <v>1130500</v>
      </c>
      <c r="L204" s="19" t="n">
        <f aca="false">+J204/1.19</f>
        <v>950000</v>
      </c>
      <c r="M204" s="19" t="n">
        <f aca="false">+L204*19%</f>
        <v>180500</v>
      </c>
      <c r="N204" s="16" t="s">
        <v>121</v>
      </c>
      <c r="O204" s="20" t="n">
        <v>2026</v>
      </c>
      <c r="P204" s="21" t="n">
        <f aca="false">+J204</f>
        <v>1130500</v>
      </c>
      <c r="Q204" s="19" t="n">
        <f aca="false">+J204-P204</f>
        <v>0</v>
      </c>
      <c r="R204" s="22" t="str">
        <f aca="false">IF(J204-P204=0,"PAGADA","PENDIENTE")</f>
        <v>PAGADA</v>
      </c>
      <c r="S204" s="18" t="n">
        <v>46108</v>
      </c>
      <c r="T204" s="16"/>
      <c r="U204" s="16"/>
      <c r="V204" s="16"/>
      <c r="W204" s="16"/>
      <c r="X204" s="16"/>
    </row>
    <row r="205" s="8" customFormat="true" ht="13.5" hidden="false" customHeight="false" outlineLevel="0" collapsed="false">
      <c r="A205" s="16" t="s">
        <v>26</v>
      </c>
      <c r="B205" s="16" t="s">
        <v>27</v>
      </c>
      <c r="C205" s="17"/>
      <c r="D205" s="17"/>
      <c r="E205" s="16" t="s">
        <v>24</v>
      </c>
      <c r="F205" s="16" t="n">
        <v>4784</v>
      </c>
      <c r="G205" s="18" t="n">
        <v>46072</v>
      </c>
      <c r="H205" s="18" t="n">
        <f aca="false">+G205+30</f>
        <v>46102</v>
      </c>
      <c r="I205" s="18"/>
      <c r="J205" s="19" t="n">
        <v>22610</v>
      </c>
      <c r="K205" s="19" t="n">
        <f aca="false">+J205</f>
        <v>22610</v>
      </c>
      <c r="L205" s="19" t="n">
        <f aca="false">+J205/1.19</f>
        <v>19000</v>
      </c>
      <c r="M205" s="19" t="n">
        <f aca="false">+L205*19%</f>
        <v>3610</v>
      </c>
      <c r="N205" s="16" t="s">
        <v>121</v>
      </c>
      <c r="O205" s="20" t="n">
        <v>2026</v>
      </c>
      <c r="P205" s="21" t="n">
        <f aca="false">+J205</f>
        <v>22610</v>
      </c>
      <c r="Q205" s="19" t="n">
        <f aca="false">+J205-P205</f>
        <v>0</v>
      </c>
      <c r="R205" s="22" t="str">
        <f aca="false">IF(J205-P205=0,"PAGADA","PENDIENTE")</f>
        <v>PAGADA</v>
      </c>
      <c r="S205" s="18" t="n">
        <v>46108</v>
      </c>
      <c r="T205" s="16"/>
      <c r="U205" s="16"/>
      <c r="V205" s="16"/>
      <c r="W205" s="16"/>
      <c r="X205" s="16"/>
    </row>
    <row r="206" s="8" customFormat="true" ht="13.5" hidden="false" customHeight="false" outlineLevel="0" collapsed="false">
      <c r="A206" s="16" t="s">
        <v>26</v>
      </c>
      <c r="B206" s="16" t="s">
        <v>27</v>
      </c>
      <c r="C206" s="17"/>
      <c r="D206" s="17"/>
      <c r="E206" s="16" t="s">
        <v>24</v>
      </c>
      <c r="F206" s="16" t="n">
        <v>4785</v>
      </c>
      <c r="G206" s="18" t="n">
        <v>46072</v>
      </c>
      <c r="H206" s="18" t="n">
        <f aca="false">+G206+30</f>
        <v>46102</v>
      </c>
      <c r="I206" s="18"/>
      <c r="J206" s="19" t="n">
        <v>5157082</v>
      </c>
      <c r="K206" s="19" t="n">
        <f aca="false">+J206</f>
        <v>5157082</v>
      </c>
      <c r="L206" s="19" t="n">
        <f aca="false">+J206/1.19</f>
        <v>4333682.35294118</v>
      </c>
      <c r="M206" s="19" t="n">
        <f aca="false">+L206*19%</f>
        <v>823399.647058824</v>
      </c>
      <c r="N206" s="16" t="s">
        <v>121</v>
      </c>
      <c r="O206" s="20" t="n">
        <v>2026</v>
      </c>
      <c r="P206" s="21" t="n">
        <f aca="false">+J206</f>
        <v>5157082</v>
      </c>
      <c r="Q206" s="19" t="n">
        <f aca="false">+J206-P206</f>
        <v>0</v>
      </c>
      <c r="R206" s="22" t="str">
        <f aca="false">IF(J206-P206=0,"PAGADA","PENDIENTE")</f>
        <v>PAGADA</v>
      </c>
      <c r="S206" s="18" t="n">
        <v>46108</v>
      </c>
      <c r="T206" s="16"/>
      <c r="U206" s="16"/>
      <c r="V206" s="16"/>
      <c r="W206" s="16"/>
      <c r="X206" s="16"/>
    </row>
    <row r="207" s="8" customFormat="true" ht="13.5" hidden="false" customHeight="false" outlineLevel="0" collapsed="false">
      <c r="A207" s="16" t="s">
        <v>26</v>
      </c>
      <c r="B207" s="16" t="s">
        <v>27</v>
      </c>
      <c r="C207" s="17"/>
      <c r="D207" s="17"/>
      <c r="E207" s="16" t="s">
        <v>24</v>
      </c>
      <c r="F207" s="16" t="n">
        <v>4786</v>
      </c>
      <c r="G207" s="18" t="n">
        <v>46072</v>
      </c>
      <c r="H207" s="18" t="n">
        <f aca="false">+G207+30</f>
        <v>46102</v>
      </c>
      <c r="I207" s="18"/>
      <c r="J207" s="19" t="n">
        <v>11155001</v>
      </c>
      <c r="K207" s="19" t="n">
        <f aca="false">+J207</f>
        <v>11155001</v>
      </c>
      <c r="L207" s="19" t="n">
        <f aca="false">+J207/1.19</f>
        <v>9373950.42016807</v>
      </c>
      <c r="M207" s="19" t="n">
        <f aca="false">+L207*19%</f>
        <v>1781050.57983193</v>
      </c>
      <c r="N207" s="16" t="s">
        <v>121</v>
      </c>
      <c r="O207" s="20" t="n">
        <v>2026</v>
      </c>
      <c r="P207" s="21" t="n">
        <f aca="false">+J207</f>
        <v>11155001</v>
      </c>
      <c r="Q207" s="19" t="n">
        <f aca="false">+J207-P207</f>
        <v>0</v>
      </c>
      <c r="R207" s="22" t="str">
        <f aca="false">IF(J207-P207=0,"PAGADA","PENDIENTE")</f>
        <v>PAGADA</v>
      </c>
      <c r="S207" s="18" t="n">
        <v>46108</v>
      </c>
      <c r="T207" s="16"/>
      <c r="U207" s="16"/>
      <c r="V207" s="16"/>
      <c r="W207" s="16"/>
      <c r="X207" s="16"/>
    </row>
    <row r="208" s="8" customFormat="true" ht="13.5" hidden="false" customHeight="false" outlineLevel="0" collapsed="false">
      <c r="A208" s="16" t="s">
        <v>26</v>
      </c>
      <c r="B208" s="16" t="s">
        <v>27</v>
      </c>
      <c r="C208" s="17"/>
      <c r="D208" s="17"/>
      <c r="E208" s="16" t="s">
        <v>24</v>
      </c>
      <c r="F208" s="16" t="n">
        <v>4787</v>
      </c>
      <c r="G208" s="18" t="n">
        <v>46072</v>
      </c>
      <c r="H208" s="18" t="n">
        <f aca="false">+G208+30</f>
        <v>46102</v>
      </c>
      <c r="I208" s="18"/>
      <c r="J208" s="19" t="n">
        <v>455169</v>
      </c>
      <c r="K208" s="19" t="n">
        <f aca="false">+J208</f>
        <v>455169</v>
      </c>
      <c r="L208" s="19" t="n">
        <f aca="false">+J208/1.19</f>
        <v>382494.957983193</v>
      </c>
      <c r="M208" s="19" t="n">
        <f aca="false">+L208*19%</f>
        <v>72674.0420168067</v>
      </c>
      <c r="N208" s="16" t="s">
        <v>121</v>
      </c>
      <c r="O208" s="20" t="n">
        <v>2026</v>
      </c>
      <c r="P208" s="21" t="n">
        <f aca="false">+J208</f>
        <v>455169</v>
      </c>
      <c r="Q208" s="19" t="n">
        <f aca="false">+J208-P208</f>
        <v>0</v>
      </c>
      <c r="R208" s="22" t="str">
        <f aca="false">IF(J208-P208=0,"PAGADA","PENDIENTE")</f>
        <v>PAGADA</v>
      </c>
      <c r="S208" s="18" t="n">
        <v>46108</v>
      </c>
      <c r="T208" s="16"/>
      <c r="U208" s="16"/>
      <c r="V208" s="16"/>
      <c r="W208" s="16"/>
      <c r="X208" s="16"/>
    </row>
    <row r="209" s="8" customFormat="true" ht="13.5" hidden="false" customHeight="false" outlineLevel="0" collapsed="false">
      <c r="A209" s="16" t="s">
        <v>22</v>
      </c>
      <c r="B209" s="16" t="s">
        <v>23</v>
      </c>
      <c r="C209" s="17"/>
      <c r="D209" s="17"/>
      <c r="E209" s="16" t="s">
        <v>24</v>
      </c>
      <c r="F209" s="16" t="n">
        <v>4788</v>
      </c>
      <c r="G209" s="18" t="n">
        <v>46072</v>
      </c>
      <c r="H209" s="18" t="n">
        <f aca="false">+G209+30</f>
        <v>46102</v>
      </c>
      <c r="I209" s="18"/>
      <c r="J209" s="19" t="n">
        <v>128699</v>
      </c>
      <c r="K209" s="19" t="n">
        <f aca="false">+J209</f>
        <v>128699</v>
      </c>
      <c r="L209" s="19" t="n">
        <f aca="false">+J209/1.19</f>
        <v>108150.420168067</v>
      </c>
      <c r="M209" s="19" t="n">
        <f aca="false">+L209*19%</f>
        <v>20548.5798319328</v>
      </c>
      <c r="N209" s="16" t="s">
        <v>121</v>
      </c>
      <c r="O209" s="20" t="n">
        <v>2026</v>
      </c>
      <c r="P209" s="21" t="n">
        <f aca="false">+J209</f>
        <v>128699</v>
      </c>
      <c r="Q209" s="19" t="n">
        <f aca="false">+J209-P209</f>
        <v>0</v>
      </c>
      <c r="R209" s="22" t="str">
        <f aca="false">IF(J209-P209=0,"PAGADA","PENDIENTE")</f>
        <v>PAGADA</v>
      </c>
      <c r="S209" s="18" t="n">
        <v>46100</v>
      </c>
      <c r="T209" s="16"/>
      <c r="U209" s="16"/>
      <c r="V209" s="16"/>
      <c r="W209" s="16"/>
      <c r="X209" s="16"/>
    </row>
    <row r="210" s="8" customFormat="true" ht="13.5" hidden="false" customHeight="false" outlineLevel="0" collapsed="false">
      <c r="A210" s="16" t="s">
        <v>22</v>
      </c>
      <c r="B210" s="16" t="s">
        <v>23</v>
      </c>
      <c r="C210" s="17"/>
      <c r="D210" s="17"/>
      <c r="E210" s="16" t="s">
        <v>24</v>
      </c>
      <c r="F210" s="16" t="n">
        <v>4789</v>
      </c>
      <c r="G210" s="18" t="n">
        <v>46072</v>
      </c>
      <c r="H210" s="18" t="n">
        <f aca="false">+G210+30</f>
        <v>46102</v>
      </c>
      <c r="I210" s="18"/>
      <c r="J210" s="19" t="n">
        <v>110215</v>
      </c>
      <c r="K210" s="19" t="n">
        <f aca="false">+J210</f>
        <v>110215</v>
      </c>
      <c r="L210" s="19" t="n">
        <f aca="false">+J210/1.19</f>
        <v>92617.6470588235</v>
      </c>
      <c r="M210" s="19" t="n">
        <f aca="false">+L210*19%</f>
        <v>17597.3529411765</v>
      </c>
      <c r="N210" s="16" t="s">
        <v>121</v>
      </c>
      <c r="O210" s="20" t="n">
        <v>2026</v>
      </c>
      <c r="P210" s="21" t="n">
        <f aca="false">+J210</f>
        <v>110215</v>
      </c>
      <c r="Q210" s="19" t="n">
        <f aca="false">+J210-P210</f>
        <v>0</v>
      </c>
      <c r="R210" s="22" t="str">
        <f aca="false">IF(J210-P210=0,"PAGADA","PENDIENTE")</f>
        <v>PAGADA</v>
      </c>
      <c r="S210" s="18" t="n">
        <v>46100</v>
      </c>
      <c r="T210" s="16"/>
      <c r="U210" s="16"/>
      <c r="V210" s="16"/>
      <c r="W210" s="16"/>
      <c r="X210" s="16"/>
    </row>
    <row r="211" s="8" customFormat="true" ht="13.5" hidden="false" customHeight="false" outlineLevel="0" collapsed="false">
      <c r="A211" s="16" t="s">
        <v>88</v>
      </c>
      <c r="B211" s="16" t="s">
        <v>89</v>
      </c>
      <c r="C211" s="17"/>
      <c r="D211" s="17"/>
      <c r="E211" s="16" t="s">
        <v>24</v>
      </c>
      <c r="F211" s="16" t="n">
        <v>4790</v>
      </c>
      <c r="G211" s="18" t="n">
        <v>46072</v>
      </c>
      <c r="H211" s="18" t="n">
        <f aca="false">+G211+30</f>
        <v>46102</v>
      </c>
      <c r="I211" s="18"/>
      <c r="J211" s="19" t="n">
        <v>5730321</v>
      </c>
      <c r="K211" s="19" t="n">
        <f aca="false">+J211</f>
        <v>5730321</v>
      </c>
      <c r="L211" s="19" t="n">
        <f aca="false">+J211/1.19</f>
        <v>4815395.79831933</v>
      </c>
      <c r="M211" s="19" t="n">
        <f aca="false">+L211*19%</f>
        <v>914925.201680672</v>
      </c>
      <c r="N211" s="16" t="s">
        <v>121</v>
      </c>
      <c r="O211" s="20" t="n">
        <v>2026</v>
      </c>
      <c r="P211" s="21" t="n">
        <f aca="false">+J211</f>
        <v>5730321</v>
      </c>
      <c r="Q211" s="19" t="n">
        <f aca="false">+J211-P211</f>
        <v>0</v>
      </c>
      <c r="R211" s="22" t="str">
        <f aca="false">IF(J211-P211=0,"PAGADA","PENDIENTE")</f>
        <v>PAGADA</v>
      </c>
      <c r="S211" s="18" t="n">
        <v>46080</v>
      </c>
      <c r="T211" s="16"/>
      <c r="U211" s="16"/>
      <c r="V211" s="16"/>
      <c r="W211" s="16"/>
      <c r="X211" s="16"/>
    </row>
    <row r="212" s="8" customFormat="true" ht="13.5" hidden="false" customHeight="false" outlineLevel="0" collapsed="false">
      <c r="A212" s="16" t="s">
        <v>127</v>
      </c>
      <c r="B212" s="16" t="s">
        <v>128</v>
      </c>
      <c r="C212" s="17"/>
      <c r="D212" s="17"/>
      <c r="E212" s="16" t="s">
        <v>24</v>
      </c>
      <c r="F212" s="16" t="n">
        <v>4791</v>
      </c>
      <c r="G212" s="18" t="n">
        <v>46073</v>
      </c>
      <c r="H212" s="18" t="n">
        <f aca="false">+G212+30</f>
        <v>46103</v>
      </c>
      <c r="I212" s="18"/>
      <c r="J212" s="19" t="n">
        <v>2826387</v>
      </c>
      <c r="K212" s="19" t="n">
        <f aca="false">+J212</f>
        <v>2826387</v>
      </c>
      <c r="L212" s="19" t="n">
        <f aca="false">+J212/1.19</f>
        <v>2375115.12605042</v>
      </c>
      <c r="M212" s="19" t="n">
        <f aca="false">+L212*19%</f>
        <v>451271.87394958</v>
      </c>
      <c r="N212" s="16" t="s">
        <v>121</v>
      </c>
      <c r="O212" s="20" t="n">
        <v>2026</v>
      </c>
      <c r="P212" s="21" t="n">
        <f aca="false">+J212</f>
        <v>2826387</v>
      </c>
      <c r="Q212" s="19" t="n">
        <f aca="false">+J212-P212</f>
        <v>0</v>
      </c>
      <c r="R212" s="22" t="str">
        <f aca="false">IF(J212-P212=0,"PAGADA","PENDIENTE")</f>
        <v>PAGADA</v>
      </c>
      <c r="S212" s="16" t="s">
        <v>129</v>
      </c>
      <c r="T212" s="16"/>
      <c r="U212" s="16"/>
      <c r="V212" s="16"/>
      <c r="W212" s="16"/>
      <c r="X212" s="16"/>
    </row>
    <row r="213" s="8" customFormat="true" ht="13.5" hidden="false" customHeight="false" outlineLevel="0" collapsed="false">
      <c r="A213" s="16" t="s">
        <v>109</v>
      </c>
      <c r="B213" s="16" t="s">
        <v>50</v>
      </c>
      <c r="C213" s="17"/>
      <c r="D213" s="17"/>
      <c r="E213" s="16" t="s">
        <v>24</v>
      </c>
      <c r="F213" s="16" t="n">
        <v>4792</v>
      </c>
      <c r="G213" s="18" t="n">
        <v>46073</v>
      </c>
      <c r="H213" s="18" t="n">
        <f aca="false">+G213+30</f>
        <v>46103</v>
      </c>
      <c r="I213" s="18"/>
      <c r="J213" s="19" t="n">
        <v>35567439</v>
      </c>
      <c r="K213" s="19" t="n">
        <f aca="false">+J213</f>
        <v>35567439</v>
      </c>
      <c r="L213" s="19" t="n">
        <f aca="false">+J213/1.19</f>
        <v>29888604.2016807</v>
      </c>
      <c r="M213" s="19" t="n">
        <f aca="false">+L213*19%</f>
        <v>5678834.79831933</v>
      </c>
      <c r="N213" s="16" t="s">
        <v>121</v>
      </c>
      <c r="O213" s="20" t="n">
        <v>2026</v>
      </c>
      <c r="P213" s="21" t="n">
        <f aca="false">+J213</f>
        <v>35567439</v>
      </c>
      <c r="Q213" s="19" t="n">
        <f aca="false">+J213-P213</f>
        <v>0</v>
      </c>
      <c r="R213" s="22" t="str">
        <f aca="false">IF(J213-P213=0,"PAGADA","PENDIENTE")</f>
        <v>PAGADA</v>
      </c>
      <c r="S213" s="18" t="n">
        <v>46083</v>
      </c>
      <c r="T213" s="16"/>
      <c r="U213" s="16"/>
      <c r="V213" s="16"/>
      <c r="W213" s="16"/>
      <c r="X213" s="16"/>
    </row>
    <row r="214" s="8" customFormat="true" ht="13.5" hidden="false" customHeight="false" outlineLevel="0" collapsed="false">
      <c r="A214" s="16" t="s">
        <v>39</v>
      </c>
      <c r="B214" s="16" t="s">
        <v>40</v>
      </c>
      <c r="C214" s="17"/>
      <c r="D214" s="17"/>
      <c r="E214" s="16" t="s">
        <v>24</v>
      </c>
      <c r="F214" s="16" t="n">
        <v>4793</v>
      </c>
      <c r="G214" s="18" t="n">
        <v>46078</v>
      </c>
      <c r="H214" s="18" t="n">
        <f aca="false">+G214+30</f>
        <v>46108</v>
      </c>
      <c r="I214" s="18"/>
      <c r="J214" s="19" t="n">
        <v>1874250</v>
      </c>
      <c r="K214" s="19" t="n">
        <f aca="false">+J214</f>
        <v>1874250</v>
      </c>
      <c r="L214" s="19" t="n">
        <f aca="false">+J214/1.19</f>
        <v>1575000</v>
      </c>
      <c r="M214" s="19" t="n">
        <f aca="false">+L214*19%</f>
        <v>299250</v>
      </c>
      <c r="N214" s="16" t="s">
        <v>121</v>
      </c>
      <c r="O214" s="20" t="n">
        <v>2026</v>
      </c>
      <c r="P214" s="21" t="n">
        <f aca="false">+J214</f>
        <v>1874250</v>
      </c>
      <c r="Q214" s="19" t="n">
        <f aca="false">+J214-P214</f>
        <v>0</v>
      </c>
      <c r="R214" s="22" t="str">
        <f aca="false">IF(J214-P214=0,"PAGADA","PENDIENTE")</f>
        <v>PAGADA</v>
      </c>
      <c r="S214" s="18" t="n">
        <v>46108</v>
      </c>
      <c r="T214" s="16"/>
      <c r="U214" s="16"/>
      <c r="V214" s="16"/>
      <c r="W214" s="16"/>
      <c r="X214" s="16"/>
    </row>
    <row r="215" s="8" customFormat="true" ht="13.5" hidden="false" customHeight="false" outlineLevel="0" collapsed="false">
      <c r="A215" s="16" t="s">
        <v>39</v>
      </c>
      <c r="B215" s="16" t="s">
        <v>40</v>
      </c>
      <c r="C215" s="17"/>
      <c r="D215" s="17"/>
      <c r="E215" s="16" t="s">
        <v>24</v>
      </c>
      <c r="F215" s="16" t="n">
        <v>4794</v>
      </c>
      <c r="G215" s="18" t="n">
        <v>46078</v>
      </c>
      <c r="H215" s="18" t="n">
        <f aca="false">+G215+30</f>
        <v>46108</v>
      </c>
      <c r="I215" s="18"/>
      <c r="J215" s="19" t="n">
        <v>14482736</v>
      </c>
      <c r="K215" s="19" t="n">
        <f aca="false">+J215</f>
        <v>14482736</v>
      </c>
      <c r="L215" s="19" t="n">
        <f aca="false">+J215/1.19</f>
        <v>12170366.3865546</v>
      </c>
      <c r="M215" s="19" t="n">
        <f aca="false">+L215*19%</f>
        <v>2312369.61344538</v>
      </c>
      <c r="N215" s="16" t="s">
        <v>121</v>
      </c>
      <c r="O215" s="20" t="n">
        <v>2026</v>
      </c>
      <c r="P215" s="21" t="n">
        <f aca="false">+J215</f>
        <v>14482736</v>
      </c>
      <c r="Q215" s="19" t="n">
        <f aca="false">+J215-P215</f>
        <v>0</v>
      </c>
      <c r="R215" s="22" t="str">
        <f aca="false">IF(J215-P215=0,"PAGADA","PENDIENTE")</f>
        <v>PAGADA</v>
      </c>
      <c r="S215" s="18" t="n">
        <v>46108</v>
      </c>
      <c r="T215" s="16"/>
      <c r="U215" s="16"/>
      <c r="V215" s="16"/>
      <c r="W215" s="16"/>
      <c r="X215" s="16"/>
    </row>
    <row r="216" s="8" customFormat="true" ht="13.5" hidden="false" customHeight="false" outlineLevel="0" collapsed="false">
      <c r="A216" s="16" t="n">
        <v>0</v>
      </c>
      <c r="B216" s="16" t="s">
        <v>63</v>
      </c>
      <c r="C216" s="17"/>
      <c r="D216" s="17"/>
      <c r="E216" s="16" t="s">
        <v>24</v>
      </c>
      <c r="F216" s="16" t="n">
        <v>4795</v>
      </c>
      <c r="G216" s="18" t="n">
        <v>46078</v>
      </c>
      <c r="H216" s="18" t="n">
        <f aca="false">+G216+30</f>
        <v>46108</v>
      </c>
      <c r="I216" s="18"/>
      <c r="J216" s="19" t="n">
        <v>0</v>
      </c>
      <c r="K216" s="19" t="n">
        <f aca="false">+J216</f>
        <v>0</v>
      </c>
      <c r="L216" s="19" t="n">
        <f aca="false">+J216/1.19</f>
        <v>0</v>
      </c>
      <c r="M216" s="19" t="n">
        <f aca="false">+L216*19%</f>
        <v>0</v>
      </c>
      <c r="N216" s="16" t="s">
        <v>121</v>
      </c>
      <c r="O216" s="20" t="n">
        <v>2026</v>
      </c>
      <c r="P216" s="21"/>
      <c r="Q216" s="19" t="n">
        <f aca="false">+J216-P216</f>
        <v>0</v>
      </c>
      <c r="R216" s="22" t="str">
        <f aca="false">IF(J216-P216=0,"PAGADA","PENDIENTE")</f>
        <v>PAGADA</v>
      </c>
      <c r="S216" s="16"/>
      <c r="T216" s="16"/>
      <c r="U216" s="16"/>
      <c r="V216" s="16"/>
      <c r="W216" s="16"/>
      <c r="X216" s="16"/>
    </row>
    <row r="217" s="8" customFormat="true" ht="13.5" hidden="false" customHeight="false" outlineLevel="0" collapsed="false">
      <c r="A217" s="30" t="s">
        <v>64</v>
      </c>
      <c r="B217" s="30" t="s">
        <v>65</v>
      </c>
      <c r="C217" s="31" t="s">
        <v>61</v>
      </c>
      <c r="D217" s="31"/>
      <c r="E217" s="30" t="s">
        <v>24</v>
      </c>
      <c r="F217" s="30" t="n">
        <v>4796</v>
      </c>
      <c r="G217" s="32" t="n">
        <v>46078</v>
      </c>
      <c r="H217" s="32" t="n">
        <f aca="false">+G217+30</f>
        <v>46108</v>
      </c>
      <c r="I217" s="32"/>
      <c r="J217" s="33" t="n">
        <v>15043189</v>
      </c>
      <c r="K217" s="33" t="n">
        <f aca="false">+J217</f>
        <v>15043189</v>
      </c>
      <c r="L217" s="33" t="n">
        <f aca="false">+J217/1.19</f>
        <v>12641335.2941176</v>
      </c>
      <c r="M217" s="33" t="n">
        <f aca="false">+L217*19%</f>
        <v>2401853.70588235</v>
      </c>
      <c r="N217" s="30" t="s">
        <v>121</v>
      </c>
      <c r="O217" s="34" t="n">
        <v>2026</v>
      </c>
      <c r="P217" s="35" t="n">
        <f aca="false">+J217</f>
        <v>15043189</v>
      </c>
      <c r="Q217" s="33" t="n">
        <f aca="false">+J217-P217</f>
        <v>0</v>
      </c>
      <c r="R217" s="36" t="str">
        <f aca="false">IF(J217-P217=0,"PAGADA","PENDIENTE")</f>
        <v>PAGADA</v>
      </c>
      <c r="S217" s="32" t="n">
        <v>46108</v>
      </c>
      <c r="T217" s="30"/>
      <c r="U217" s="30"/>
      <c r="V217" s="30"/>
      <c r="W217" s="30"/>
      <c r="X217" s="30"/>
    </row>
    <row r="218" s="8" customFormat="true" ht="13.5" hidden="false" customHeight="false" outlineLevel="0" collapsed="false">
      <c r="A218" s="16" t="s">
        <v>78</v>
      </c>
      <c r="B218" s="16" t="s">
        <v>79</v>
      </c>
      <c r="C218" s="17"/>
      <c r="D218" s="17"/>
      <c r="E218" s="16" t="s">
        <v>24</v>
      </c>
      <c r="F218" s="16" t="n">
        <v>4797</v>
      </c>
      <c r="G218" s="18" t="n">
        <v>46083</v>
      </c>
      <c r="H218" s="18" t="n">
        <f aca="false">+G218+30</f>
        <v>46113</v>
      </c>
      <c r="I218" s="18"/>
      <c r="J218" s="19" t="n">
        <v>33624644</v>
      </c>
      <c r="K218" s="19" t="n">
        <f aca="false">+J218</f>
        <v>33624644</v>
      </c>
      <c r="L218" s="19" t="n">
        <f aca="false">+J218/1.19</f>
        <v>28256003.3613445</v>
      </c>
      <c r="M218" s="19" t="n">
        <f aca="false">+L218*19%</f>
        <v>5368640.63865546</v>
      </c>
      <c r="N218" s="16" t="s">
        <v>130</v>
      </c>
      <c r="O218" s="20" t="n">
        <v>2026</v>
      </c>
      <c r="P218" s="21" t="n">
        <f aca="false">+J218</f>
        <v>33624644</v>
      </c>
      <c r="Q218" s="19" t="n">
        <f aca="false">+J218-P218</f>
        <v>0</v>
      </c>
      <c r="R218" s="22" t="str">
        <f aca="false">IF(J218-P218=0,"PAGADA","PENDIENTE")</f>
        <v>PAGADA</v>
      </c>
      <c r="S218" s="18" t="n">
        <v>46113</v>
      </c>
      <c r="T218" s="16"/>
      <c r="U218" s="16"/>
      <c r="V218" s="16"/>
      <c r="W218" s="16"/>
      <c r="X218" s="16"/>
    </row>
    <row r="219" s="8" customFormat="true" ht="13.5" hidden="false" customHeight="false" outlineLevel="0" collapsed="false">
      <c r="A219" s="16" t="s">
        <v>131</v>
      </c>
      <c r="B219" s="16" t="s">
        <v>132</v>
      </c>
      <c r="C219" s="17"/>
      <c r="D219" s="17" t="s">
        <v>61</v>
      </c>
      <c r="E219" s="16" t="s">
        <v>24</v>
      </c>
      <c r="F219" s="16" t="n">
        <v>4798</v>
      </c>
      <c r="G219" s="18" t="n">
        <v>46085</v>
      </c>
      <c r="H219" s="18" t="n">
        <f aca="false">+G219+30</f>
        <v>46115</v>
      </c>
      <c r="I219" s="18"/>
      <c r="J219" s="19" t="n">
        <v>2144525</v>
      </c>
      <c r="K219" s="19" t="n">
        <f aca="false">+J219</f>
        <v>2144525</v>
      </c>
      <c r="L219" s="19" t="n">
        <f aca="false">+J219/1.19</f>
        <v>1802121.8487395</v>
      </c>
      <c r="M219" s="19" t="n">
        <f aca="false">+L219*19%</f>
        <v>342403.151260504</v>
      </c>
      <c r="N219" s="16" t="s">
        <v>130</v>
      </c>
      <c r="O219" s="20" t="n">
        <v>2026</v>
      </c>
      <c r="P219" s="21" t="n">
        <f aca="false">+J219</f>
        <v>2144525</v>
      </c>
      <c r="Q219" s="19" t="n">
        <f aca="false">+J219-P219</f>
        <v>0</v>
      </c>
      <c r="R219" s="22" t="str">
        <f aca="false">IF(J219-P219=0,"PAGADA","PENDIENTE")</f>
        <v>PAGADA</v>
      </c>
      <c r="S219" s="18" t="n">
        <v>46177</v>
      </c>
      <c r="T219" s="16" t="s">
        <v>133</v>
      </c>
      <c r="U219" s="16"/>
      <c r="V219" s="16"/>
      <c r="W219" s="16"/>
      <c r="X219" s="16"/>
    </row>
    <row r="220" s="8" customFormat="true" ht="13.5" hidden="false" customHeight="false" outlineLevel="0" collapsed="false">
      <c r="A220" s="16" t="s">
        <v>131</v>
      </c>
      <c r="B220" s="16" t="s">
        <v>132</v>
      </c>
      <c r="C220" s="17"/>
      <c r="D220" s="17" t="s">
        <v>61</v>
      </c>
      <c r="E220" s="16" t="s">
        <v>24</v>
      </c>
      <c r="F220" s="16" t="n">
        <v>4799</v>
      </c>
      <c r="G220" s="18" t="n">
        <v>46085</v>
      </c>
      <c r="H220" s="18" t="n">
        <f aca="false">+G220+30</f>
        <v>46115</v>
      </c>
      <c r="I220" s="18"/>
      <c r="J220" s="19" t="n">
        <v>5630926</v>
      </c>
      <c r="K220" s="19" t="n">
        <f aca="false">+J220</f>
        <v>5630926</v>
      </c>
      <c r="L220" s="19" t="n">
        <f aca="false">+J220/1.19</f>
        <v>4731870.58823529</v>
      </c>
      <c r="M220" s="19" t="n">
        <f aca="false">+L220*19%</f>
        <v>899055.411764706</v>
      </c>
      <c r="N220" s="16" t="s">
        <v>130</v>
      </c>
      <c r="O220" s="20" t="n">
        <v>2026</v>
      </c>
      <c r="P220" s="21" t="n">
        <f aca="false">+J220</f>
        <v>5630926</v>
      </c>
      <c r="Q220" s="19" t="n">
        <f aca="false">+J220-P220</f>
        <v>0</v>
      </c>
      <c r="R220" s="22" t="str">
        <f aca="false">IF(J220-P220=0,"PAGADA","PENDIENTE")</f>
        <v>PAGADA</v>
      </c>
      <c r="S220" s="18" t="n">
        <v>46177</v>
      </c>
      <c r="T220" s="16" t="s">
        <v>133</v>
      </c>
      <c r="U220" s="16"/>
      <c r="V220" s="16"/>
      <c r="W220" s="16"/>
      <c r="X220" s="16"/>
    </row>
    <row r="221" s="8" customFormat="true" ht="13.5" hidden="false" customHeight="false" outlineLevel="0" collapsed="false">
      <c r="A221" s="16" t="s">
        <v>113</v>
      </c>
      <c r="B221" s="16" t="s">
        <v>114</v>
      </c>
      <c r="C221" s="29"/>
      <c r="D221" s="37"/>
      <c r="E221" s="16" t="s">
        <v>24</v>
      </c>
      <c r="F221" s="16" t="n">
        <v>4800</v>
      </c>
      <c r="G221" s="18" t="n">
        <v>46085</v>
      </c>
      <c r="H221" s="18" t="n">
        <f aca="false">+G221+30</f>
        <v>46115</v>
      </c>
      <c r="I221" s="18"/>
      <c r="J221" s="19" t="n">
        <v>5352025</v>
      </c>
      <c r="K221" s="19" t="n">
        <f aca="false">+J221</f>
        <v>5352025</v>
      </c>
      <c r="L221" s="19" t="n">
        <f aca="false">+J221/1.19</f>
        <v>4497500</v>
      </c>
      <c r="M221" s="19" t="n">
        <f aca="false">+L221*19%</f>
        <v>854525</v>
      </c>
      <c r="N221" s="16" t="s">
        <v>130</v>
      </c>
      <c r="O221" s="20" t="n">
        <v>2026</v>
      </c>
      <c r="P221" s="21" t="n">
        <f aca="false">1000000+4352025</f>
        <v>5352025</v>
      </c>
      <c r="Q221" s="19" t="n">
        <f aca="false">+J221-P221</f>
        <v>0</v>
      </c>
      <c r="R221" s="22" t="str">
        <f aca="false">IF(J221-P221=0,"PAGADA","PENDIENTE")</f>
        <v>PAGADA</v>
      </c>
      <c r="S221" s="18" t="s">
        <v>134</v>
      </c>
      <c r="T221" s="16"/>
      <c r="U221" s="16"/>
      <c r="V221" s="16"/>
      <c r="W221" s="16"/>
      <c r="X221" s="16"/>
    </row>
    <row r="222" s="8" customFormat="true" ht="13.5" hidden="false" customHeight="false" outlineLevel="0" collapsed="false">
      <c r="A222" s="16" t="s">
        <v>116</v>
      </c>
      <c r="B222" s="16" t="s">
        <v>117</v>
      </c>
      <c r="C222" s="17"/>
      <c r="D222" s="17"/>
      <c r="E222" s="16" t="s">
        <v>24</v>
      </c>
      <c r="F222" s="16" t="n">
        <v>4801</v>
      </c>
      <c r="G222" s="18" t="n">
        <v>46085</v>
      </c>
      <c r="H222" s="18" t="n">
        <f aca="false">+G222+30</f>
        <v>46115</v>
      </c>
      <c r="I222" s="18"/>
      <c r="J222" s="19" t="n">
        <v>5352025</v>
      </c>
      <c r="K222" s="19" t="n">
        <f aca="false">+J222</f>
        <v>5352025</v>
      </c>
      <c r="L222" s="19" t="n">
        <f aca="false">+J222/1.19</f>
        <v>4497500</v>
      </c>
      <c r="M222" s="19" t="n">
        <f aca="false">+L222*19%</f>
        <v>854525</v>
      </c>
      <c r="N222" s="16" t="s">
        <v>130</v>
      </c>
      <c r="O222" s="20" t="n">
        <v>2026</v>
      </c>
      <c r="P222" s="21" t="n">
        <f aca="false">+J222</f>
        <v>5352025</v>
      </c>
      <c r="Q222" s="19" t="n">
        <f aca="false">+J222-P222</f>
        <v>0</v>
      </c>
      <c r="R222" s="22" t="str">
        <f aca="false">IF(J222-P222=0,"PAGADA","PENDIENTE")</f>
        <v>PAGADA</v>
      </c>
      <c r="S222" s="18" t="n">
        <v>46111</v>
      </c>
      <c r="T222" s="16"/>
      <c r="U222" s="16"/>
      <c r="V222" s="16"/>
      <c r="W222" s="16"/>
      <c r="X222" s="16"/>
    </row>
    <row r="223" s="8" customFormat="true" ht="13.5" hidden="false" customHeight="false" outlineLevel="0" collapsed="false">
      <c r="A223" s="16" t="s">
        <v>113</v>
      </c>
      <c r="B223" s="16" t="s">
        <v>114</v>
      </c>
      <c r="C223" s="17"/>
      <c r="D223" s="17"/>
      <c r="E223" s="16" t="s">
        <v>24</v>
      </c>
      <c r="F223" s="16" t="n">
        <v>4802</v>
      </c>
      <c r="G223" s="18" t="n">
        <v>46085</v>
      </c>
      <c r="H223" s="18" t="n">
        <f aca="false">+G223+30</f>
        <v>46115</v>
      </c>
      <c r="I223" s="18"/>
      <c r="J223" s="19" t="n">
        <v>1166200</v>
      </c>
      <c r="K223" s="19" t="n">
        <f aca="false">+J223</f>
        <v>1166200</v>
      </c>
      <c r="L223" s="19" t="n">
        <f aca="false">+J223/1.19</f>
        <v>980000</v>
      </c>
      <c r="M223" s="19" t="n">
        <f aca="false">+L223*19%</f>
        <v>186200</v>
      </c>
      <c r="N223" s="16" t="s">
        <v>130</v>
      </c>
      <c r="O223" s="20" t="n">
        <v>2026</v>
      </c>
      <c r="P223" s="21" t="n">
        <f aca="false">+J223</f>
        <v>1166200</v>
      </c>
      <c r="Q223" s="19" t="n">
        <f aca="false">+J223-P223</f>
        <v>0</v>
      </c>
      <c r="R223" s="22" t="str">
        <f aca="false">IF(J223-P223=0,"PAGADA","PENDIENTE")</f>
        <v>PAGADA</v>
      </c>
      <c r="S223" s="18" t="n">
        <v>46094</v>
      </c>
      <c r="T223" s="16"/>
      <c r="U223" s="16"/>
      <c r="V223" s="16"/>
      <c r="W223" s="16"/>
      <c r="X223" s="16"/>
    </row>
    <row r="224" s="8" customFormat="true" ht="13.5" hidden="false" customHeight="false" outlineLevel="0" collapsed="false">
      <c r="A224" s="16" t="s">
        <v>116</v>
      </c>
      <c r="B224" s="16" t="s">
        <v>117</v>
      </c>
      <c r="C224" s="17"/>
      <c r="D224" s="17"/>
      <c r="E224" s="16" t="s">
        <v>24</v>
      </c>
      <c r="F224" s="16" t="n">
        <v>4803</v>
      </c>
      <c r="G224" s="18" t="n">
        <v>46085</v>
      </c>
      <c r="H224" s="18" t="n">
        <f aca="false">+G224+30</f>
        <v>46115</v>
      </c>
      <c r="I224" s="18"/>
      <c r="J224" s="19" t="n">
        <v>1166200</v>
      </c>
      <c r="K224" s="19" t="n">
        <f aca="false">+J224</f>
        <v>1166200</v>
      </c>
      <c r="L224" s="19" t="n">
        <f aca="false">+J224/1.19</f>
        <v>980000</v>
      </c>
      <c r="M224" s="19" t="n">
        <f aca="false">+L224*19%</f>
        <v>186200</v>
      </c>
      <c r="N224" s="16" t="s">
        <v>130</v>
      </c>
      <c r="O224" s="20" t="n">
        <v>2026</v>
      </c>
      <c r="P224" s="21" t="n">
        <f aca="false">+J224</f>
        <v>1166200</v>
      </c>
      <c r="Q224" s="19" t="n">
        <f aca="false">+J224-P224</f>
        <v>0</v>
      </c>
      <c r="R224" s="22" t="str">
        <f aca="false">IF(J224-P224=0,"PAGADA","PENDIENTE")</f>
        <v>PAGADA</v>
      </c>
      <c r="S224" s="18" t="n">
        <v>46111</v>
      </c>
      <c r="T224" s="16"/>
      <c r="U224" s="16"/>
      <c r="V224" s="16"/>
      <c r="W224" s="16"/>
      <c r="X224" s="16"/>
    </row>
    <row r="225" s="8" customFormat="true" ht="13.5" hidden="false" customHeight="false" outlineLevel="0" collapsed="false">
      <c r="A225" s="16" t="s">
        <v>81</v>
      </c>
      <c r="B225" s="16" t="s">
        <v>82</v>
      </c>
      <c r="C225" s="17"/>
      <c r="D225" s="17"/>
      <c r="E225" s="16" t="s">
        <v>24</v>
      </c>
      <c r="F225" s="16" t="n">
        <v>4804</v>
      </c>
      <c r="G225" s="18" t="n">
        <v>46085</v>
      </c>
      <c r="H225" s="18" t="n">
        <f aca="false">+G225+30</f>
        <v>46115</v>
      </c>
      <c r="I225" s="18"/>
      <c r="J225" s="19" t="n">
        <v>1166200</v>
      </c>
      <c r="K225" s="19" t="n">
        <f aca="false">+J225</f>
        <v>1166200</v>
      </c>
      <c r="L225" s="19" t="n">
        <f aca="false">+J225/1.19</f>
        <v>980000</v>
      </c>
      <c r="M225" s="19" t="n">
        <f aca="false">+L225*19%</f>
        <v>186200</v>
      </c>
      <c r="N225" s="16" t="s">
        <v>130</v>
      </c>
      <c r="O225" s="20" t="n">
        <v>2026</v>
      </c>
      <c r="P225" s="21" t="n">
        <f aca="false">+J225</f>
        <v>1166200</v>
      </c>
      <c r="Q225" s="19" t="n">
        <f aca="false">+J225-P225</f>
        <v>0</v>
      </c>
      <c r="R225" s="22" t="str">
        <f aca="false">IF(J225-P225=0,"PAGADA","PENDIENTE")</f>
        <v>PAGADA</v>
      </c>
      <c r="S225" s="18" t="n">
        <v>46107</v>
      </c>
      <c r="T225" s="16"/>
      <c r="U225" s="16"/>
      <c r="V225" s="16"/>
      <c r="W225" s="16"/>
      <c r="X225" s="16"/>
    </row>
    <row r="226" s="8" customFormat="true" ht="13.5" hidden="false" customHeight="false" outlineLevel="0" collapsed="false">
      <c r="A226" s="30" t="s">
        <v>83</v>
      </c>
      <c r="B226" s="30" t="s">
        <v>84</v>
      </c>
      <c r="C226" s="31" t="s">
        <v>61</v>
      </c>
      <c r="D226" s="31"/>
      <c r="E226" s="30" t="s">
        <v>24</v>
      </c>
      <c r="F226" s="30" t="n">
        <v>4805</v>
      </c>
      <c r="G226" s="32" t="n">
        <v>46085</v>
      </c>
      <c r="H226" s="32" t="n">
        <f aca="false">+G226+30</f>
        <v>46115</v>
      </c>
      <c r="I226" s="32"/>
      <c r="J226" s="33" t="n">
        <v>755577</v>
      </c>
      <c r="K226" s="33" t="n">
        <f aca="false">+J226</f>
        <v>755577</v>
      </c>
      <c r="L226" s="33" t="n">
        <f aca="false">+J226/1.19</f>
        <v>634938.655462185</v>
      </c>
      <c r="M226" s="33" t="n">
        <f aca="false">+L226*19%</f>
        <v>120638.344537815</v>
      </c>
      <c r="N226" s="30" t="s">
        <v>130</v>
      </c>
      <c r="O226" s="34" t="n">
        <v>2026</v>
      </c>
      <c r="P226" s="35" t="n">
        <f aca="false">+J226</f>
        <v>755577</v>
      </c>
      <c r="Q226" s="33" t="n">
        <f aca="false">+J226-P226</f>
        <v>0</v>
      </c>
      <c r="R226" s="36" t="str">
        <f aca="false">IF(J226-P226=0,"PAGADA","PENDIENTE")</f>
        <v>PAGADA</v>
      </c>
      <c r="S226" s="30" t="s">
        <v>135</v>
      </c>
      <c r="T226" s="30"/>
      <c r="U226" s="30"/>
      <c r="V226" s="30"/>
      <c r="W226" s="30"/>
      <c r="X226" s="30"/>
    </row>
    <row r="227" s="8" customFormat="true" ht="13.5" hidden="false" customHeight="false" outlineLevel="0" collapsed="false">
      <c r="A227" s="30" t="s">
        <v>83</v>
      </c>
      <c r="B227" s="30" t="s">
        <v>84</v>
      </c>
      <c r="C227" s="31" t="s">
        <v>61</v>
      </c>
      <c r="D227" s="31"/>
      <c r="E227" s="30" t="s">
        <v>24</v>
      </c>
      <c r="F227" s="30" t="n">
        <v>4806</v>
      </c>
      <c r="G227" s="32" t="n">
        <v>46085</v>
      </c>
      <c r="H227" s="32" t="n">
        <f aca="false">+G227+30</f>
        <v>46115</v>
      </c>
      <c r="I227" s="32"/>
      <c r="J227" s="33" t="n">
        <v>873936</v>
      </c>
      <c r="K227" s="33" t="n">
        <f aca="false">+J227</f>
        <v>873936</v>
      </c>
      <c r="L227" s="33" t="n">
        <f aca="false">+J227/1.19</f>
        <v>734400</v>
      </c>
      <c r="M227" s="33" t="n">
        <f aca="false">+L227*19%</f>
        <v>139536</v>
      </c>
      <c r="N227" s="30" t="s">
        <v>130</v>
      </c>
      <c r="O227" s="34" t="n">
        <v>2026</v>
      </c>
      <c r="P227" s="35" t="n">
        <f aca="false">+J227</f>
        <v>873936</v>
      </c>
      <c r="Q227" s="33" t="n">
        <f aca="false">+J227-P227</f>
        <v>0</v>
      </c>
      <c r="R227" s="36" t="str">
        <f aca="false">IF(J227-P227=0,"PAGADA","PENDIENTE")</f>
        <v>PAGADA</v>
      </c>
      <c r="S227" s="30" t="s">
        <v>135</v>
      </c>
      <c r="T227" s="30"/>
      <c r="U227" s="30"/>
      <c r="V227" s="30"/>
      <c r="W227" s="30"/>
      <c r="X227" s="30"/>
    </row>
    <row r="228" s="8" customFormat="true" ht="13.5" hidden="false" customHeight="false" outlineLevel="0" collapsed="false">
      <c r="A228" s="16" t="n">
        <v>0</v>
      </c>
      <c r="B228" s="16" t="s">
        <v>63</v>
      </c>
      <c r="C228" s="17"/>
      <c r="D228" s="17"/>
      <c r="E228" s="16" t="s">
        <v>24</v>
      </c>
      <c r="F228" s="16" t="n">
        <v>4807</v>
      </c>
      <c r="G228" s="18" t="n">
        <v>46085</v>
      </c>
      <c r="H228" s="18" t="n">
        <f aca="false">+G228+30</f>
        <v>46115</v>
      </c>
      <c r="I228" s="18"/>
      <c r="J228" s="19" t="n">
        <v>0</v>
      </c>
      <c r="K228" s="19" t="n">
        <f aca="false">+J228</f>
        <v>0</v>
      </c>
      <c r="L228" s="19" t="n">
        <f aca="false">+J228/1.19</f>
        <v>0</v>
      </c>
      <c r="M228" s="19" t="n">
        <f aca="false">+L228*19%</f>
        <v>0</v>
      </c>
      <c r="N228" s="16" t="s">
        <v>130</v>
      </c>
      <c r="O228" s="20" t="n">
        <v>2026</v>
      </c>
      <c r="P228" s="21"/>
      <c r="Q228" s="19" t="n">
        <f aca="false">+J228-P228</f>
        <v>0</v>
      </c>
      <c r="R228" s="22" t="str">
        <f aca="false">IF(J228-P228=0,"PAGADA","PENDIENTE")</f>
        <v>PAGADA</v>
      </c>
      <c r="S228" s="16"/>
      <c r="T228" s="16"/>
      <c r="U228" s="16"/>
      <c r="V228" s="16"/>
      <c r="W228" s="16"/>
      <c r="X228" s="16"/>
    </row>
    <row r="229" s="8" customFormat="true" ht="13.5" hidden="false" customHeight="false" outlineLevel="0" collapsed="false">
      <c r="A229" s="30" t="s">
        <v>83</v>
      </c>
      <c r="B229" s="30" t="s">
        <v>84</v>
      </c>
      <c r="C229" s="31" t="s">
        <v>61</v>
      </c>
      <c r="D229" s="31"/>
      <c r="E229" s="30" t="s">
        <v>24</v>
      </c>
      <c r="F229" s="30" t="n">
        <v>4808</v>
      </c>
      <c r="G229" s="32" t="n">
        <v>46085</v>
      </c>
      <c r="H229" s="32" t="n">
        <f aca="false">+G229+30</f>
        <v>46115</v>
      </c>
      <c r="I229" s="32"/>
      <c r="J229" s="33" t="n">
        <v>4731714</v>
      </c>
      <c r="K229" s="33" t="n">
        <f aca="false">+J229</f>
        <v>4731714</v>
      </c>
      <c r="L229" s="33" t="n">
        <f aca="false">+J229/1.19</f>
        <v>3976230.25210084</v>
      </c>
      <c r="M229" s="33" t="n">
        <f aca="false">+L229*19%</f>
        <v>755483.74789916</v>
      </c>
      <c r="N229" s="30" t="s">
        <v>130</v>
      </c>
      <c r="O229" s="34" t="n">
        <v>2026</v>
      </c>
      <c r="P229" s="35" t="n">
        <f aca="false">+J229</f>
        <v>4731714</v>
      </c>
      <c r="Q229" s="33" t="n">
        <f aca="false">+J229-P229</f>
        <v>0</v>
      </c>
      <c r="R229" s="36" t="str">
        <f aca="false">IF(J229-P229=0,"PAGADA","PENDIENTE")</f>
        <v>PAGADA</v>
      </c>
      <c r="S229" s="30" t="s">
        <v>135</v>
      </c>
      <c r="T229" s="30"/>
      <c r="U229" s="30"/>
      <c r="V229" s="30"/>
      <c r="W229" s="30"/>
      <c r="X229" s="30"/>
    </row>
    <row r="230" s="8" customFormat="true" ht="13.5" hidden="false" customHeight="false" outlineLevel="0" collapsed="false">
      <c r="A230" s="16" t="s">
        <v>59</v>
      </c>
      <c r="B230" s="16" t="s">
        <v>60</v>
      </c>
      <c r="C230" s="17"/>
      <c r="D230" s="17"/>
      <c r="E230" s="16" t="s">
        <v>24</v>
      </c>
      <c r="F230" s="16" t="n">
        <v>4809</v>
      </c>
      <c r="G230" s="18" t="n">
        <v>46086</v>
      </c>
      <c r="H230" s="18" t="n">
        <f aca="false">+G230+30</f>
        <v>46116</v>
      </c>
      <c r="I230" s="18"/>
      <c r="J230" s="19" t="n">
        <v>20209394</v>
      </c>
      <c r="K230" s="19" t="n">
        <f aca="false">+J230</f>
        <v>20209394</v>
      </c>
      <c r="L230" s="19" t="n">
        <f aca="false">+J230/1.19</f>
        <v>16982684.0336134</v>
      </c>
      <c r="M230" s="19" t="n">
        <f aca="false">+L230*19%</f>
        <v>3226709.96638655</v>
      </c>
      <c r="N230" s="16" t="s">
        <v>130</v>
      </c>
      <c r="O230" s="20" t="n">
        <v>2026</v>
      </c>
      <c r="P230" s="21" t="n">
        <f aca="false">+J230</f>
        <v>20209394</v>
      </c>
      <c r="Q230" s="19" t="n">
        <f aca="false">+J230-P230</f>
        <v>0</v>
      </c>
      <c r="R230" s="22" t="str">
        <f aca="false">IF(J230-P230=0,"PAGADA","PENDIENTE")</f>
        <v>PAGADA</v>
      </c>
      <c r="S230" s="18" t="n">
        <v>46106</v>
      </c>
      <c r="T230" s="16"/>
      <c r="U230" s="16"/>
      <c r="V230" s="16"/>
      <c r="W230" s="16"/>
      <c r="X230" s="16"/>
    </row>
    <row r="231" s="8" customFormat="true" ht="13.5" hidden="false" customHeight="false" outlineLevel="0" collapsed="false">
      <c r="A231" s="16" t="s">
        <v>59</v>
      </c>
      <c r="B231" s="16" t="s">
        <v>60</v>
      </c>
      <c r="C231" s="17"/>
      <c r="D231" s="17"/>
      <c r="E231" s="16" t="s">
        <v>24</v>
      </c>
      <c r="F231" s="16" t="n">
        <v>4810</v>
      </c>
      <c r="G231" s="18" t="n">
        <v>46086</v>
      </c>
      <c r="H231" s="18" t="n">
        <f aca="false">+G231+30</f>
        <v>46116</v>
      </c>
      <c r="I231" s="18"/>
      <c r="J231" s="19" t="n">
        <v>1785000</v>
      </c>
      <c r="K231" s="19" t="n">
        <f aca="false">+J231</f>
        <v>1785000</v>
      </c>
      <c r="L231" s="19" t="n">
        <f aca="false">+J231/1.19</f>
        <v>1500000</v>
      </c>
      <c r="M231" s="19" t="n">
        <f aca="false">+L231*19%</f>
        <v>285000</v>
      </c>
      <c r="N231" s="16" t="s">
        <v>130</v>
      </c>
      <c r="O231" s="20" t="n">
        <v>2026</v>
      </c>
      <c r="P231" s="21" t="n">
        <f aca="false">+J231</f>
        <v>1785000</v>
      </c>
      <c r="Q231" s="19" t="n">
        <f aca="false">+J231-P231</f>
        <v>0</v>
      </c>
      <c r="R231" s="22" t="str">
        <f aca="false">IF(J231-P231=0,"PAGADA","PENDIENTE")</f>
        <v>PAGADA</v>
      </c>
      <c r="S231" s="18" t="n">
        <v>46106</v>
      </c>
      <c r="T231" s="16"/>
      <c r="U231" s="16"/>
      <c r="V231" s="16"/>
      <c r="W231" s="16"/>
      <c r="X231" s="16"/>
    </row>
    <row r="232" s="8" customFormat="true" ht="13.5" hidden="false" customHeight="false" outlineLevel="0" collapsed="false">
      <c r="A232" s="16" t="s">
        <v>53</v>
      </c>
      <c r="B232" s="16" t="s">
        <v>54</v>
      </c>
      <c r="C232" s="17"/>
      <c r="D232" s="17"/>
      <c r="E232" s="16" t="s">
        <v>24</v>
      </c>
      <c r="F232" s="16" t="n">
        <v>4811</v>
      </c>
      <c r="G232" s="18" t="n">
        <v>46086</v>
      </c>
      <c r="H232" s="18" t="n">
        <f aca="false">+G232+30</f>
        <v>46116</v>
      </c>
      <c r="I232" s="18"/>
      <c r="J232" s="19" t="n">
        <v>693740</v>
      </c>
      <c r="K232" s="19" t="n">
        <f aca="false">+J232</f>
        <v>693740</v>
      </c>
      <c r="L232" s="19" t="n">
        <f aca="false">+J232/1.19</f>
        <v>582974.789915967</v>
      </c>
      <c r="M232" s="19" t="n">
        <f aca="false">+L232*19%</f>
        <v>110765.210084034</v>
      </c>
      <c r="N232" s="16" t="s">
        <v>130</v>
      </c>
      <c r="O232" s="20" t="n">
        <v>2026</v>
      </c>
      <c r="P232" s="21" t="n">
        <f aca="false">+J232</f>
        <v>693740</v>
      </c>
      <c r="Q232" s="19" t="n">
        <f aca="false">+J232-P232</f>
        <v>0</v>
      </c>
      <c r="R232" s="22" t="str">
        <f aca="false">IF(J232-P232=0,"PAGADA","PENDIENTE")</f>
        <v>PAGADA</v>
      </c>
      <c r="S232" s="18" t="n">
        <v>46108</v>
      </c>
      <c r="T232" s="16"/>
      <c r="U232" s="16"/>
      <c r="V232" s="16"/>
      <c r="W232" s="16"/>
      <c r="X232" s="16"/>
    </row>
    <row r="233" s="8" customFormat="true" ht="13.5" hidden="false" customHeight="false" outlineLevel="0" collapsed="false">
      <c r="A233" s="16" t="s">
        <v>55</v>
      </c>
      <c r="B233" s="16" t="s">
        <v>56</v>
      </c>
      <c r="C233" s="17"/>
      <c r="D233" s="17"/>
      <c r="E233" s="16" t="s">
        <v>24</v>
      </c>
      <c r="F233" s="16" t="n">
        <v>4812</v>
      </c>
      <c r="G233" s="18" t="n">
        <v>46086</v>
      </c>
      <c r="H233" s="18" t="n">
        <f aca="false">+G233+30</f>
        <v>46116</v>
      </c>
      <c r="I233" s="18"/>
      <c r="J233" s="19" t="n">
        <v>742817</v>
      </c>
      <c r="K233" s="19" t="n">
        <f aca="false">+J233</f>
        <v>742817</v>
      </c>
      <c r="L233" s="19" t="n">
        <f aca="false">+J233/1.19</f>
        <v>624215.966386555</v>
      </c>
      <c r="M233" s="19" t="n">
        <f aca="false">+L233*19%</f>
        <v>118601.033613445</v>
      </c>
      <c r="N233" s="16" t="s">
        <v>130</v>
      </c>
      <c r="O233" s="20" t="n">
        <v>2026</v>
      </c>
      <c r="P233" s="21" t="n">
        <f aca="false">+J233</f>
        <v>742817</v>
      </c>
      <c r="Q233" s="19" t="n">
        <f aca="false">+J233-P233</f>
        <v>0</v>
      </c>
      <c r="R233" s="22" t="str">
        <f aca="false">IF(J233-P233=0,"PAGADA","PENDIENTE")</f>
        <v>PAGADA</v>
      </c>
      <c r="S233" s="18" t="n">
        <v>46108</v>
      </c>
      <c r="T233" s="16"/>
      <c r="U233" s="16"/>
      <c r="V233" s="16"/>
      <c r="W233" s="16"/>
      <c r="X233" s="16"/>
    </row>
    <row r="234" s="8" customFormat="true" ht="13.5" hidden="false" customHeight="false" outlineLevel="0" collapsed="false">
      <c r="A234" s="16" t="s">
        <v>53</v>
      </c>
      <c r="B234" s="16" t="s">
        <v>54</v>
      </c>
      <c r="C234" s="17"/>
      <c r="D234" s="17"/>
      <c r="E234" s="16" t="s">
        <v>24</v>
      </c>
      <c r="F234" s="16" t="n">
        <v>4813</v>
      </c>
      <c r="G234" s="18" t="n">
        <v>46086</v>
      </c>
      <c r="H234" s="18" t="n">
        <f aca="false">+G234+30</f>
        <v>46116</v>
      </c>
      <c r="I234" s="18"/>
      <c r="J234" s="19" t="n">
        <v>735065</v>
      </c>
      <c r="K234" s="19" t="n">
        <f aca="false">+J234</f>
        <v>735065</v>
      </c>
      <c r="L234" s="19" t="n">
        <f aca="false">+J234/1.19</f>
        <v>617701.680672269</v>
      </c>
      <c r="M234" s="19" t="n">
        <f aca="false">+L234*19%</f>
        <v>117363.319327731</v>
      </c>
      <c r="N234" s="16" t="s">
        <v>130</v>
      </c>
      <c r="O234" s="20" t="n">
        <v>2026</v>
      </c>
      <c r="P234" s="21" t="n">
        <f aca="false">+J234</f>
        <v>735065</v>
      </c>
      <c r="Q234" s="19" t="n">
        <f aca="false">+J234-P234</f>
        <v>0</v>
      </c>
      <c r="R234" s="22" t="str">
        <f aca="false">IF(J234-P234=0,"PAGADA","PENDIENTE")</f>
        <v>PAGADA</v>
      </c>
      <c r="S234" s="18" t="n">
        <v>46108</v>
      </c>
      <c r="T234" s="16"/>
      <c r="U234" s="16"/>
      <c r="V234" s="16"/>
      <c r="W234" s="16"/>
      <c r="X234" s="16"/>
    </row>
    <row r="235" s="8" customFormat="true" ht="13.5" hidden="false" customHeight="false" outlineLevel="0" collapsed="false">
      <c r="A235" s="16" t="s">
        <v>57</v>
      </c>
      <c r="B235" s="16" t="s">
        <v>58</v>
      </c>
      <c r="C235" s="17"/>
      <c r="D235" s="17"/>
      <c r="E235" s="16" t="s">
        <v>24</v>
      </c>
      <c r="F235" s="16" t="n">
        <v>4814</v>
      </c>
      <c r="G235" s="18" t="n">
        <v>46086</v>
      </c>
      <c r="H235" s="18" t="n">
        <f aca="false">+G235+30</f>
        <v>46116</v>
      </c>
      <c r="I235" s="18"/>
      <c r="J235" s="19" t="n">
        <v>835011</v>
      </c>
      <c r="K235" s="19" t="n">
        <f aca="false">+J235</f>
        <v>835011</v>
      </c>
      <c r="L235" s="19" t="n">
        <f aca="false">+J235/1.19</f>
        <v>701689.915966387</v>
      </c>
      <c r="M235" s="19" t="n">
        <f aca="false">+L235*19%</f>
        <v>133321.084033613</v>
      </c>
      <c r="N235" s="16" t="s">
        <v>130</v>
      </c>
      <c r="O235" s="20" t="n">
        <v>2026</v>
      </c>
      <c r="P235" s="21" t="n">
        <f aca="false">+J235</f>
        <v>835011</v>
      </c>
      <c r="Q235" s="19" t="n">
        <f aca="false">+J235-P235</f>
        <v>0</v>
      </c>
      <c r="R235" s="22" t="str">
        <f aca="false">IF(J235-P235=0,"PAGADA","PENDIENTE")</f>
        <v>PAGADA</v>
      </c>
      <c r="S235" s="16"/>
      <c r="T235" s="16"/>
      <c r="U235" s="16"/>
      <c r="V235" s="16"/>
      <c r="W235" s="16"/>
      <c r="X235" s="16"/>
    </row>
    <row r="236" s="8" customFormat="true" ht="13.5" hidden="false" customHeight="false" outlineLevel="0" collapsed="false">
      <c r="A236" s="16" t="s">
        <v>57</v>
      </c>
      <c r="B236" s="16" t="s">
        <v>58</v>
      </c>
      <c r="C236" s="17"/>
      <c r="D236" s="17"/>
      <c r="E236" s="16" t="s">
        <v>24</v>
      </c>
      <c r="F236" s="16" t="n">
        <v>4815</v>
      </c>
      <c r="G236" s="18" t="n">
        <v>46086</v>
      </c>
      <c r="H236" s="18" t="n">
        <f aca="false">+G236+30</f>
        <v>46116</v>
      </c>
      <c r="I236" s="18"/>
      <c r="J236" s="19" t="n">
        <v>1272017</v>
      </c>
      <c r="K236" s="19" t="n">
        <f aca="false">+J236</f>
        <v>1272017</v>
      </c>
      <c r="L236" s="19" t="n">
        <f aca="false">+J236/1.19</f>
        <v>1068921.8487395</v>
      </c>
      <c r="M236" s="19" t="n">
        <f aca="false">+L236*19%</f>
        <v>203095.151260504</v>
      </c>
      <c r="N236" s="16" t="s">
        <v>130</v>
      </c>
      <c r="O236" s="20" t="n">
        <v>2026</v>
      </c>
      <c r="P236" s="21" t="n">
        <f aca="false">+J236</f>
        <v>1272017</v>
      </c>
      <c r="Q236" s="19" t="n">
        <f aca="false">+J236-P236</f>
        <v>0</v>
      </c>
      <c r="R236" s="22" t="str">
        <f aca="false">IF(J236-P236=0,"PAGADA","PENDIENTE")</f>
        <v>PAGADA</v>
      </c>
      <c r="S236" s="16"/>
      <c r="T236" s="16"/>
      <c r="U236" s="16"/>
      <c r="V236" s="16"/>
      <c r="W236" s="16"/>
      <c r="X236" s="16"/>
    </row>
    <row r="237" s="8" customFormat="true" ht="13.5" hidden="false" customHeight="false" outlineLevel="0" collapsed="false">
      <c r="A237" s="16" t="s">
        <v>57</v>
      </c>
      <c r="B237" s="16" t="s">
        <v>58</v>
      </c>
      <c r="C237" s="17"/>
      <c r="D237" s="17"/>
      <c r="E237" s="16" t="s">
        <v>24</v>
      </c>
      <c r="F237" s="16" t="n">
        <v>4816</v>
      </c>
      <c r="G237" s="18" t="n">
        <v>46086</v>
      </c>
      <c r="H237" s="18" t="n">
        <f aca="false">+G237+30</f>
        <v>46116</v>
      </c>
      <c r="I237" s="18"/>
      <c r="J237" s="19" t="n">
        <v>366472</v>
      </c>
      <c r="K237" s="19" t="n">
        <f aca="false">+J237</f>
        <v>366472</v>
      </c>
      <c r="L237" s="19" t="n">
        <f aca="false">+J237/1.19</f>
        <v>307959.663865546</v>
      </c>
      <c r="M237" s="19" t="n">
        <f aca="false">+L237*19%</f>
        <v>58512.3361344538</v>
      </c>
      <c r="N237" s="16" t="s">
        <v>130</v>
      </c>
      <c r="O237" s="20" t="n">
        <v>2026</v>
      </c>
      <c r="P237" s="21" t="n">
        <f aca="false">+J237</f>
        <v>366472</v>
      </c>
      <c r="Q237" s="19" t="n">
        <f aca="false">+J237-P237</f>
        <v>0</v>
      </c>
      <c r="R237" s="22" t="str">
        <f aca="false">IF(J237-P237=0,"PAGADA","PENDIENTE")</f>
        <v>PAGADA</v>
      </c>
      <c r="S237" s="16"/>
      <c r="T237" s="16"/>
      <c r="U237" s="16"/>
      <c r="V237" s="16"/>
      <c r="W237" s="16"/>
      <c r="X237" s="16"/>
    </row>
    <row r="238" s="8" customFormat="true" ht="13.5" hidden="false" customHeight="false" outlineLevel="0" collapsed="false">
      <c r="A238" s="16" t="s">
        <v>70</v>
      </c>
      <c r="B238" s="16" t="s">
        <v>71</v>
      </c>
      <c r="C238" s="17"/>
      <c r="D238" s="17"/>
      <c r="E238" s="16" t="s">
        <v>24</v>
      </c>
      <c r="F238" s="16" t="n">
        <v>4817</v>
      </c>
      <c r="G238" s="18" t="n">
        <v>46086</v>
      </c>
      <c r="H238" s="18" t="n">
        <f aca="false">+G238+30</f>
        <v>46116</v>
      </c>
      <c r="I238" s="18"/>
      <c r="J238" s="19" t="n">
        <v>6556470</v>
      </c>
      <c r="K238" s="19" t="n">
        <f aca="false">+J238</f>
        <v>6556470</v>
      </c>
      <c r="L238" s="19" t="n">
        <f aca="false">+J238/1.19</f>
        <v>5509638.65546219</v>
      </c>
      <c r="M238" s="19" t="n">
        <f aca="false">+L238*19%</f>
        <v>1046831.34453782</v>
      </c>
      <c r="N238" s="16" t="s">
        <v>130</v>
      </c>
      <c r="O238" s="20" t="n">
        <v>2026</v>
      </c>
      <c r="P238" s="21" t="n">
        <f aca="false">+J238</f>
        <v>6556470</v>
      </c>
      <c r="Q238" s="19" t="n">
        <f aca="false">+J238-P238</f>
        <v>0</v>
      </c>
      <c r="R238" s="22" t="str">
        <f aca="false">IF(J238-P238=0,"PAGADA","PENDIENTE")</f>
        <v>PAGADA</v>
      </c>
      <c r="S238" s="18" t="n">
        <v>46113</v>
      </c>
      <c r="T238" s="16"/>
      <c r="U238" s="16"/>
      <c r="V238" s="16"/>
      <c r="W238" s="16"/>
      <c r="X238" s="16"/>
    </row>
    <row r="239" s="8" customFormat="true" ht="13.5" hidden="false" customHeight="false" outlineLevel="0" collapsed="false">
      <c r="A239" s="16" t="s">
        <v>68</v>
      </c>
      <c r="B239" s="16" t="s">
        <v>69</v>
      </c>
      <c r="C239" s="17"/>
      <c r="D239" s="17"/>
      <c r="E239" s="16" t="s">
        <v>24</v>
      </c>
      <c r="F239" s="16" t="n">
        <v>4818</v>
      </c>
      <c r="G239" s="18" t="n">
        <v>46086</v>
      </c>
      <c r="H239" s="18" t="n">
        <f aca="false">+G239+30</f>
        <v>46116</v>
      </c>
      <c r="I239" s="18"/>
      <c r="J239" s="19" t="n">
        <v>150575</v>
      </c>
      <c r="K239" s="19" t="n">
        <f aca="false">+J239</f>
        <v>150575</v>
      </c>
      <c r="L239" s="19" t="n">
        <f aca="false">+J239/1.19</f>
        <v>126533.613445378</v>
      </c>
      <c r="M239" s="19" t="n">
        <f aca="false">+L239*19%</f>
        <v>24041.3865546219</v>
      </c>
      <c r="N239" s="16" t="s">
        <v>130</v>
      </c>
      <c r="O239" s="20" t="n">
        <v>2026</v>
      </c>
      <c r="P239" s="21" t="n">
        <f aca="false">+J239</f>
        <v>150575</v>
      </c>
      <c r="Q239" s="19" t="n">
        <f aca="false">+J239-P239</f>
        <v>0</v>
      </c>
      <c r="R239" s="22" t="str">
        <f aca="false">IF(J239-P239=0,"PAGADA","PENDIENTE")</f>
        <v>PAGADA</v>
      </c>
      <c r="S239" s="18" t="n">
        <v>46111</v>
      </c>
      <c r="T239" s="16"/>
      <c r="U239" s="16"/>
      <c r="V239" s="16"/>
      <c r="W239" s="16"/>
      <c r="X239" s="16"/>
    </row>
    <row r="240" s="8" customFormat="true" ht="13.5" hidden="false" customHeight="false" outlineLevel="0" collapsed="false">
      <c r="A240" s="16" t="s">
        <v>30</v>
      </c>
      <c r="B240" s="16" t="s">
        <v>31</v>
      </c>
      <c r="C240" s="17"/>
      <c r="D240" s="17"/>
      <c r="E240" s="16" t="s">
        <v>24</v>
      </c>
      <c r="F240" s="16" t="n">
        <v>4819</v>
      </c>
      <c r="G240" s="18" t="n">
        <v>46087</v>
      </c>
      <c r="H240" s="18" t="n">
        <f aca="false">+G240+30</f>
        <v>46117</v>
      </c>
      <c r="I240" s="18"/>
      <c r="J240" s="19" t="n">
        <v>333952</v>
      </c>
      <c r="K240" s="19" t="n">
        <f aca="false">+J240</f>
        <v>333952</v>
      </c>
      <c r="L240" s="19" t="n">
        <f aca="false">+J240/1.19</f>
        <v>280631.932773109</v>
      </c>
      <c r="M240" s="19" t="n">
        <f aca="false">+L240*19%</f>
        <v>53320.0672268908</v>
      </c>
      <c r="N240" s="16" t="s">
        <v>130</v>
      </c>
      <c r="O240" s="20" t="n">
        <v>2026</v>
      </c>
      <c r="P240" s="21" t="n">
        <f aca="false">+J240</f>
        <v>333952</v>
      </c>
      <c r="Q240" s="19" t="n">
        <f aca="false">+J240-P240</f>
        <v>0</v>
      </c>
      <c r="R240" s="22" t="str">
        <f aca="false">IF(J240-P240=0,"PAGADA","PENDIENTE")</f>
        <v>PAGADA</v>
      </c>
      <c r="S240" s="18" t="n">
        <v>46113</v>
      </c>
      <c r="T240" s="16"/>
      <c r="U240" s="16"/>
      <c r="V240" s="16"/>
      <c r="W240" s="16"/>
      <c r="X240" s="16"/>
    </row>
    <row r="241" s="8" customFormat="true" ht="13.5" hidden="false" customHeight="false" outlineLevel="0" collapsed="false">
      <c r="A241" s="16" t="s">
        <v>30</v>
      </c>
      <c r="B241" s="16" t="s">
        <v>31</v>
      </c>
      <c r="C241" s="17"/>
      <c r="D241" s="17"/>
      <c r="E241" s="16" t="s">
        <v>24</v>
      </c>
      <c r="F241" s="16" t="n">
        <v>4820</v>
      </c>
      <c r="G241" s="18" t="n">
        <v>46087</v>
      </c>
      <c r="H241" s="18" t="n">
        <f aca="false">+G241+30</f>
        <v>46117</v>
      </c>
      <c r="I241" s="18"/>
      <c r="J241" s="19" t="n">
        <v>731848</v>
      </c>
      <c r="K241" s="19" t="n">
        <f aca="false">+J241</f>
        <v>731848</v>
      </c>
      <c r="L241" s="19" t="n">
        <f aca="false">+J241/1.19</f>
        <v>614998.319327731</v>
      </c>
      <c r="M241" s="19" t="n">
        <f aca="false">+L241*19%</f>
        <v>116849.680672269</v>
      </c>
      <c r="N241" s="16" t="s">
        <v>130</v>
      </c>
      <c r="O241" s="20" t="n">
        <v>2026</v>
      </c>
      <c r="P241" s="21" t="n">
        <f aca="false">+J241</f>
        <v>731848</v>
      </c>
      <c r="Q241" s="19" t="n">
        <f aca="false">+J241-P241</f>
        <v>0</v>
      </c>
      <c r="R241" s="22" t="str">
        <f aca="false">IF(J241-P241=0,"PAGADA","PENDIENTE")</f>
        <v>PAGADA</v>
      </c>
      <c r="S241" s="18" t="n">
        <v>46113</v>
      </c>
      <c r="T241" s="16"/>
      <c r="U241" s="16"/>
      <c r="V241" s="16"/>
      <c r="W241" s="16"/>
      <c r="X241" s="16"/>
    </row>
    <row r="242" s="8" customFormat="true" ht="13.5" hidden="false" customHeight="false" outlineLevel="0" collapsed="false">
      <c r="A242" s="16" t="s">
        <v>30</v>
      </c>
      <c r="B242" s="16" t="s">
        <v>31</v>
      </c>
      <c r="C242" s="17"/>
      <c r="D242" s="17"/>
      <c r="E242" s="16" t="s">
        <v>24</v>
      </c>
      <c r="F242" s="16" t="n">
        <v>4821</v>
      </c>
      <c r="G242" s="18" t="n">
        <v>46087</v>
      </c>
      <c r="H242" s="18" t="n">
        <f aca="false">+G242+30</f>
        <v>46117</v>
      </c>
      <c r="I242" s="18"/>
      <c r="J242" s="19" t="n">
        <v>4944437</v>
      </c>
      <c r="K242" s="19" t="n">
        <f aca="false">+J242</f>
        <v>4944437</v>
      </c>
      <c r="L242" s="19" t="n">
        <f aca="false">+J242/1.19</f>
        <v>4154989.07563025</v>
      </c>
      <c r="M242" s="19" t="n">
        <f aca="false">+L242*19%</f>
        <v>789447.924369748</v>
      </c>
      <c r="N242" s="16" t="s">
        <v>130</v>
      </c>
      <c r="O242" s="20" t="n">
        <v>2026</v>
      </c>
      <c r="P242" s="21" t="n">
        <f aca="false">+J242</f>
        <v>4944437</v>
      </c>
      <c r="Q242" s="19" t="n">
        <f aca="false">+J242-P242</f>
        <v>0</v>
      </c>
      <c r="R242" s="22" t="str">
        <f aca="false">IF(J242-P242=0,"PAGADA","PENDIENTE")</f>
        <v>PAGADA</v>
      </c>
      <c r="S242" s="18" t="n">
        <v>46113</v>
      </c>
      <c r="T242" s="16"/>
      <c r="U242" s="16"/>
      <c r="V242" s="16"/>
      <c r="W242" s="16"/>
      <c r="X242" s="16"/>
    </row>
    <row r="243" s="8" customFormat="true" ht="13.5" hidden="false" customHeight="false" outlineLevel="0" collapsed="false">
      <c r="A243" s="16" t="s">
        <v>30</v>
      </c>
      <c r="B243" s="16" t="s">
        <v>31</v>
      </c>
      <c r="C243" s="17"/>
      <c r="D243" s="17"/>
      <c r="E243" s="16" t="s">
        <v>24</v>
      </c>
      <c r="F243" s="16" t="n">
        <v>4822</v>
      </c>
      <c r="G243" s="18" t="n">
        <v>46087</v>
      </c>
      <c r="H243" s="18" t="n">
        <f aca="false">+G243+30</f>
        <v>46117</v>
      </c>
      <c r="I243" s="18"/>
      <c r="J243" s="19" t="n">
        <v>2025810</v>
      </c>
      <c r="K243" s="19" t="n">
        <f aca="false">+J243</f>
        <v>2025810</v>
      </c>
      <c r="L243" s="19" t="n">
        <f aca="false">+J243/1.19</f>
        <v>1702361.34453782</v>
      </c>
      <c r="M243" s="19" t="n">
        <f aca="false">+L243*19%</f>
        <v>323448.655462185</v>
      </c>
      <c r="N243" s="16" t="s">
        <v>130</v>
      </c>
      <c r="O243" s="20" t="n">
        <v>2026</v>
      </c>
      <c r="P243" s="21" t="n">
        <f aca="false">+J243</f>
        <v>2025810</v>
      </c>
      <c r="Q243" s="19" t="n">
        <f aca="false">+J243-P243</f>
        <v>0</v>
      </c>
      <c r="R243" s="22" t="str">
        <f aca="false">IF(J243-P243=0,"PAGADA","PENDIENTE")</f>
        <v>PAGADA</v>
      </c>
      <c r="S243" s="18" t="n">
        <v>46113</v>
      </c>
      <c r="T243" s="16"/>
      <c r="U243" s="16"/>
      <c r="V243" s="16"/>
      <c r="W243" s="16"/>
      <c r="X243" s="16"/>
    </row>
    <row r="244" s="8" customFormat="true" ht="13.5" hidden="false" customHeight="false" outlineLevel="0" collapsed="false">
      <c r="A244" s="16" t="s">
        <v>30</v>
      </c>
      <c r="B244" s="16" t="s">
        <v>31</v>
      </c>
      <c r="C244" s="17"/>
      <c r="D244" s="17"/>
      <c r="E244" s="16" t="s">
        <v>24</v>
      </c>
      <c r="F244" s="16" t="n">
        <v>4823</v>
      </c>
      <c r="G244" s="18" t="n">
        <v>46087</v>
      </c>
      <c r="H244" s="18" t="n">
        <f aca="false">+G244+30</f>
        <v>46117</v>
      </c>
      <c r="I244" s="18"/>
      <c r="J244" s="19" t="n">
        <v>4825411</v>
      </c>
      <c r="K244" s="19" t="n">
        <f aca="false">+J244</f>
        <v>4825411</v>
      </c>
      <c r="L244" s="19" t="n">
        <f aca="false">+J244/1.19</f>
        <v>4054967.22689076</v>
      </c>
      <c r="M244" s="19" t="n">
        <f aca="false">+L244*19%</f>
        <v>770443.773109244</v>
      </c>
      <c r="N244" s="16" t="s">
        <v>130</v>
      </c>
      <c r="O244" s="20" t="n">
        <v>2026</v>
      </c>
      <c r="P244" s="21" t="n">
        <f aca="false">+J244</f>
        <v>4825411</v>
      </c>
      <c r="Q244" s="19" t="n">
        <f aca="false">+J244-P244</f>
        <v>0</v>
      </c>
      <c r="R244" s="22" t="str">
        <f aca="false">IF(J244-P244=0,"PAGADA","PENDIENTE")</f>
        <v>PAGADA</v>
      </c>
      <c r="S244" s="16" t="s">
        <v>136</v>
      </c>
      <c r="T244" s="16"/>
      <c r="U244" s="16"/>
      <c r="V244" s="16"/>
      <c r="W244" s="16"/>
      <c r="X244" s="16"/>
    </row>
    <row r="245" s="8" customFormat="true" ht="13.5" hidden="false" customHeight="false" outlineLevel="0" collapsed="false">
      <c r="A245" s="16" t="s">
        <v>30</v>
      </c>
      <c r="B245" s="16" t="s">
        <v>31</v>
      </c>
      <c r="C245" s="17"/>
      <c r="D245" s="17"/>
      <c r="E245" s="16" t="s">
        <v>24</v>
      </c>
      <c r="F245" s="16" t="n">
        <v>4824</v>
      </c>
      <c r="G245" s="18" t="n">
        <v>46087</v>
      </c>
      <c r="H245" s="18" t="n">
        <f aca="false">+G245+30</f>
        <v>46117</v>
      </c>
      <c r="I245" s="18"/>
      <c r="J245" s="19" t="n">
        <v>4825411</v>
      </c>
      <c r="K245" s="19" t="n">
        <f aca="false">+J245</f>
        <v>4825411</v>
      </c>
      <c r="L245" s="19" t="n">
        <f aca="false">+J245/1.19</f>
        <v>4054967.22689076</v>
      </c>
      <c r="M245" s="19" t="n">
        <f aca="false">+L245*19%</f>
        <v>770443.773109244</v>
      </c>
      <c r="N245" s="16" t="s">
        <v>130</v>
      </c>
      <c r="O245" s="20" t="n">
        <v>2026</v>
      </c>
      <c r="P245" s="21" t="n">
        <f aca="false">+J245</f>
        <v>4825411</v>
      </c>
      <c r="Q245" s="19" t="n">
        <f aca="false">+J245-P245</f>
        <v>0</v>
      </c>
      <c r="R245" s="22" t="str">
        <f aca="false">IF(J245-P245=0,"PAGADA","PENDIENTE")</f>
        <v>PAGADA</v>
      </c>
      <c r="S245" s="18" t="n">
        <v>46113</v>
      </c>
      <c r="T245" s="16"/>
      <c r="U245" s="16"/>
      <c r="V245" s="16"/>
      <c r="W245" s="16"/>
      <c r="X245" s="16"/>
    </row>
    <row r="246" s="8" customFormat="true" ht="13.5" hidden="false" customHeight="false" outlineLevel="0" collapsed="false">
      <c r="A246" s="16" t="s">
        <v>30</v>
      </c>
      <c r="B246" s="16" t="s">
        <v>31</v>
      </c>
      <c r="C246" s="17"/>
      <c r="D246" s="17"/>
      <c r="E246" s="16" t="s">
        <v>24</v>
      </c>
      <c r="F246" s="16" t="n">
        <v>4825</v>
      </c>
      <c r="G246" s="18" t="n">
        <v>46087</v>
      </c>
      <c r="H246" s="18" t="n">
        <f aca="false">+G246+30</f>
        <v>46117</v>
      </c>
      <c r="I246" s="18"/>
      <c r="J246" s="19" t="n">
        <v>2637398</v>
      </c>
      <c r="K246" s="19" t="n">
        <f aca="false">+J246</f>
        <v>2637398</v>
      </c>
      <c r="L246" s="19" t="n">
        <f aca="false">+J246/1.19</f>
        <v>2216300.84033613</v>
      </c>
      <c r="M246" s="19" t="n">
        <f aca="false">+L246*19%</f>
        <v>421097.159663866</v>
      </c>
      <c r="N246" s="16" t="s">
        <v>130</v>
      </c>
      <c r="O246" s="20" t="n">
        <v>2026</v>
      </c>
      <c r="P246" s="21" t="n">
        <f aca="false">+J246</f>
        <v>2637398</v>
      </c>
      <c r="Q246" s="19" t="n">
        <f aca="false">+J246-P246</f>
        <v>0</v>
      </c>
      <c r="R246" s="22" t="str">
        <f aca="false">IF(J246-P246=0,"PAGADA","PENDIENTE")</f>
        <v>PAGADA</v>
      </c>
      <c r="S246" s="18" t="n">
        <v>46113</v>
      </c>
      <c r="T246" s="16"/>
      <c r="U246" s="16"/>
      <c r="V246" s="16"/>
      <c r="W246" s="16"/>
      <c r="X246" s="16"/>
    </row>
    <row r="247" s="8" customFormat="true" ht="13.5" hidden="false" customHeight="false" outlineLevel="0" collapsed="false">
      <c r="A247" s="24" t="s">
        <v>113</v>
      </c>
      <c r="B247" s="24" t="s">
        <v>114</v>
      </c>
      <c r="C247" s="25"/>
      <c r="D247" s="25"/>
      <c r="E247" s="24" t="s">
        <v>35</v>
      </c>
      <c r="F247" s="24" t="n">
        <v>477</v>
      </c>
      <c r="G247" s="26" t="n">
        <v>46085</v>
      </c>
      <c r="H247" s="26" t="n">
        <f aca="false">+G247+30</f>
        <v>46115</v>
      </c>
      <c r="I247" s="26"/>
      <c r="J247" s="21" t="n">
        <v>-5352025</v>
      </c>
      <c r="K247" s="21" t="n">
        <f aca="false">+J247</f>
        <v>-5352025</v>
      </c>
      <c r="L247" s="21" t="n">
        <f aca="false">+J247/1.19</f>
        <v>-4497500</v>
      </c>
      <c r="M247" s="21" t="n">
        <f aca="false">+L247*19%</f>
        <v>-854525</v>
      </c>
      <c r="N247" s="24" t="s">
        <v>130</v>
      </c>
      <c r="O247" s="27" t="n">
        <v>2026</v>
      </c>
      <c r="P247" s="21" t="n">
        <f aca="false">+J247</f>
        <v>-5352025</v>
      </c>
      <c r="Q247" s="21" t="n">
        <f aca="false">+J247-P247</f>
        <v>0</v>
      </c>
      <c r="R247" s="28" t="str">
        <f aca="false">IF(J247-P247=0,"PAGADA","PENDIENTE")</f>
        <v>PAGADA</v>
      </c>
      <c r="S247" s="24" t="s">
        <v>137</v>
      </c>
      <c r="T247" s="24"/>
      <c r="U247" s="24"/>
      <c r="V247" s="24"/>
      <c r="W247" s="24"/>
      <c r="X247" s="24"/>
    </row>
    <row r="248" s="8" customFormat="true" ht="13.5" hidden="false" customHeight="false" outlineLevel="0" collapsed="false">
      <c r="A248" s="24" t="s">
        <v>116</v>
      </c>
      <c r="B248" s="24" t="s">
        <v>117</v>
      </c>
      <c r="C248" s="25"/>
      <c r="D248" s="25"/>
      <c r="E248" s="24" t="s">
        <v>35</v>
      </c>
      <c r="F248" s="24" t="n">
        <v>478</v>
      </c>
      <c r="G248" s="26" t="n">
        <v>46085</v>
      </c>
      <c r="H248" s="26" t="n">
        <f aca="false">+G248+30</f>
        <v>46115</v>
      </c>
      <c r="I248" s="26"/>
      <c r="J248" s="21" t="n">
        <v>-5352025</v>
      </c>
      <c r="K248" s="21" t="n">
        <f aca="false">+J248</f>
        <v>-5352025</v>
      </c>
      <c r="L248" s="21" t="n">
        <f aca="false">+J248/1.19</f>
        <v>-4497500</v>
      </c>
      <c r="M248" s="21" t="n">
        <f aca="false">+L248*19%</f>
        <v>-854525</v>
      </c>
      <c r="N248" s="24" t="s">
        <v>130</v>
      </c>
      <c r="O248" s="27" t="n">
        <v>2026</v>
      </c>
      <c r="P248" s="21" t="n">
        <f aca="false">+J248</f>
        <v>-5352025</v>
      </c>
      <c r="Q248" s="21" t="n">
        <f aca="false">+J248-P248</f>
        <v>0</v>
      </c>
      <c r="R248" s="28" t="str">
        <f aca="false">IF(J248-P248=0,"PAGADA","PENDIENTE")</f>
        <v>PAGADA</v>
      </c>
      <c r="S248" s="24" t="s">
        <v>137</v>
      </c>
      <c r="T248" s="24"/>
      <c r="U248" s="24"/>
      <c r="V248" s="24"/>
      <c r="W248" s="24"/>
      <c r="X248" s="24"/>
    </row>
    <row r="249" s="8" customFormat="true" ht="13.5" hidden="false" customHeight="false" outlineLevel="0" collapsed="false">
      <c r="A249" s="24" t="s">
        <v>30</v>
      </c>
      <c r="B249" s="24" t="s">
        <v>31</v>
      </c>
      <c r="C249" s="25"/>
      <c r="D249" s="25"/>
      <c r="E249" s="24" t="s">
        <v>35</v>
      </c>
      <c r="F249" s="24" t="n">
        <v>479</v>
      </c>
      <c r="G249" s="26" t="n">
        <v>46087</v>
      </c>
      <c r="H249" s="26" t="n">
        <f aca="false">+G249+30</f>
        <v>46117</v>
      </c>
      <c r="I249" s="26"/>
      <c r="J249" s="21" t="n">
        <v>-4825411</v>
      </c>
      <c r="K249" s="21" t="n">
        <f aca="false">+J249</f>
        <v>-4825411</v>
      </c>
      <c r="L249" s="21" t="n">
        <f aca="false">+J249/1.19</f>
        <v>-4054967.22689076</v>
      </c>
      <c r="M249" s="21" t="n">
        <f aca="false">+L249*19%</f>
        <v>-770443.773109244</v>
      </c>
      <c r="N249" s="24" t="s">
        <v>130</v>
      </c>
      <c r="O249" s="27" t="n">
        <v>2026</v>
      </c>
      <c r="P249" s="21" t="n">
        <f aca="false">+J249</f>
        <v>-4825411</v>
      </c>
      <c r="Q249" s="21" t="n">
        <f aca="false">+J249-P249</f>
        <v>0</v>
      </c>
      <c r="R249" s="28" t="str">
        <f aca="false">IF(J249-P249=0,"PAGADA","PENDIENTE")</f>
        <v>PAGADA</v>
      </c>
      <c r="S249" s="24" t="s">
        <v>137</v>
      </c>
      <c r="T249" s="24"/>
      <c r="U249" s="24"/>
      <c r="V249" s="24"/>
      <c r="W249" s="24"/>
      <c r="X249" s="24"/>
    </row>
    <row r="250" s="8" customFormat="true" ht="13.5" hidden="false" customHeight="false" outlineLevel="0" collapsed="false">
      <c r="A250" s="16" t="s">
        <v>26</v>
      </c>
      <c r="B250" s="16" t="s">
        <v>27</v>
      </c>
      <c r="C250" s="17"/>
      <c r="D250" s="17"/>
      <c r="E250" s="16" t="s">
        <v>24</v>
      </c>
      <c r="F250" s="16" t="n">
        <v>4826</v>
      </c>
      <c r="G250" s="18" t="n">
        <v>46091</v>
      </c>
      <c r="H250" s="18" t="n">
        <f aca="false">+G250+30</f>
        <v>46121</v>
      </c>
      <c r="I250" s="18"/>
      <c r="J250" s="19" t="n">
        <v>2329677</v>
      </c>
      <c r="K250" s="19" t="n">
        <f aca="false">+J250</f>
        <v>2329677</v>
      </c>
      <c r="L250" s="19" t="n">
        <f aca="false">+J250/1.19</f>
        <v>1957711.76470588</v>
      </c>
      <c r="M250" s="19" t="n">
        <f aca="false">+L250*19%</f>
        <v>371965.235294118</v>
      </c>
      <c r="N250" s="16" t="s">
        <v>130</v>
      </c>
      <c r="O250" s="20" t="n">
        <v>2026</v>
      </c>
      <c r="P250" s="21" t="n">
        <f aca="false">+J250</f>
        <v>2329677</v>
      </c>
      <c r="Q250" s="19" t="n">
        <f aca="false">+J250-P250</f>
        <v>0</v>
      </c>
      <c r="R250" s="22" t="str">
        <f aca="false">IF(J250-P250=0,"PAGADA","PENDIENTE")</f>
        <v>PAGADA</v>
      </c>
      <c r="S250" s="18" t="n">
        <v>46122</v>
      </c>
      <c r="T250" s="16"/>
      <c r="U250" s="16"/>
      <c r="V250" s="16"/>
      <c r="W250" s="16"/>
      <c r="X250" s="16"/>
    </row>
    <row r="251" s="8" customFormat="true" ht="13.5" hidden="false" customHeight="false" outlineLevel="0" collapsed="false">
      <c r="A251" s="16" t="s">
        <v>26</v>
      </c>
      <c r="B251" s="16" t="s">
        <v>27</v>
      </c>
      <c r="C251" s="17"/>
      <c r="D251" s="17"/>
      <c r="E251" s="16" t="s">
        <v>24</v>
      </c>
      <c r="F251" s="16" t="n">
        <v>4827</v>
      </c>
      <c r="G251" s="18" t="n">
        <v>46091</v>
      </c>
      <c r="H251" s="18" t="n">
        <f aca="false">+G251+30</f>
        <v>46121</v>
      </c>
      <c r="I251" s="18"/>
      <c r="J251" s="19" t="n">
        <v>14749067</v>
      </c>
      <c r="K251" s="19" t="n">
        <f aca="false">+J251</f>
        <v>14749067</v>
      </c>
      <c r="L251" s="19" t="n">
        <f aca="false">+J251/1.19</f>
        <v>12394173.9495798</v>
      </c>
      <c r="M251" s="19" t="n">
        <f aca="false">+L251*19%</f>
        <v>2354893.05042017</v>
      </c>
      <c r="N251" s="16" t="s">
        <v>130</v>
      </c>
      <c r="O251" s="20" t="n">
        <v>2026</v>
      </c>
      <c r="P251" s="21" t="n">
        <f aca="false">+J251</f>
        <v>14749067</v>
      </c>
      <c r="Q251" s="19" t="n">
        <f aca="false">+J251-P251</f>
        <v>0</v>
      </c>
      <c r="R251" s="22" t="str">
        <f aca="false">IF(J251-P251=0,"PAGADA","PENDIENTE")</f>
        <v>PAGADA</v>
      </c>
      <c r="S251" s="18" t="n">
        <v>46122</v>
      </c>
      <c r="T251" s="16"/>
      <c r="U251" s="16"/>
      <c r="V251" s="16"/>
      <c r="W251" s="16"/>
      <c r="X251" s="16"/>
    </row>
    <row r="252" s="8" customFormat="true" ht="13.5" hidden="false" customHeight="false" outlineLevel="0" collapsed="false">
      <c r="A252" s="16" t="s">
        <v>26</v>
      </c>
      <c r="B252" s="16" t="s">
        <v>27</v>
      </c>
      <c r="C252" s="17"/>
      <c r="D252" s="17"/>
      <c r="E252" s="16" t="s">
        <v>24</v>
      </c>
      <c r="F252" s="16" t="n">
        <v>4828</v>
      </c>
      <c r="G252" s="18" t="n">
        <v>46091</v>
      </c>
      <c r="H252" s="18" t="n">
        <f aca="false">+G252+30</f>
        <v>46121</v>
      </c>
      <c r="I252" s="18"/>
      <c r="J252" s="19" t="n">
        <v>399817</v>
      </c>
      <c r="K252" s="19" t="n">
        <f aca="false">+J252</f>
        <v>399817</v>
      </c>
      <c r="L252" s="19" t="n">
        <f aca="false">+J252/1.19</f>
        <v>335980.672268908</v>
      </c>
      <c r="M252" s="19" t="n">
        <f aca="false">+L252*19%</f>
        <v>63836.3277310924</v>
      </c>
      <c r="N252" s="16" t="s">
        <v>130</v>
      </c>
      <c r="O252" s="20" t="n">
        <v>2026</v>
      </c>
      <c r="P252" s="21" t="n">
        <f aca="false">+J252</f>
        <v>399817</v>
      </c>
      <c r="Q252" s="19" t="n">
        <f aca="false">+J252-P252</f>
        <v>0</v>
      </c>
      <c r="R252" s="22" t="str">
        <f aca="false">IF(J252-P252=0,"PAGADA","PENDIENTE")</f>
        <v>PAGADA</v>
      </c>
      <c r="S252" s="18" t="n">
        <v>46122</v>
      </c>
      <c r="T252" s="16"/>
      <c r="U252" s="16"/>
      <c r="V252" s="16"/>
      <c r="W252" s="16"/>
      <c r="X252" s="16"/>
    </row>
    <row r="253" s="8" customFormat="true" ht="13.5" hidden="false" customHeight="false" outlineLevel="0" collapsed="false">
      <c r="A253" s="16" t="s">
        <v>122</v>
      </c>
      <c r="B253" s="16" t="s">
        <v>123</v>
      </c>
      <c r="C253" s="17"/>
      <c r="D253" s="17"/>
      <c r="E253" s="16" t="s">
        <v>24</v>
      </c>
      <c r="F253" s="16" t="n">
        <v>4829</v>
      </c>
      <c r="G253" s="18" t="n">
        <v>46092</v>
      </c>
      <c r="H253" s="18" t="n">
        <f aca="false">+G253+30</f>
        <v>46122</v>
      </c>
      <c r="I253" s="18"/>
      <c r="J253" s="19" t="n">
        <v>2514295</v>
      </c>
      <c r="K253" s="19" t="n">
        <f aca="false">+J253</f>
        <v>2514295</v>
      </c>
      <c r="L253" s="19" t="n">
        <f aca="false">+J253/1.19</f>
        <v>2112852.94117647</v>
      </c>
      <c r="M253" s="19" t="n">
        <f aca="false">+L253*19%</f>
        <v>401442.058823529</v>
      </c>
      <c r="N253" s="16" t="s">
        <v>130</v>
      </c>
      <c r="O253" s="20" t="n">
        <v>2026</v>
      </c>
      <c r="P253" s="21" t="n">
        <f aca="false">+J253</f>
        <v>2514295</v>
      </c>
      <c r="Q253" s="19" t="n">
        <f aca="false">+J253-P253</f>
        <v>0</v>
      </c>
      <c r="R253" s="22" t="str">
        <f aca="false">IF(J253-P253=0,"PAGADA","PENDIENTE")</f>
        <v>PAGADA</v>
      </c>
      <c r="S253" s="18" t="n">
        <v>46122</v>
      </c>
      <c r="T253" s="16"/>
      <c r="U253" s="16"/>
      <c r="V253" s="16"/>
      <c r="W253" s="16"/>
      <c r="X253" s="16"/>
    </row>
    <row r="254" s="8" customFormat="true" ht="13.5" hidden="false" customHeight="false" outlineLevel="0" collapsed="false">
      <c r="A254" s="16" t="s">
        <v>124</v>
      </c>
      <c r="B254" s="16" t="s">
        <v>125</v>
      </c>
      <c r="C254" s="17"/>
      <c r="D254" s="17"/>
      <c r="E254" s="16" t="s">
        <v>24</v>
      </c>
      <c r="F254" s="16" t="n">
        <v>4830</v>
      </c>
      <c r="G254" s="18" t="n">
        <v>46092</v>
      </c>
      <c r="H254" s="18" t="n">
        <f aca="false">+G254+30</f>
        <v>46122</v>
      </c>
      <c r="I254" s="18"/>
      <c r="J254" s="19" t="n">
        <v>5645283</v>
      </c>
      <c r="K254" s="19" t="n">
        <f aca="false">+J254</f>
        <v>5645283</v>
      </c>
      <c r="L254" s="19" t="n">
        <f aca="false">+J254/1.19</f>
        <v>4743935.29411765</v>
      </c>
      <c r="M254" s="19" t="n">
        <f aca="false">+L254*19%</f>
        <v>901347.705882353</v>
      </c>
      <c r="N254" s="16" t="s">
        <v>130</v>
      </c>
      <c r="O254" s="20" t="n">
        <v>2026</v>
      </c>
      <c r="P254" s="21" t="n">
        <f aca="false">+J254</f>
        <v>5645283</v>
      </c>
      <c r="Q254" s="19" t="n">
        <f aca="false">+J254-P254</f>
        <v>0</v>
      </c>
      <c r="R254" s="22" t="str">
        <f aca="false">IF(J254-P254=0,"PAGADA","PENDIENTE")</f>
        <v>PAGADA</v>
      </c>
      <c r="S254" s="18" t="n">
        <v>46111</v>
      </c>
      <c r="T254" s="16"/>
      <c r="U254" s="16"/>
      <c r="V254" s="16"/>
      <c r="W254" s="16"/>
      <c r="X254" s="16"/>
    </row>
    <row r="255" s="8" customFormat="true" ht="13.5" hidden="false" customHeight="false" outlineLevel="0" collapsed="false">
      <c r="A255" s="16" t="s">
        <v>138</v>
      </c>
      <c r="B255" s="16" t="s">
        <v>46</v>
      </c>
      <c r="C255" s="17"/>
      <c r="D255" s="17"/>
      <c r="E255" s="16" t="s">
        <v>24</v>
      </c>
      <c r="F255" s="16" t="n">
        <v>4831</v>
      </c>
      <c r="G255" s="18" t="n">
        <v>46092</v>
      </c>
      <c r="H255" s="18" t="n">
        <f aca="false">+G255+30</f>
        <v>46122</v>
      </c>
      <c r="I255" s="18"/>
      <c r="J255" s="19" t="n">
        <v>3682121</v>
      </c>
      <c r="K255" s="19" t="n">
        <f aca="false">+J255</f>
        <v>3682121</v>
      </c>
      <c r="L255" s="19" t="n">
        <f aca="false">+J255/1.19</f>
        <v>3094219.32773109</v>
      </c>
      <c r="M255" s="19" t="n">
        <f aca="false">+L255*19%</f>
        <v>587901.672268908</v>
      </c>
      <c r="N255" s="16" t="s">
        <v>130</v>
      </c>
      <c r="O255" s="20" t="n">
        <v>2026</v>
      </c>
      <c r="P255" s="21" t="n">
        <f aca="false">+J255</f>
        <v>3682121</v>
      </c>
      <c r="Q255" s="19" t="n">
        <f aca="false">+J255-P255</f>
        <v>0</v>
      </c>
      <c r="R255" s="22" t="str">
        <f aca="false">IF(J255-P255=0,"PAGADA","PENDIENTE")</f>
        <v>PAGADA</v>
      </c>
      <c r="S255" s="18" t="n">
        <v>46146</v>
      </c>
      <c r="T255" s="16"/>
      <c r="U255" s="16"/>
      <c r="V255" s="16"/>
      <c r="W255" s="16"/>
      <c r="X255" s="16"/>
    </row>
    <row r="256" s="8" customFormat="true" ht="13.5" hidden="false" customHeight="false" outlineLevel="0" collapsed="false">
      <c r="A256" s="16" t="s">
        <v>43</v>
      </c>
      <c r="B256" s="16" t="s">
        <v>44</v>
      </c>
      <c r="C256" s="17"/>
      <c r="D256" s="17"/>
      <c r="E256" s="16" t="s">
        <v>24</v>
      </c>
      <c r="F256" s="16" t="n">
        <v>4832</v>
      </c>
      <c r="G256" s="18" t="n">
        <v>46092</v>
      </c>
      <c r="H256" s="18" t="n">
        <f aca="false">+G256+30</f>
        <v>46122</v>
      </c>
      <c r="I256" s="18"/>
      <c r="J256" s="19" t="n">
        <v>4466963</v>
      </c>
      <c r="K256" s="19" t="n">
        <f aca="false">+J256</f>
        <v>4466963</v>
      </c>
      <c r="L256" s="19" t="n">
        <f aca="false">+J256/1.19</f>
        <v>3753750.42016807</v>
      </c>
      <c r="M256" s="19" t="n">
        <f aca="false">+L256*19%</f>
        <v>713212.579831933</v>
      </c>
      <c r="N256" s="16" t="s">
        <v>130</v>
      </c>
      <c r="O256" s="20" t="n">
        <v>2026</v>
      </c>
      <c r="P256" s="21" t="n">
        <f aca="false">+J256</f>
        <v>4466963</v>
      </c>
      <c r="Q256" s="19" t="n">
        <f aca="false">+J256-P256</f>
        <v>0</v>
      </c>
      <c r="R256" s="22" t="str">
        <f aca="false">IF(J256-P256=0,"PAGADA","PENDIENTE")</f>
        <v>PAGADA</v>
      </c>
      <c r="S256" s="18" t="n">
        <v>46150</v>
      </c>
      <c r="T256" s="16"/>
      <c r="U256" s="16"/>
      <c r="V256" s="16"/>
      <c r="W256" s="16"/>
      <c r="X256" s="16"/>
    </row>
    <row r="257" s="8" customFormat="true" ht="13.5" hidden="false" customHeight="false" outlineLevel="0" collapsed="false">
      <c r="A257" s="16" t="s">
        <v>92</v>
      </c>
      <c r="B257" s="16" t="s">
        <v>139</v>
      </c>
      <c r="C257" s="17"/>
      <c r="D257" s="17"/>
      <c r="E257" s="16" t="s">
        <v>24</v>
      </c>
      <c r="F257" s="16" t="n">
        <v>4833</v>
      </c>
      <c r="G257" s="18" t="n">
        <v>46093</v>
      </c>
      <c r="H257" s="18" t="n">
        <f aca="false">+G257+30</f>
        <v>46123</v>
      </c>
      <c r="I257" s="18"/>
      <c r="J257" s="19" t="n">
        <v>238000</v>
      </c>
      <c r="K257" s="19" t="n">
        <f aca="false">+J257</f>
        <v>238000</v>
      </c>
      <c r="L257" s="19" t="n">
        <f aca="false">+J257/1.19</f>
        <v>200000</v>
      </c>
      <c r="M257" s="19" t="n">
        <f aca="false">+L257*19%</f>
        <v>38000</v>
      </c>
      <c r="N257" s="16" t="s">
        <v>130</v>
      </c>
      <c r="O257" s="20" t="n">
        <v>2026</v>
      </c>
      <c r="P257" s="21" t="n">
        <f aca="false">+J257</f>
        <v>238000</v>
      </c>
      <c r="Q257" s="19" t="n">
        <f aca="false">+J257-P257</f>
        <v>0</v>
      </c>
      <c r="R257" s="22" t="str">
        <f aca="false">IF(J257-P257=0,"PAGADA","PENDIENTE")</f>
        <v>PAGADA</v>
      </c>
      <c r="S257" s="18" t="n">
        <v>46129</v>
      </c>
      <c r="T257" s="16"/>
      <c r="U257" s="16"/>
      <c r="V257" s="16"/>
      <c r="W257" s="16"/>
      <c r="X257" s="16"/>
    </row>
    <row r="258" s="8" customFormat="true" ht="13.5" hidden="false" customHeight="false" outlineLevel="0" collapsed="false">
      <c r="A258" s="16" t="s">
        <v>92</v>
      </c>
      <c r="B258" s="16" t="s">
        <v>139</v>
      </c>
      <c r="C258" s="17"/>
      <c r="D258" s="17"/>
      <c r="E258" s="16" t="s">
        <v>24</v>
      </c>
      <c r="F258" s="16" t="n">
        <v>4834</v>
      </c>
      <c r="G258" s="18" t="n">
        <v>46093</v>
      </c>
      <c r="H258" s="18" t="n">
        <f aca="false">+G258+30</f>
        <v>46123</v>
      </c>
      <c r="I258" s="18"/>
      <c r="J258" s="19" t="n">
        <v>237262</v>
      </c>
      <c r="K258" s="19" t="n">
        <f aca="false">+J258</f>
        <v>237262</v>
      </c>
      <c r="L258" s="19" t="n">
        <f aca="false">+J258/1.19</f>
        <v>199379.831932773</v>
      </c>
      <c r="M258" s="19" t="n">
        <f aca="false">+L258*19%</f>
        <v>37882.1680672269</v>
      </c>
      <c r="N258" s="16" t="s">
        <v>130</v>
      </c>
      <c r="O258" s="20" t="n">
        <v>2026</v>
      </c>
      <c r="P258" s="21" t="n">
        <f aca="false">+J258</f>
        <v>237262</v>
      </c>
      <c r="Q258" s="19" t="n">
        <f aca="false">+J258-P258</f>
        <v>0</v>
      </c>
      <c r="R258" s="22" t="str">
        <f aca="false">IF(J258-P258=0,"PAGADA","PENDIENTE")</f>
        <v>PAGADA</v>
      </c>
      <c r="S258" s="18" t="n">
        <v>46129</v>
      </c>
      <c r="T258" s="16"/>
      <c r="U258" s="16"/>
      <c r="V258" s="16"/>
      <c r="W258" s="16"/>
      <c r="X258" s="16"/>
    </row>
    <row r="259" s="8" customFormat="true" ht="13.5" hidden="false" customHeight="false" outlineLevel="0" collapsed="false">
      <c r="A259" s="16" t="s">
        <v>92</v>
      </c>
      <c r="B259" s="16" t="s">
        <v>139</v>
      </c>
      <c r="C259" s="17"/>
      <c r="D259" s="17"/>
      <c r="E259" s="16" t="s">
        <v>24</v>
      </c>
      <c r="F259" s="16" t="n">
        <v>4835</v>
      </c>
      <c r="G259" s="18" t="n">
        <v>46093</v>
      </c>
      <c r="H259" s="18" t="n">
        <f aca="false">+G259+30</f>
        <v>46123</v>
      </c>
      <c r="I259" s="18"/>
      <c r="J259" s="19" t="n">
        <v>119000</v>
      </c>
      <c r="K259" s="19" t="n">
        <f aca="false">+J259</f>
        <v>119000</v>
      </c>
      <c r="L259" s="19" t="n">
        <f aca="false">+J259/1.19</f>
        <v>100000</v>
      </c>
      <c r="M259" s="19" t="n">
        <f aca="false">+L259*19%</f>
        <v>19000</v>
      </c>
      <c r="N259" s="16" t="s">
        <v>130</v>
      </c>
      <c r="O259" s="20" t="n">
        <v>2026</v>
      </c>
      <c r="P259" s="21" t="n">
        <f aca="false">+J259</f>
        <v>119000</v>
      </c>
      <c r="Q259" s="19" t="n">
        <f aca="false">+J259-P259</f>
        <v>0</v>
      </c>
      <c r="R259" s="22" t="str">
        <f aca="false">IF(J259-P259=0,"PAGADA","PENDIENTE")</f>
        <v>PAGADA</v>
      </c>
      <c r="S259" s="18" t="n">
        <v>46150</v>
      </c>
      <c r="T259" s="16"/>
      <c r="U259" s="16"/>
      <c r="V259" s="16"/>
      <c r="W259" s="16"/>
      <c r="X259" s="16"/>
    </row>
    <row r="260" s="8" customFormat="true" ht="13.5" hidden="false" customHeight="false" outlineLevel="0" collapsed="false">
      <c r="A260" s="16" t="s">
        <v>92</v>
      </c>
      <c r="B260" s="16" t="s">
        <v>139</v>
      </c>
      <c r="C260" s="17"/>
      <c r="D260" s="17"/>
      <c r="E260" s="16" t="s">
        <v>24</v>
      </c>
      <c r="F260" s="16" t="n">
        <v>4836</v>
      </c>
      <c r="G260" s="18" t="n">
        <v>46093</v>
      </c>
      <c r="H260" s="18" t="n">
        <f aca="false">+G260+30</f>
        <v>46123</v>
      </c>
      <c r="I260" s="18"/>
      <c r="J260" s="19" t="n">
        <v>119000</v>
      </c>
      <c r="K260" s="19" t="n">
        <f aca="false">+J260</f>
        <v>119000</v>
      </c>
      <c r="L260" s="19" t="n">
        <f aca="false">+J260/1.19</f>
        <v>100000</v>
      </c>
      <c r="M260" s="19" t="n">
        <f aca="false">+L260*19%</f>
        <v>19000</v>
      </c>
      <c r="N260" s="16" t="s">
        <v>130</v>
      </c>
      <c r="O260" s="20" t="n">
        <v>2026</v>
      </c>
      <c r="P260" s="21" t="n">
        <f aca="false">+J260</f>
        <v>119000</v>
      </c>
      <c r="Q260" s="19" t="n">
        <f aca="false">+J260-P260</f>
        <v>0</v>
      </c>
      <c r="R260" s="22" t="str">
        <f aca="false">IF(J260-P260=0,"PAGADA","PENDIENTE")</f>
        <v>PAGADA</v>
      </c>
      <c r="S260" s="18" t="n">
        <v>46150</v>
      </c>
      <c r="T260" s="16"/>
      <c r="U260" s="16"/>
      <c r="V260" s="16"/>
      <c r="W260" s="16"/>
      <c r="X260" s="16"/>
    </row>
    <row r="261" s="8" customFormat="true" ht="13.5" hidden="false" customHeight="false" outlineLevel="0" collapsed="false">
      <c r="A261" s="16" t="s">
        <v>92</v>
      </c>
      <c r="B261" s="16" t="s">
        <v>139</v>
      </c>
      <c r="C261" s="17"/>
      <c r="D261" s="17"/>
      <c r="E261" s="16" t="s">
        <v>24</v>
      </c>
      <c r="F261" s="16" t="n">
        <v>4837</v>
      </c>
      <c r="G261" s="18" t="n">
        <v>46093</v>
      </c>
      <c r="H261" s="18" t="n">
        <f aca="false">+G261+30</f>
        <v>46123</v>
      </c>
      <c r="I261" s="18"/>
      <c r="J261" s="19" t="n">
        <v>136397</v>
      </c>
      <c r="K261" s="19" t="n">
        <f aca="false">+J261</f>
        <v>136397</v>
      </c>
      <c r="L261" s="19" t="n">
        <f aca="false">+J261/1.19</f>
        <v>114619.327731092</v>
      </c>
      <c r="M261" s="19" t="n">
        <f aca="false">+L261*19%</f>
        <v>21777.6722689076</v>
      </c>
      <c r="N261" s="16" t="s">
        <v>130</v>
      </c>
      <c r="O261" s="20" t="n">
        <v>2026</v>
      </c>
      <c r="P261" s="21" t="n">
        <f aca="false">+J261</f>
        <v>136397</v>
      </c>
      <c r="Q261" s="19" t="n">
        <f aca="false">+J261-P261</f>
        <v>0</v>
      </c>
      <c r="R261" s="22" t="str">
        <f aca="false">IF(J261-P261=0,"PAGADA","PENDIENTE")</f>
        <v>PAGADA</v>
      </c>
      <c r="S261" s="18" t="n">
        <v>46150</v>
      </c>
      <c r="T261" s="16"/>
      <c r="U261" s="16"/>
      <c r="V261" s="16"/>
      <c r="W261" s="16"/>
      <c r="X261" s="16"/>
    </row>
    <row r="262" s="8" customFormat="true" ht="13.5" hidden="false" customHeight="false" outlineLevel="0" collapsed="false">
      <c r="A262" s="16" t="s">
        <v>94</v>
      </c>
      <c r="B262" s="16" t="s">
        <v>95</v>
      </c>
      <c r="C262" s="17"/>
      <c r="D262" s="17"/>
      <c r="E262" s="16" t="s">
        <v>24</v>
      </c>
      <c r="F262" s="16" t="n">
        <v>4838</v>
      </c>
      <c r="G262" s="18" t="n">
        <v>46093</v>
      </c>
      <c r="H262" s="18" t="n">
        <f aca="false">+G262+30</f>
        <v>46123</v>
      </c>
      <c r="I262" s="18"/>
      <c r="J262" s="19" t="n">
        <v>2559671</v>
      </c>
      <c r="K262" s="19" t="n">
        <f aca="false">+J262</f>
        <v>2559671</v>
      </c>
      <c r="L262" s="19" t="n">
        <f aca="false">+J262/1.19</f>
        <v>2150984.03361345</v>
      </c>
      <c r="M262" s="19" t="n">
        <f aca="false">+L262*19%</f>
        <v>408686.966386555</v>
      </c>
      <c r="N262" s="16" t="s">
        <v>130</v>
      </c>
      <c r="O262" s="20" t="n">
        <v>2026</v>
      </c>
      <c r="P262" s="21" t="n">
        <f aca="false">+J262</f>
        <v>2559671</v>
      </c>
      <c r="Q262" s="19" t="n">
        <f aca="false">+J262-P262</f>
        <v>0</v>
      </c>
      <c r="R262" s="22" t="str">
        <f aca="false">IF(J262-P262=0,"PAGADA","PENDIENTE")</f>
        <v>PAGADA</v>
      </c>
      <c r="S262" s="18" t="n">
        <v>46094</v>
      </c>
      <c r="T262" s="16"/>
      <c r="U262" s="16"/>
      <c r="V262" s="16"/>
      <c r="W262" s="16"/>
      <c r="X262" s="16"/>
    </row>
    <row r="263" s="8" customFormat="true" ht="13.5" hidden="false" customHeight="false" outlineLevel="0" collapsed="false">
      <c r="A263" s="16" t="s">
        <v>94</v>
      </c>
      <c r="B263" s="16" t="s">
        <v>95</v>
      </c>
      <c r="C263" s="17"/>
      <c r="D263" s="17"/>
      <c r="E263" s="16" t="s">
        <v>24</v>
      </c>
      <c r="F263" s="16" t="n">
        <v>4839</v>
      </c>
      <c r="G263" s="18" t="n">
        <v>46093</v>
      </c>
      <c r="H263" s="18" t="n">
        <f aca="false">+G263+30</f>
        <v>46123</v>
      </c>
      <c r="I263" s="18"/>
      <c r="J263" s="19" t="n">
        <v>2374280</v>
      </c>
      <c r="K263" s="19" t="n">
        <f aca="false">+J263</f>
        <v>2374280</v>
      </c>
      <c r="L263" s="19" t="n">
        <f aca="false">+J263/1.19</f>
        <v>1995193.27731092</v>
      </c>
      <c r="M263" s="19" t="n">
        <f aca="false">+L263*19%</f>
        <v>379086.722689076</v>
      </c>
      <c r="N263" s="16" t="s">
        <v>130</v>
      </c>
      <c r="O263" s="20" t="n">
        <v>2026</v>
      </c>
      <c r="P263" s="21" t="n">
        <f aca="false">+J263</f>
        <v>2374280</v>
      </c>
      <c r="Q263" s="19" t="n">
        <f aca="false">+J263-P263</f>
        <v>0</v>
      </c>
      <c r="R263" s="22" t="str">
        <f aca="false">IF(J263-P263=0,"PAGADA","PENDIENTE")</f>
        <v>PAGADA</v>
      </c>
      <c r="S263" s="18" t="n">
        <v>46094</v>
      </c>
      <c r="T263" s="16"/>
      <c r="U263" s="16"/>
      <c r="V263" s="16"/>
      <c r="W263" s="16"/>
      <c r="X263" s="16"/>
    </row>
    <row r="264" s="8" customFormat="true" ht="13.5" hidden="false" customHeight="false" outlineLevel="0" collapsed="false">
      <c r="A264" s="16" t="s">
        <v>94</v>
      </c>
      <c r="B264" s="16" t="s">
        <v>95</v>
      </c>
      <c r="C264" s="17"/>
      <c r="D264" s="17"/>
      <c r="E264" s="16" t="s">
        <v>24</v>
      </c>
      <c r="F264" s="16" t="n">
        <v>4840</v>
      </c>
      <c r="G264" s="18" t="n">
        <v>46093</v>
      </c>
      <c r="H264" s="18" t="n">
        <f aca="false">+G264+30</f>
        <v>46123</v>
      </c>
      <c r="I264" s="18"/>
      <c r="J264" s="19" t="n">
        <v>1490011</v>
      </c>
      <c r="K264" s="19" t="n">
        <f aca="false">+J264</f>
        <v>1490011</v>
      </c>
      <c r="L264" s="19" t="n">
        <f aca="false">+J264/1.19</f>
        <v>1252110.08403361</v>
      </c>
      <c r="M264" s="19" t="n">
        <f aca="false">+L264*19%</f>
        <v>237900.915966387</v>
      </c>
      <c r="N264" s="16" t="s">
        <v>130</v>
      </c>
      <c r="O264" s="20" t="n">
        <v>2026</v>
      </c>
      <c r="P264" s="21" t="n">
        <f aca="false">+J264</f>
        <v>1490011</v>
      </c>
      <c r="Q264" s="19" t="n">
        <f aca="false">+J264-P264</f>
        <v>0</v>
      </c>
      <c r="R264" s="22" t="str">
        <f aca="false">IF(J264-P264=0,"PAGADA","PENDIENTE")</f>
        <v>PAGADA</v>
      </c>
      <c r="S264" s="18" t="n">
        <v>46094</v>
      </c>
      <c r="T264" s="16"/>
      <c r="U264" s="16"/>
      <c r="V264" s="16"/>
      <c r="W264" s="16"/>
      <c r="X264" s="16"/>
    </row>
    <row r="265" s="8" customFormat="true" ht="13.5" hidden="false" customHeight="false" outlineLevel="0" collapsed="false">
      <c r="A265" s="16" t="s">
        <v>94</v>
      </c>
      <c r="B265" s="16" t="s">
        <v>95</v>
      </c>
      <c r="C265" s="17"/>
      <c r="D265" s="17"/>
      <c r="E265" s="16" t="s">
        <v>24</v>
      </c>
      <c r="F265" s="16" t="n">
        <v>4841</v>
      </c>
      <c r="G265" s="18" t="n">
        <v>46093</v>
      </c>
      <c r="H265" s="18" t="n">
        <f aca="false">+G265+30</f>
        <v>46123</v>
      </c>
      <c r="I265" s="18"/>
      <c r="J265" s="19" t="n">
        <v>1289278</v>
      </c>
      <c r="K265" s="19" t="n">
        <f aca="false">+J265</f>
        <v>1289278</v>
      </c>
      <c r="L265" s="19" t="n">
        <f aca="false">+J265/1.19</f>
        <v>1083426.8907563</v>
      </c>
      <c r="M265" s="19" t="n">
        <f aca="false">+L265*19%</f>
        <v>205851.109243698</v>
      </c>
      <c r="N265" s="16" t="s">
        <v>130</v>
      </c>
      <c r="O265" s="20" t="n">
        <v>2026</v>
      </c>
      <c r="P265" s="21" t="n">
        <f aca="false">+J265</f>
        <v>1289278</v>
      </c>
      <c r="Q265" s="19" t="n">
        <f aca="false">+J265-P265</f>
        <v>0</v>
      </c>
      <c r="R265" s="22" t="str">
        <f aca="false">IF(J265-P265=0,"PAGADA","PENDIENTE")</f>
        <v>PAGADA</v>
      </c>
      <c r="S265" s="18" t="n">
        <v>46094</v>
      </c>
      <c r="T265" s="16"/>
      <c r="U265" s="16"/>
      <c r="V265" s="16"/>
      <c r="W265" s="16"/>
      <c r="X265" s="16"/>
    </row>
    <row r="266" s="8" customFormat="true" ht="13.5" hidden="false" customHeight="false" outlineLevel="0" collapsed="false">
      <c r="A266" s="16" t="s">
        <v>32</v>
      </c>
      <c r="B266" s="16" t="s">
        <v>33</v>
      </c>
      <c r="C266" s="17"/>
      <c r="D266" s="17"/>
      <c r="E266" s="16" t="s">
        <v>24</v>
      </c>
      <c r="F266" s="16" t="n">
        <v>4842</v>
      </c>
      <c r="G266" s="18" t="n">
        <v>46099</v>
      </c>
      <c r="H266" s="18" t="n">
        <f aca="false">+G266+30</f>
        <v>46129</v>
      </c>
      <c r="I266" s="18"/>
      <c r="J266" s="19" t="n">
        <v>9356256</v>
      </c>
      <c r="K266" s="19" t="n">
        <f aca="false">+J266</f>
        <v>9356256</v>
      </c>
      <c r="L266" s="19" t="n">
        <f aca="false">+J266/1.19</f>
        <v>7862400</v>
      </c>
      <c r="M266" s="19" t="n">
        <f aca="false">+L266*19%</f>
        <v>1493856</v>
      </c>
      <c r="N266" s="16" t="s">
        <v>130</v>
      </c>
      <c r="O266" s="20" t="n">
        <v>2026</v>
      </c>
      <c r="P266" s="21" t="n">
        <f aca="false">5000000+2000000+1287675</f>
        <v>8287675</v>
      </c>
      <c r="Q266" s="19" t="n">
        <f aca="false">+J266-P266</f>
        <v>1068581</v>
      </c>
      <c r="R266" s="22" t="str">
        <f aca="false">IF(J266-P266=0,"PAGADA","PENDIENTE")</f>
        <v>PENDIENTE</v>
      </c>
      <c r="S266" s="18" t="s">
        <v>140</v>
      </c>
      <c r="T266" s="16"/>
      <c r="U266" s="16"/>
      <c r="V266" s="16"/>
      <c r="W266" s="16"/>
      <c r="X266" s="16"/>
    </row>
    <row r="267" s="8" customFormat="true" ht="13.5" hidden="false" customHeight="false" outlineLevel="0" collapsed="false">
      <c r="A267" s="16" t="s">
        <v>32</v>
      </c>
      <c r="B267" s="16" t="s">
        <v>33</v>
      </c>
      <c r="C267" s="17"/>
      <c r="D267" s="17"/>
      <c r="E267" s="16" t="s">
        <v>24</v>
      </c>
      <c r="F267" s="16" t="n">
        <v>4843</v>
      </c>
      <c r="G267" s="18" t="n">
        <v>46099</v>
      </c>
      <c r="H267" s="18" t="n">
        <f aca="false">+G267+30</f>
        <v>46129</v>
      </c>
      <c r="I267" s="18"/>
      <c r="J267" s="19" t="n">
        <v>4111367</v>
      </c>
      <c r="K267" s="19" t="n">
        <f aca="false">+J267</f>
        <v>4111367</v>
      </c>
      <c r="L267" s="19" t="n">
        <f aca="false">+J267/1.19</f>
        <v>3454930.25210084</v>
      </c>
      <c r="M267" s="19" t="n">
        <f aca="false">+L267*19%</f>
        <v>656436.74789916</v>
      </c>
      <c r="N267" s="16" t="s">
        <v>130</v>
      </c>
      <c r="O267" s="20" t="n">
        <v>2026</v>
      </c>
      <c r="P267" s="21"/>
      <c r="Q267" s="19" t="n">
        <f aca="false">+J267-P267</f>
        <v>4111367</v>
      </c>
      <c r="R267" s="22" t="str">
        <f aca="false">IF(J267-P267=0,"PAGADA","PENDIENTE")</f>
        <v>PENDIENTE</v>
      </c>
      <c r="S267" s="16"/>
      <c r="T267" s="16"/>
      <c r="U267" s="16"/>
      <c r="V267" s="16"/>
      <c r="W267" s="16"/>
      <c r="X267" s="16"/>
    </row>
    <row r="268" s="8" customFormat="true" ht="13.5" hidden="false" customHeight="false" outlineLevel="0" collapsed="false">
      <c r="A268" s="16" t="s">
        <v>141</v>
      </c>
      <c r="B268" s="16" t="s">
        <v>142</v>
      </c>
      <c r="C268" s="17"/>
      <c r="D268" s="17"/>
      <c r="E268" s="16" t="s">
        <v>24</v>
      </c>
      <c r="F268" s="16" t="n">
        <v>4844</v>
      </c>
      <c r="G268" s="18" t="n">
        <v>46101</v>
      </c>
      <c r="H268" s="18" t="n">
        <f aca="false">+G268+30</f>
        <v>46131</v>
      </c>
      <c r="I268" s="18"/>
      <c r="J268" s="19" t="n">
        <v>1584264</v>
      </c>
      <c r="K268" s="19" t="n">
        <f aca="false">+J268</f>
        <v>1584264</v>
      </c>
      <c r="L268" s="19" t="n">
        <f aca="false">+J268/1.19</f>
        <v>1331314.28571429</v>
      </c>
      <c r="M268" s="19" t="n">
        <f aca="false">+L268*19%</f>
        <v>252949.714285714</v>
      </c>
      <c r="N268" s="16" t="s">
        <v>130</v>
      </c>
      <c r="O268" s="20" t="n">
        <v>2026</v>
      </c>
      <c r="P268" s="21"/>
      <c r="Q268" s="19" t="n">
        <f aca="false">+J268-P268</f>
        <v>1584264</v>
      </c>
      <c r="R268" s="22" t="str">
        <f aca="false">IF(J268-P268=0,"PAGADA","PENDIENTE")</f>
        <v>PENDIENTE</v>
      </c>
      <c r="S268" s="16"/>
      <c r="T268" s="16"/>
      <c r="U268" s="16"/>
      <c r="V268" s="16"/>
      <c r="W268" s="16"/>
      <c r="X268" s="16"/>
    </row>
    <row r="269" s="8" customFormat="true" ht="13.5" hidden="false" customHeight="false" outlineLevel="0" collapsed="false">
      <c r="A269" s="16" t="s">
        <v>64</v>
      </c>
      <c r="B269" s="16" t="s">
        <v>65</v>
      </c>
      <c r="C269" s="17"/>
      <c r="D269" s="17"/>
      <c r="E269" s="16" t="s">
        <v>24</v>
      </c>
      <c r="F269" s="16" t="n">
        <v>4845</v>
      </c>
      <c r="G269" s="18" t="n">
        <v>46104</v>
      </c>
      <c r="H269" s="18" t="n">
        <f aca="false">+G269+30</f>
        <v>46134</v>
      </c>
      <c r="I269" s="18"/>
      <c r="J269" s="19" t="n">
        <v>32725000</v>
      </c>
      <c r="K269" s="19" t="n">
        <f aca="false">+J269</f>
        <v>32725000</v>
      </c>
      <c r="L269" s="19" t="n">
        <f aca="false">+J269/1.19</f>
        <v>27500000</v>
      </c>
      <c r="M269" s="19" t="n">
        <f aca="false">+L269*19%</f>
        <v>5225000</v>
      </c>
      <c r="N269" s="16" t="s">
        <v>130</v>
      </c>
      <c r="O269" s="20" t="n">
        <v>2026</v>
      </c>
      <c r="P269" s="21" t="n">
        <f aca="false">+J269</f>
        <v>32725000</v>
      </c>
      <c r="Q269" s="19" t="n">
        <f aca="false">+J269-P269</f>
        <v>0</v>
      </c>
      <c r="R269" s="22" t="str">
        <f aca="false">IF(J269-P269=0,"PAGADA","PENDIENTE")</f>
        <v>PAGADA</v>
      </c>
      <c r="S269" s="18" t="n">
        <v>46134</v>
      </c>
      <c r="T269" s="16"/>
      <c r="U269" s="16"/>
      <c r="V269" s="16"/>
      <c r="W269" s="16"/>
      <c r="X269" s="16"/>
    </row>
    <row r="270" s="8" customFormat="true" ht="13.5" hidden="false" customHeight="false" outlineLevel="0" collapsed="false">
      <c r="A270" s="16" t="s">
        <v>64</v>
      </c>
      <c r="B270" s="16" t="s">
        <v>65</v>
      </c>
      <c r="C270" s="17"/>
      <c r="D270" s="17"/>
      <c r="E270" s="16" t="s">
        <v>24</v>
      </c>
      <c r="F270" s="16" t="n">
        <v>4846</v>
      </c>
      <c r="G270" s="18" t="n">
        <v>46104</v>
      </c>
      <c r="H270" s="18" t="n">
        <f aca="false">+G270+30</f>
        <v>46134</v>
      </c>
      <c r="I270" s="18"/>
      <c r="J270" s="19" t="n">
        <v>26031690</v>
      </c>
      <c r="K270" s="19" t="n">
        <f aca="false">+J270</f>
        <v>26031690</v>
      </c>
      <c r="L270" s="19" t="n">
        <f aca="false">+J270/1.19</f>
        <v>21875369.7478992</v>
      </c>
      <c r="M270" s="19" t="n">
        <f aca="false">+L270*19%</f>
        <v>4156320.25210084</v>
      </c>
      <c r="N270" s="16" t="s">
        <v>130</v>
      </c>
      <c r="O270" s="20" t="n">
        <v>2026</v>
      </c>
      <c r="P270" s="21" t="n">
        <f aca="false">+J270</f>
        <v>26031690</v>
      </c>
      <c r="Q270" s="19" t="n">
        <f aca="false">+J270-P270</f>
        <v>0</v>
      </c>
      <c r="R270" s="22" t="str">
        <f aca="false">IF(J270-P270=0,"PAGADA","PENDIENTE")</f>
        <v>PAGADA</v>
      </c>
      <c r="S270" s="18" t="n">
        <v>46134</v>
      </c>
      <c r="T270" s="16"/>
      <c r="U270" s="16"/>
      <c r="V270" s="16"/>
      <c r="W270" s="16"/>
      <c r="X270" s="16"/>
    </row>
    <row r="271" s="8" customFormat="true" ht="13.5" hidden="false" customHeight="false" outlineLevel="0" collapsed="false">
      <c r="A271" s="16" t="s">
        <v>88</v>
      </c>
      <c r="B271" s="16" t="s">
        <v>89</v>
      </c>
      <c r="C271" s="17"/>
      <c r="D271" s="17"/>
      <c r="E271" s="16" t="s">
        <v>24</v>
      </c>
      <c r="F271" s="16" t="n">
        <v>4847</v>
      </c>
      <c r="G271" s="18" t="n">
        <v>46104</v>
      </c>
      <c r="H271" s="18" t="n">
        <f aca="false">+G271+30</f>
        <v>46134</v>
      </c>
      <c r="I271" s="18"/>
      <c r="J271" s="19" t="n">
        <v>5730321</v>
      </c>
      <c r="K271" s="19" t="n">
        <f aca="false">+J271</f>
        <v>5730321</v>
      </c>
      <c r="L271" s="19" t="n">
        <f aca="false">+J271/1.19</f>
        <v>4815395.79831933</v>
      </c>
      <c r="M271" s="19" t="n">
        <f aca="false">+L271*19%</f>
        <v>914925.201680672</v>
      </c>
      <c r="N271" s="16" t="s">
        <v>130</v>
      </c>
      <c r="O271" s="20" t="n">
        <v>2026</v>
      </c>
      <c r="P271" s="21" t="n">
        <f aca="false">+J271</f>
        <v>5730321</v>
      </c>
      <c r="Q271" s="19" t="n">
        <f aca="false">+J271-P271</f>
        <v>0</v>
      </c>
      <c r="R271" s="22" t="str">
        <f aca="false">IF(J271-P271=0,"PAGADA","PENDIENTE")</f>
        <v>PAGADA</v>
      </c>
      <c r="S271" s="18" t="n">
        <v>46136</v>
      </c>
      <c r="T271" s="16"/>
      <c r="U271" s="16"/>
      <c r="V271" s="16"/>
      <c r="W271" s="16"/>
      <c r="X271" s="16"/>
    </row>
    <row r="272" s="8" customFormat="true" ht="13.5" hidden="false" customHeight="false" outlineLevel="0" collapsed="false">
      <c r="A272" s="16" t="s">
        <v>39</v>
      </c>
      <c r="B272" s="16" t="s">
        <v>40</v>
      </c>
      <c r="C272" s="17"/>
      <c r="D272" s="17"/>
      <c r="E272" s="16" t="s">
        <v>24</v>
      </c>
      <c r="F272" s="16" t="n">
        <v>4848</v>
      </c>
      <c r="G272" s="18" t="n">
        <v>46104</v>
      </c>
      <c r="H272" s="18" t="n">
        <f aca="false">+G272+30</f>
        <v>46134</v>
      </c>
      <c r="I272" s="18"/>
      <c r="J272" s="19" t="n">
        <v>7247100</v>
      </c>
      <c r="K272" s="19" t="n">
        <f aca="false">+J272</f>
        <v>7247100</v>
      </c>
      <c r="L272" s="19" t="n">
        <f aca="false">+J272/1.19</f>
        <v>6090000</v>
      </c>
      <c r="M272" s="19" t="n">
        <f aca="false">+L272*19%</f>
        <v>1157100</v>
      </c>
      <c r="N272" s="16" t="s">
        <v>130</v>
      </c>
      <c r="O272" s="20" t="n">
        <v>2026</v>
      </c>
      <c r="P272" s="21" t="n">
        <f aca="false">+J272</f>
        <v>7247100</v>
      </c>
      <c r="Q272" s="19" t="n">
        <f aca="false">+J272-P272</f>
        <v>0</v>
      </c>
      <c r="R272" s="22" t="str">
        <f aca="false">IF(J272-P272=0,"PAGADA","PENDIENTE")</f>
        <v>PAGADA</v>
      </c>
      <c r="S272" s="18" t="n">
        <v>46129</v>
      </c>
      <c r="T272" s="16"/>
      <c r="U272" s="16"/>
      <c r="V272" s="16"/>
      <c r="W272" s="16"/>
      <c r="X272" s="16"/>
    </row>
    <row r="273" s="8" customFormat="true" ht="13.5" hidden="false" customHeight="false" outlineLevel="0" collapsed="false">
      <c r="A273" s="16" t="s">
        <v>39</v>
      </c>
      <c r="B273" s="16" t="s">
        <v>40</v>
      </c>
      <c r="C273" s="17"/>
      <c r="D273" s="17"/>
      <c r="E273" s="16" t="s">
        <v>24</v>
      </c>
      <c r="F273" s="16" t="n">
        <v>4849</v>
      </c>
      <c r="G273" s="18" t="n">
        <v>46104</v>
      </c>
      <c r="H273" s="18" t="n">
        <f aca="false">+G273+30</f>
        <v>46134</v>
      </c>
      <c r="I273" s="18"/>
      <c r="J273" s="19" t="n">
        <v>8003297</v>
      </c>
      <c r="K273" s="19" t="n">
        <f aca="false">+J273</f>
        <v>8003297</v>
      </c>
      <c r="L273" s="19" t="n">
        <f aca="false">+J273/1.19</f>
        <v>6725459.66386555</v>
      </c>
      <c r="M273" s="19" t="n">
        <f aca="false">+L273*19%</f>
        <v>1277837.33613445</v>
      </c>
      <c r="N273" s="16" t="s">
        <v>130</v>
      </c>
      <c r="O273" s="20" t="n">
        <v>2026</v>
      </c>
      <c r="P273" s="21" t="n">
        <f aca="false">+J273</f>
        <v>8003297</v>
      </c>
      <c r="Q273" s="19" t="n">
        <f aca="false">+J273-P273</f>
        <v>0</v>
      </c>
      <c r="R273" s="22" t="str">
        <f aca="false">IF(J273-P273=0,"PAGADA","PENDIENTE")</f>
        <v>PAGADA</v>
      </c>
      <c r="S273" s="18" t="n">
        <v>46129</v>
      </c>
      <c r="T273" s="16"/>
      <c r="U273" s="16"/>
      <c r="V273" s="16"/>
      <c r="W273" s="16"/>
      <c r="X273" s="16"/>
    </row>
    <row r="274" s="8" customFormat="true" ht="13.5" hidden="false" customHeight="false" outlineLevel="0" collapsed="false">
      <c r="A274" s="16" t="s">
        <v>39</v>
      </c>
      <c r="B274" s="16" t="s">
        <v>40</v>
      </c>
      <c r="C274" s="17"/>
      <c r="D274" s="17"/>
      <c r="E274" s="16" t="s">
        <v>24</v>
      </c>
      <c r="F274" s="16" t="n">
        <v>4850</v>
      </c>
      <c r="G274" s="18" t="n">
        <v>46104</v>
      </c>
      <c r="H274" s="18" t="n">
        <f aca="false">+G274+30</f>
        <v>46134</v>
      </c>
      <c r="I274" s="18"/>
      <c r="J274" s="19" t="n">
        <v>2186625</v>
      </c>
      <c r="K274" s="19" t="n">
        <f aca="false">+J274</f>
        <v>2186625</v>
      </c>
      <c r="L274" s="19" t="n">
        <f aca="false">+J274/1.19</f>
        <v>1837500</v>
      </c>
      <c r="M274" s="19" t="n">
        <f aca="false">+L274*19%</f>
        <v>349125</v>
      </c>
      <c r="N274" s="16" t="s">
        <v>130</v>
      </c>
      <c r="O274" s="20" t="n">
        <v>2026</v>
      </c>
      <c r="P274" s="21" t="n">
        <f aca="false">+J274</f>
        <v>2186625</v>
      </c>
      <c r="Q274" s="19" t="n">
        <f aca="false">+J274-P274</f>
        <v>0</v>
      </c>
      <c r="R274" s="22" t="str">
        <f aca="false">IF(J274-P274=0,"PAGADA","PENDIENTE")</f>
        <v>PAGADA</v>
      </c>
      <c r="S274" s="18" t="n">
        <v>46129</v>
      </c>
      <c r="T274" s="16"/>
      <c r="U274" s="16"/>
      <c r="V274" s="16"/>
      <c r="W274" s="16"/>
      <c r="X274" s="16"/>
    </row>
    <row r="275" s="8" customFormat="true" ht="13.5" hidden="false" customHeight="false" outlineLevel="0" collapsed="false">
      <c r="A275" s="16" t="s">
        <v>22</v>
      </c>
      <c r="B275" s="16" t="s">
        <v>23</v>
      </c>
      <c r="C275" s="17"/>
      <c r="D275" s="17"/>
      <c r="E275" s="16" t="s">
        <v>24</v>
      </c>
      <c r="F275" s="16" t="n">
        <v>4851</v>
      </c>
      <c r="G275" s="18" t="n">
        <v>46104</v>
      </c>
      <c r="H275" s="18" t="n">
        <f aca="false">+G275+30</f>
        <v>46134</v>
      </c>
      <c r="I275" s="18"/>
      <c r="J275" s="19" t="n">
        <v>66817</v>
      </c>
      <c r="K275" s="19" t="n">
        <f aca="false">+J275</f>
        <v>66817</v>
      </c>
      <c r="L275" s="19" t="n">
        <f aca="false">+J275/1.19</f>
        <v>56148.7394957983</v>
      </c>
      <c r="M275" s="19" t="n">
        <f aca="false">+L275*19%</f>
        <v>10668.2605042017</v>
      </c>
      <c r="N275" s="16" t="s">
        <v>130</v>
      </c>
      <c r="O275" s="20" t="n">
        <v>2026</v>
      </c>
      <c r="P275" s="21" t="n">
        <f aca="false">+J275</f>
        <v>66817</v>
      </c>
      <c r="Q275" s="19" t="n">
        <f aca="false">+J275-P275</f>
        <v>0</v>
      </c>
      <c r="R275" s="22" t="str">
        <f aca="false">IF(J275-P275=0,"PAGADA","PENDIENTE")</f>
        <v>PAGADA</v>
      </c>
      <c r="S275" s="18" t="n">
        <v>46129</v>
      </c>
      <c r="T275" s="16"/>
      <c r="U275" s="16"/>
      <c r="V275" s="16"/>
      <c r="W275" s="16"/>
      <c r="X275" s="16"/>
    </row>
    <row r="276" s="8" customFormat="true" ht="13.5" hidden="false" customHeight="false" outlineLevel="0" collapsed="false">
      <c r="A276" s="16" t="s">
        <v>22</v>
      </c>
      <c r="B276" s="16" t="s">
        <v>23</v>
      </c>
      <c r="C276" s="17"/>
      <c r="D276" s="17"/>
      <c r="E276" s="16" t="s">
        <v>24</v>
      </c>
      <c r="F276" s="16" t="n">
        <v>4852</v>
      </c>
      <c r="G276" s="18" t="n">
        <v>46104</v>
      </c>
      <c r="H276" s="18" t="n">
        <f aca="false">+G276+30</f>
        <v>46134</v>
      </c>
      <c r="I276" s="18"/>
      <c r="J276" s="19" t="n">
        <v>221697</v>
      </c>
      <c r="K276" s="19" t="n">
        <f aca="false">+J276</f>
        <v>221697</v>
      </c>
      <c r="L276" s="19" t="n">
        <f aca="false">+J276/1.19</f>
        <v>186300</v>
      </c>
      <c r="M276" s="19" t="n">
        <f aca="false">+L276*19%</f>
        <v>35397</v>
      </c>
      <c r="N276" s="16" t="s">
        <v>130</v>
      </c>
      <c r="O276" s="20" t="n">
        <v>2026</v>
      </c>
      <c r="P276" s="21" t="n">
        <f aca="false">+J276</f>
        <v>221697</v>
      </c>
      <c r="Q276" s="19" t="n">
        <f aca="false">+J276-P276</f>
        <v>0</v>
      </c>
      <c r="R276" s="22" t="str">
        <f aca="false">IF(J276-P276=0,"PAGADA","PENDIENTE")</f>
        <v>PAGADA</v>
      </c>
      <c r="S276" s="18" t="n">
        <v>46129</v>
      </c>
      <c r="T276" s="16"/>
      <c r="U276" s="16"/>
      <c r="V276" s="16"/>
      <c r="W276" s="16"/>
      <c r="X276" s="16"/>
    </row>
    <row r="277" s="8" customFormat="true" ht="13.5" hidden="false" customHeight="false" outlineLevel="0" collapsed="false">
      <c r="A277" s="16" t="s">
        <v>22</v>
      </c>
      <c r="B277" s="16" t="s">
        <v>23</v>
      </c>
      <c r="C277" s="17"/>
      <c r="D277" s="17"/>
      <c r="E277" s="16" t="s">
        <v>24</v>
      </c>
      <c r="F277" s="16" t="n">
        <v>4853</v>
      </c>
      <c r="G277" s="18" t="n">
        <v>46104</v>
      </c>
      <c r="H277" s="18" t="n">
        <f aca="false">+G277+30</f>
        <v>46134</v>
      </c>
      <c r="I277" s="18"/>
      <c r="J277" s="19" t="n">
        <v>221697</v>
      </c>
      <c r="K277" s="19" t="n">
        <f aca="false">+J277</f>
        <v>221697</v>
      </c>
      <c r="L277" s="19" t="n">
        <f aca="false">+J277/1.19</f>
        <v>186300</v>
      </c>
      <c r="M277" s="19" t="n">
        <f aca="false">+L277*19%</f>
        <v>35397</v>
      </c>
      <c r="N277" s="16" t="s">
        <v>130</v>
      </c>
      <c r="O277" s="20" t="n">
        <v>2026</v>
      </c>
      <c r="P277" s="21" t="n">
        <f aca="false">+J277</f>
        <v>221697</v>
      </c>
      <c r="Q277" s="19" t="n">
        <f aca="false">+J277-P277</f>
        <v>0</v>
      </c>
      <c r="R277" s="22" t="str">
        <f aca="false">IF(J277-P277=0,"PAGADA","PENDIENTE")</f>
        <v>PAGADA</v>
      </c>
      <c r="S277" s="18" t="n">
        <v>46129</v>
      </c>
      <c r="T277" s="16"/>
      <c r="U277" s="16"/>
      <c r="V277" s="16"/>
      <c r="W277" s="16"/>
      <c r="X277" s="16"/>
    </row>
    <row r="278" s="8" customFormat="true" ht="13.5" hidden="false" customHeight="false" outlineLevel="0" collapsed="false">
      <c r="A278" s="30" t="s">
        <v>78</v>
      </c>
      <c r="B278" s="30" t="s">
        <v>79</v>
      </c>
      <c r="C278" s="31" t="s">
        <v>61</v>
      </c>
      <c r="D278" s="31"/>
      <c r="E278" s="30" t="s">
        <v>24</v>
      </c>
      <c r="F278" s="30" t="n">
        <v>4854</v>
      </c>
      <c r="G278" s="32" t="n">
        <v>46105</v>
      </c>
      <c r="H278" s="32" t="n">
        <f aca="false">+G278+30</f>
        <v>46135</v>
      </c>
      <c r="I278" s="32"/>
      <c r="J278" s="33" t="n">
        <v>200970686</v>
      </c>
      <c r="K278" s="33" t="n">
        <f aca="false">+J278</f>
        <v>200970686</v>
      </c>
      <c r="L278" s="33" t="n">
        <f aca="false">+J278/1.19</f>
        <v>168882929.411765</v>
      </c>
      <c r="M278" s="33" t="n">
        <f aca="false">+L278*19%</f>
        <v>32087756.5882353</v>
      </c>
      <c r="N278" s="30" t="s">
        <v>130</v>
      </c>
      <c r="O278" s="34" t="n">
        <v>2026</v>
      </c>
      <c r="P278" s="35" t="n">
        <f aca="false">+J278</f>
        <v>200970686</v>
      </c>
      <c r="Q278" s="33" t="n">
        <f aca="false">+J278-P278</f>
        <v>0</v>
      </c>
      <c r="R278" s="36" t="str">
        <f aca="false">IF(J278-P278=0,"PAGADA","PENDIENTE")</f>
        <v>PAGADA</v>
      </c>
      <c r="S278" s="32" t="s">
        <v>143</v>
      </c>
      <c r="T278" s="30"/>
      <c r="U278" s="30"/>
      <c r="V278" s="30"/>
      <c r="W278" s="30"/>
      <c r="X278" s="30"/>
    </row>
    <row r="279" s="8" customFormat="true" ht="13.5" hidden="false" customHeight="false" outlineLevel="0" collapsed="false">
      <c r="A279" s="16" t="s">
        <v>144</v>
      </c>
      <c r="B279" s="16" t="s">
        <v>145</v>
      </c>
      <c r="C279" s="17"/>
      <c r="D279" s="17"/>
      <c r="E279" s="16" t="s">
        <v>24</v>
      </c>
      <c r="F279" s="16" t="n">
        <v>4855</v>
      </c>
      <c r="G279" s="18" t="n">
        <v>46106</v>
      </c>
      <c r="H279" s="18" t="n">
        <f aca="false">+G279+30</f>
        <v>46136</v>
      </c>
      <c r="I279" s="18"/>
      <c r="J279" s="19" t="n">
        <v>1014139</v>
      </c>
      <c r="K279" s="19" t="n">
        <f aca="false">+J279</f>
        <v>1014139</v>
      </c>
      <c r="L279" s="19" t="n">
        <f aca="false">+J279/1.19</f>
        <v>852217.647058824</v>
      </c>
      <c r="M279" s="19" t="n">
        <f aca="false">+L279*19%</f>
        <v>161921.352941176</v>
      </c>
      <c r="N279" s="16" t="s">
        <v>130</v>
      </c>
      <c r="O279" s="20" t="n">
        <v>2026</v>
      </c>
      <c r="P279" s="21" t="n">
        <f aca="false">+J279</f>
        <v>1014139</v>
      </c>
      <c r="Q279" s="19" t="n">
        <f aca="false">+J279-P279</f>
        <v>0</v>
      </c>
      <c r="R279" s="22" t="str">
        <f aca="false">IF(J279-P279=0,"PAGADA","PENDIENTE")</f>
        <v>PAGADA</v>
      </c>
      <c r="S279" s="18" t="n">
        <v>46129</v>
      </c>
      <c r="T279" s="16"/>
      <c r="U279" s="16"/>
      <c r="V279" s="16"/>
      <c r="W279" s="16"/>
      <c r="X279" s="16"/>
    </row>
    <row r="280" s="8" customFormat="true" ht="13.5" hidden="false" customHeight="false" outlineLevel="0" collapsed="false">
      <c r="A280" s="16" t="s">
        <v>70</v>
      </c>
      <c r="B280" s="16" t="s">
        <v>71</v>
      </c>
      <c r="C280" s="17"/>
      <c r="D280" s="17"/>
      <c r="E280" s="16" t="s">
        <v>24</v>
      </c>
      <c r="F280" s="16" t="n">
        <v>4856</v>
      </c>
      <c r="G280" s="18" t="n">
        <v>46107</v>
      </c>
      <c r="H280" s="18" t="n">
        <f aca="false">+G280+30</f>
        <v>46137</v>
      </c>
      <c r="I280" s="18"/>
      <c r="J280" s="19" t="n">
        <v>5664400</v>
      </c>
      <c r="K280" s="19" t="n">
        <f aca="false">+J280</f>
        <v>5664400</v>
      </c>
      <c r="L280" s="19" t="n">
        <f aca="false">+J280/1.19</f>
        <v>4760000</v>
      </c>
      <c r="M280" s="19" t="n">
        <f aca="false">+L280*19%</f>
        <v>904400</v>
      </c>
      <c r="N280" s="16" t="s">
        <v>130</v>
      </c>
      <c r="O280" s="20" t="n">
        <v>2026</v>
      </c>
      <c r="P280" s="21" t="n">
        <f aca="false">+J280</f>
        <v>5664400</v>
      </c>
      <c r="Q280" s="19" t="n">
        <f aca="false">+J280-P280</f>
        <v>0</v>
      </c>
      <c r="R280" s="22" t="str">
        <f aca="false">IF(J280-P280=0,"PAGADA","PENDIENTE")</f>
        <v>PAGADA</v>
      </c>
      <c r="S280" s="18" t="n">
        <v>46136</v>
      </c>
      <c r="T280" s="16"/>
      <c r="U280" s="16"/>
      <c r="V280" s="16"/>
      <c r="W280" s="16"/>
      <c r="X280" s="16"/>
    </row>
    <row r="281" s="8" customFormat="true" ht="13.5" hidden="false" customHeight="false" outlineLevel="0" collapsed="false">
      <c r="A281" s="16" t="s">
        <v>70</v>
      </c>
      <c r="B281" s="16" t="s">
        <v>71</v>
      </c>
      <c r="C281" s="17"/>
      <c r="D281" s="17"/>
      <c r="E281" s="16" t="s">
        <v>24</v>
      </c>
      <c r="F281" s="16" t="n">
        <v>4857</v>
      </c>
      <c r="G281" s="18" t="n">
        <v>46113</v>
      </c>
      <c r="H281" s="18" t="n">
        <f aca="false">+G281+30</f>
        <v>46143</v>
      </c>
      <c r="I281" s="18"/>
      <c r="J281" s="19" t="n">
        <v>23562000</v>
      </c>
      <c r="K281" s="19" t="n">
        <f aca="false">+J281</f>
        <v>23562000</v>
      </c>
      <c r="L281" s="19" t="n">
        <f aca="false">+J281/1.19</f>
        <v>19800000</v>
      </c>
      <c r="M281" s="19" t="n">
        <f aca="false">+L281*19%</f>
        <v>3762000</v>
      </c>
      <c r="N281" s="16" t="s">
        <v>146</v>
      </c>
      <c r="O281" s="20" t="n">
        <v>2026</v>
      </c>
      <c r="P281" s="21" t="n">
        <f aca="false">+J281</f>
        <v>23562000</v>
      </c>
      <c r="Q281" s="19" t="n">
        <f aca="false">+J281-P281</f>
        <v>0</v>
      </c>
      <c r="R281" s="22" t="str">
        <f aca="false">IF(J281-P281=0,"PAGADA","PENDIENTE")</f>
        <v>PAGADA</v>
      </c>
      <c r="S281" s="18" t="n">
        <v>46142</v>
      </c>
      <c r="T281" s="16"/>
      <c r="U281" s="16"/>
      <c r="V281" s="16"/>
      <c r="W281" s="16"/>
      <c r="X281" s="16"/>
    </row>
    <row r="282" s="8" customFormat="true" ht="13.5" hidden="false" customHeight="false" outlineLevel="0" collapsed="false">
      <c r="A282" s="16" t="s">
        <v>94</v>
      </c>
      <c r="B282" s="16" t="s">
        <v>95</v>
      </c>
      <c r="C282" s="17"/>
      <c r="D282" s="17"/>
      <c r="E282" s="16" t="s">
        <v>24</v>
      </c>
      <c r="F282" s="16" t="n">
        <v>4858</v>
      </c>
      <c r="G282" s="18" t="n">
        <v>46113</v>
      </c>
      <c r="H282" s="18" t="n">
        <f aca="false">+G282+30</f>
        <v>46143</v>
      </c>
      <c r="I282" s="18"/>
      <c r="J282" s="19" t="n">
        <v>595000</v>
      </c>
      <c r="K282" s="19" t="n">
        <f aca="false">+J282</f>
        <v>595000</v>
      </c>
      <c r="L282" s="19" t="n">
        <f aca="false">+J282/1.19</f>
        <v>500000</v>
      </c>
      <c r="M282" s="19" t="n">
        <f aca="false">+L282*19%</f>
        <v>95000</v>
      </c>
      <c r="N282" s="16" t="s">
        <v>146</v>
      </c>
      <c r="O282" s="20" t="n">
        <v>2026</v>
      </c>
      <c r="P282" s="21" t="n">
        <f aca="false">+J282</f>
        <v>595000</v>
      </c>
      <c r="Q282" s="19" t="n">
        <f aca="false">+J282-P282</f>
        <v>0</v>
      </c>
      <c r="R282" s="22" t="str">
        <f aca="false">IF(J282-P282=0,"PAGADA","PENDIENTE")</f>
        <v>PAGADA</v>
      </c>
      <c r="S282" s="18" t="n">
        <v>46122</v>
      </c>
      <c r="T282" s="16"/>
      <c r="U282" s="16"/>
      <c r="V282" s="16"/>
      <c r="W282" s="16"/>
      <c r="X282" s="16"/>
    </row>
    <row r="283" s="8" customFormat="true" ht="13.5" hidden="false" customHeight="false" outlineLevel="0" collapsed="false">
      <c r="A283" s="16" t="s">
        <v>94</v>
      </c>
      <c r="B283" s="16" t="s">
        <v>95</v>
      </c>
      <c r="C283" s="17"/>
      <c r="D283" s="17"/>
      <c r="E283" s="16" t="s">
        <v>24</v>
      </c>
      <c r="F283" s="16" t="n">
        <v>4859</v>
      </c>
      <c r="G283" s="18" t="n">
        <v>46113</v>
      </c>
      <c r="H283" s="18" t="n">
        <f aca="false">+G283+30</f>
        <v>46143</v>
      </c>
      <c r="I283" s="18"/>
      <c r="J283" s="19" t="n">
        <v>628443</v>
      </c>
      <c r="K283" s="19" t="n">
        <f aca="false">+J283</f>
        <v>628443</v>
      </c>
      <c r="L283" s="19" t="n">
        <f aca="false">+J283/1.19</f>
        <v>528103.361344538</v>
      </c>
      <c r="M283" s="19" t="n">
        <f aca="false">+L283*19%</f>
        <v>100339.638655462</v>
      </c>
      <c r="N283" s="16" t="s">
        <v>146</v>
      </c>
      <c r="O283" s="20" t="n">
        <v>2026</v>
      </c>
      <c r="P283" s="21" t="n">
        <f aca="false">+J283</f>
        <v>628443</v>
      </c>
      <c r="Q283" s="19" t="n">
        <f aca="false">+J283-P283</f>
        <v>0</v>
      </c>
      <c r="R283" s="22" t="str">
        <f aca="false">IF(J283-P283=0,"PAGADA","PENDIENTE")</f>
        <v>PAGADA</v>
      </c>
      <c r="S283" s="16" t="s">
        <v>147</v>
      </c>
      <c r="T283" s="16"/>
      <c r="U283" s="16"/>
      <c r="V283" s="16"/>
      <c r="W283" s="16"/>
      <c r="X283" s="16"/>
    </row>
    <row r="284" s="8" customFormat="true" ht="13.5" hidden="false" customHeight="false" outlineLevel="0" collapsed="false">
      <c r="A284" s="16" t="s">
        <v>94</v>
      </c>
      <c r="B284" s="16" t="s">
        <v>95</v>
      </c>
      <c r="C284" s="17"/>
      <c r="D284" s="17"/>
      <c r="E284" s="16" t="s">
        <v>24</v>
      </c>
      <c r="F284" s="16" t="n">
        <v>4860</v>
      </c>
      <c r="G284" s="18" t="n">
        <v>46113</v>
      </c>
      <c r="H284" s="18" t="n">
        <f aca="false">+G284+30</f>
        <v>46143</v>
      </c>
      <c r="I284" s="18"/>
      <c r="J284" s="19" t="n">
        <v>628443</v>
      </c>
      <c r="K284" s="19" t="n">
        <f aca="false">+J284</f>
        <v>628443</v>
      </c>
      <c r="L284" s="19" t="n">
        <f aca="false">+J284/1.19</f>
        <v>528103.361344538</v>
      </c>
      <c r="M284" s="19" t="n">
        <f aca="false">+L284*19%</f>
        <v>100339.638655462</v>
      </c>
      <c r="N284" s="16" t="s">
        <v>146</v>
      </c>
      <c r="O284" s="20" t="n">
        <v>2026</v>
      </c>
      <c r="P284" s="21" t="n">
        <f aca="false">+J284</f>
        <v>628443</v>
      </c>
      <c r="Q284" s="19" t="n">
        <f aca="false">+J284-P284</f>
        <v>0</v>
      </c>
      <c r="R284" s="22" t="str">
        <f aca="false">IF(J284-P284=0,"PAGADA","PENDIENTE")</f>
        <v>PAGADA</v>
      </c>
      <c r="S284" s="18" t="n">
        <v>46122</v>
      </c>
      <c r="T284" s="16"/>
      <c r="U284" s="16"/>
      <c r="V284" s="16"/>
      <c r="W284" s="16"/>
      <c r="X284" s="16"/>
    </row>
    <row r="285" s="8" customFormat="true" ht="13.5" hidden="false" customHeight="false" outlineLevel="0" collapsed="false">
      <c r="A285" s="16" t="s">
        <v>94</v>
      </c>
      <c r="B285" s="16" t="s">
        <v>95</v>
      </c>
      <c r="C285" s="17"/>
      <c r="D285" s="17"/>
      <c r="E285" s="16" t="s">
        <v>24</v>
      </c>
      <c r="F285" s="16" t="n">
        <v>4861</v>
      </c>
      <c r="G285" s="18" t="n">
        <v>46113</v>
      </c>
      <c r="H285" s="18" t="n">
        <f aca="false">+G285+30</f>
        <v>46143</v>
      </c>
      <c r="I285" s="18"/>
      <c r="J285" s="19" t="n">
        <v>2488678</v>
      </c>
      <c r="K285" s="19" t="n">
        <f aca="false">+J285</f>
        <v>2488678</v>
      </c>
      <c r="L285" s="19" t="n">
        <f aca="false">+J285/1.19</f>
        <v>2091326.05042017</v>
      </c>
      <c r="M285" s="19" t="n">
        <f aca="false">+L285*19%</f>
        <v>397351.949579832</v>
      </c>
      <c r="N285" s="16" t="s">
        <v>146</v>
      </c>
      <c r="O285" s="20" t="n">
        <v>2026</v>
      </c>
      <c r="P285" s="21" t="n">
        <f aca="false">+J285</f>
        <v>2488678</v>
      </c>
      <c r="Q285" s="19" t="n">
        <f aca="false">+J285-P285</f>
        <v>0</v>
      </c>
      <c r="R285" s="22" t="str">
        <f aca="false">IF(J285-P285=0,"PAGADA","PENDIENTE")</f>
        <v>PAGADA</v>
      </c>
      <c r="S285" s="18" t="n">
        <v>46122</v>
      </c>
      <c r="T285" s="16"/>
      <c r="U285" s="16"/>
      <c r="V285" s="16"/>
      <c r="W285" s="16"/>
      <c r="X285" s="16"/>
    </row>
    <row r="286" s="8" customFormat="true" ht="13.5" hidden="false" customHeight="false" outlineLevel="0" collapsed="false">
      <c r="A286" s="16" t="n">
        <v>0</v>
      </c>
      <c r="B286" s="16" t="s">
        <v>63</v>
      </c>
      <c r="C286" s="17"/>
      <c r="D286" s="17"/>
      <c r="E286" s="16" t="s">
        <v>24</v>
      </c>
      <c r="F286" s="16" t="n">
        <v>4862</v>
      </c>
      <c r="G286" s="18" t="n">
        <v>46113</v>
      </c>
      <c r="H286" s="18" t="n">
        <f aca="false">+G286+30</f>
        <v>46143</v>
      </c>
      <c r="I286" s="18"/>
      <c r="J286" s="19" t="n">
        <v>0</v>
      </c>
      <c r="K286" s="19" t="n">
        <f aca="false">+J286</f>
        <v>0</v>
      </c>
      <c r="L286" s="19" t="n">
        <f aca="false">+J286/1.19</f>
        <v>0</v>
      </c>
      <c r="M286" s="19" t="n">
        <f aca="false">+L286*19%</f>
        <v>0</v>
      </c>
      <c r="N286" s="16" t="s">
        <v>146</v>
      </c>
      <c r="O286" s="20" t="n">
        <v>2026</v>
      </c>
      <c r="P286" s="21"/>
      <c r="Q286" s="19" t="n">
        <f aca="false">+J286-P286</f>
        <v>0</v>
      </c>
      <c r="R286" s="22" t="str">
        <f aca="false">IF(J286-P286=0,"PAGADA","PENDIENTE")</f>
        <v>PAGADA</v>
      </c>
      <c r="S286" s="16"/>
      <c r="T286" s="16"/>
      <c r="U286" s="16"/>
      <c r="V286" s="16"/>
      <c r="W286" s="16"/>
      <c r="X286" s="16"/>
    </row>
    <row r="287" s="8" customFormat="true" ht="13.5" hidden="false" customHeight="false" outlineLevel="0" collapsed="false">
      <c r="A287" s="16" t="s">
        <v>99</v>
      </c>
      <c r="B287" s="16" t="s">
        <v>100</v>
      </c>
      <c r="C287" s="17"/>
      <c r="D287" s="17"/>
      <c r="E287" s="16" t="s">
        <v>24</v>
      </c>
      <c r="F287" s="16" t="n">
        <v>4863</v>
      </c>
      <c r="G287" s="18" t="n">
        <v>46113</v>
      </c>
      <c r="H287" s="18" t="n">
        <f aca="false">+G287+30</f>
        <v>46143</v>
      </c>
      <c r="I287" s="18"/>
      <c r="J287" s="19" t="n">
        <v>2129518</v>
      </c>
      <c r="K287" s="19" t="n">
        <f aca="false">+J287</f>
        <v>2129518</v>
      </c>
      <c r="L287" s="19" t="n">
        <f aca="false">+J287/1.19</f>
        <v>1789510.92436975</v>
      </c>
      <c r="M287" s="19" t="n">
        <f aca="false">+L287*19%</f>
        <v>340007.075630252</v>
      </c>
      <c r="N287" s="16" t="s">
        <v>146</v>
      </c>
      <c r="O287" s="20" t="n">
        <v>2026</v>
      </c>
      <c r="P287" s="21" t="n">
        <f aca="false">+J287</f>
        <v>2129518</v>
      </c>
      <c r="Q287" s="19" t="n">
        <f aca="false">+J287-P287</f>
        <v>0</v>
      </c>
      <c r="R287" s="22" t="str">
        <f aca="false">IF(J287-P287=0,"PAGADA","PENDIENTE")</f>
        <v>PAGADA</v>
      </c>
      <c r="S287" s="18" t="n">
        <v>45792</v>
      </c>
      <c r="T287" s="16"/>
      <c r="U287" s="16"/>
      <c r="V287" s="16"/>
      <c r="W287" s="16"/>
      <c r="X287" s="16"/>
    </row>
    <row r="288" s="8" customFormat="true" ht="13.5" hidden="false" customHeight="false" outlineLevel="0" collapsed="false">
      <c r="A288" s="30" t="s">
        <v>26</v>
      </c>
      <c r="B288" s="30" t="s">
        <v>27</v>
      </c>
      <c r="C288" s="31" t="s">
        <v>61</v>
      </c>
      <c r="D288" s="31"/>
      <c r="E288" s="30" t="s">
        <v>24</v>
      </c>
      <c r="F288" s="30" t="n">
        <v>4864</v>
      </c>
      <c r="G288" s="32" t="n">
        <v>46119</v>
      </c>
      <c r="H288" s="32" t="n">
        <f aca="false">+G288+30</f>
        <v>46149</v>
      </c>
      <c r="I288" s="18"/>
      <c r="J288" s="33" t="n">
        <v>13326366</v>
      </c>
      <c r="K288" s="19" t="n">
        <f aca="false">+J288</f>
        <v>13326366</v>
      </c>
      <c r="L288" s="33" t="n">
        <f aca="false">+J288/1.19</f>
        <v>11198626.8907563</v>
      </c>
      <c r="M288" s="33" t="n">
        <f aca="false">+L288*19%</f>
        <v>2127739.1092437</v>
      </c>
      <c r="N288" s="30" t="s">
        <v>146</v>
      </c>
      <c r="O288" s="34" t="n">
        <v>2026</v>
      </c>
      <c r="P288" s="35" t="n">
        <f aca="false">+J288</f>
        <v>13326366</v>
      </c>
      <c r="Q288" s="33" t="n">
        <f aca="false">+J288-P288</f>
        <v>0</v>
      </c>
      <c r="R288" s="36" t="str">
        <f aca="false">IF(J288-P288=0,"PAGADA","PENDIENTE")</f>
        <v>PAGADA</v>
      </c>
      <c r="S288" s="30" t="s">
        <v>148</v>
      </c>
      <c r="T288" s="30"/>
      <c r="U288" s="30"/>
      <c r="V288" s="30"/>
      <c r="W288" s="30"/>
      <c r="X288" s="30"/>
    </row>
    <row r="289" s="8" customFormat="true" ht="13.5" hidden="false" customHeight="false" outlineLevel="0" collapsed="false">
      <c r="A289" s="16" t="s">
        <v>26</v>
      </c>
      <c r="B289" s="16" t="s">
        <v>27</v>
      </c>
      <c r="C289" s="17"/>
      <c r="D289" s="17"/>
      <c r="E289" s="16" t="s">
        <v>24</v>
      </c>
      <c r="F289" s="16" t="n">
        <v>4865</v>
      </c>
      <c r="G289" s="18" t="n">
        <v>46119</v>
      </c>
      <c r="H289" s="18" t="n">
        <f aca="false">+G289+30</f>
        <v>46149</v>
      </c>
      <c r="I289" s="18"/>
      <c r="J289" s="19" t="n">
        <v>12081268</v>
      </c>
      <c r="K289" s="19"/>
      <c r="L289" s="19" t="n">
        <f aca="false">+J289/1.19</f>
        <v>10152326.0504202</v>
      </c>
      <c r="M289" s="19" t="n">
        <f aca="false">+L289*19%</f>
        <v>1928941.94957983</v>
      </c>
      <c r="N289" s="16" t="s">
        <v>146</v>
      </c>
      <c r="O289" s="20" t="n">
        <v>2026</v>
      </c>
      <c r="P289" s="21" t="n">
        <f aca="false">+J289</f>
        <v>12081268</v>
      </c>
      <c r="Q289" s="19" t="n">
        <f aca="false">+J289-P289</f>
        <v>0</v>
      </c>
      <c r="R289" s="22" t="str">
        <f aca="false">IF(J289-P289=0,"PAGADA","PENDIENTE")</f>
        <v>PAGADA</v>
      </c>
      <c r="S289" s="18" t="n">
        <v>46157</v>
      </c>
      <c r="T289" s="16"/>
      <c r="U289" s="16"/>
      <c r="V289" s="16"/>
      <c r="W289" s="16"/>
      <c r="X289" s="16"/>
    </row>
    <row r="290" s="8" customFormat="true" ht="13.5" hidden="false" customHeight="false" outlineLevel="0" collapsed="false">
      <c r="A290" s="16" t="s">
        <v>26</v>
      </c>
      <c r="B290" s="16" t="s">
        <v>27</v>
      </c>
      <c r="C290" s="17"/>
      <c r="D290" s="17"/>
      <c r="E290" s="16" t="s">
        <v>24</v>
      </c>
      <c r="F290" s="16" t="n">
        <v>4866</v>
      </c>
      <c r="G290" s="18" t="n">
        <v>46119</v>
      </c>
      <c r="H290" s="18" t="n">
        <f aca="false">+G290+30</f>
        <v>46149</v>
      </c>
      <c r="I290" s="18"/>
      <c r="J290" s="19" t="n">
        <v>841312</v>
      </c>
      <c r="K290" s="19" t="e">
        <f aca="false">+#REF!</f>
        <v>#REF!</v>
      </c>
      <c r="L290" s="19" t="n">
        <f aca="false">+J290/1.19</f>
        <v>706984.87394958</v>
      </c>
      <c r="M290" s="19" t="n">
        <f aca="false">+L290*19%</f>
        <v>134327.12605042</v>
      </c>
      <c r="N290" s="16" t="s">
        <v>146</v>
      </c>
      <c r="O290" s="20" t="n">
        <v>2026</v>
      </c>
      <c r="P290" s="21" t="n">
        <f aca="false">+J290</f>
        <v>841312</v>
      </c>
      <c r="Q290" s="19" t="n">
        <f aca="false">+J290-P290</f>
        <v>0</v>
      </c>
      <c r="R290" s="22" t="str">
        <f aca="false">IF(J290-P290=0,"PAGADA","PENDIENTE")</f>
        <v>PAGADA</v>
      </c>
      <c r="S290" s="18" t="n">
        <v>46157</v>
      </c>
      <c r="T290" s="16"/>
      <c r="U290" s="16"/>
      <c r="V290" s="16"/>
      <c r="W290" s="16"/>
      <c r="X290" s="16"/>
    </row>
    <row r="291" s="8" customFormat="true" ht="13.5" hidden="false" customHeight="false" outlineLevel="0" collapsed="false">
      <c r="A291" s="16" t="s">
        <v>43</v>
      </c>
      <c r="B291" s="16" t="s">
        <v>44</v>
      </c>
      <c r="C291" s="17"/>
      <c r="D291" s="17"/>
      <c r="E291" s="16" t="s">
        <v>24</v>
      </c>
      <c r="F291" s="16" t="n">
        <v>4867</v>
      </c>
      <c r="G291" s="18" t="n">
        <v>46119</v>
      </c>
      <c r="H291" s="18" t="n">
        <f aca="false">+G291+30</f>
        <v>46149</v>
      </c>
      <c r="I291" s="18"/>
      <c r="J291" s="19" t="n">
        <v>4466963</v>
      </c>
      <c r="K291" s="19" t="e">
        <f aca="false">+#REF!</f>
        <v>#REF!</v>
      </c>
      <c r="L291" s="19" t="n">
        <f aca="false">+J291/1.19</f>
        <v>3753750.42016807</v>
      </c>
      <c r="M291" s="19" t="n">
        <f aca="false">+L291*19%</f>
        <v>713212.579831933</v>
      </c>
      <c r="N291" s="16" t="s">
        <v>146</v>
      </c>
      <c r="O291" s="20" t="n">
        <v>2026</v>
      </c>
      <c r="P291" s="21" t="n">
        <f aca="false">+J291</f>
        <v>4466963</v>
      </c>
      <c r="Q291" s="19" t="n">
        <f aca="false">+J291-P291</f>
        <v>0</v>
      </c>
      <c r="R291" s="22" t="str">
        <f aca="false">IF(J291-P291=0,"PAGADA","PENDIENTE")</f>
        <v>PAGADA</v>
      </c>
      <c r="S291" s="18" t="n">
        <v>46198</v>
      </c>
      <c r="T291" s="16"/>
      <c r="U291" s="16"/>
      <c r="V291" s="16"/>
      <c r="W291" s="16"/>
      <c r="X291" s="16"/>
    </row>
    <row r="292" s="8" customFormat="true" ht="13.5" hidden="false" customHeight="false" outlineLevel="0" collapsed="false">
      <c r="A292" s="30" t="s">
        <v>59</v>
      </c>
      <c r="B292" s="30" t="s">
        <v>60</v>
      </c>
      <c r="C292" s="31" t="s">
        <v>61</v>
      </c>
      <c r="D292" s="17"/>
      <c r="E292" s="30" t="s">
        <v>24</v>
      </c>
      <c r="F292" s="30" t="n">
        <v>4868</v>
      </c>
      <c r="G292" s="32" t="n">
        <v>46119</v>
      </c>
      <c r="H292" s="32" t="n">
        <f aca="false">+G292+30</f>
        <v>46149</v>
      </c>
      <c r="I292" s="18"/>
      <c r="J292" s="33" t="n">
        <v>20209394</v>
      </c>
      <c r="K292" s="19" t="e">
        <f aca="false">+#REF!</f>
        <v>#REF!</v>
      </c>
      <c r="L292" s="33" t="n">
        <f aca="false">+J292/1.19</f>
        <v>16982684.0336134</v>
      </c>
      <c r="M292" s="33" t="n">
        <f aca="false">+L292*19%</f>
        <v>3226709.96638655</v>
      </c>
      <c r="N292" s="30" t="s">
        <v>146</v>
      </c>
      <c r="O292" s="34" t="n">
        <v>2026</v>
      </c>
      <c r="P292" s="35" t="n">
        <f aca="false">+J292</f>
        <v>20209394</v>
      </c>
      <c r="Q292" s="33" t="n">
        <f aca="false">+J292-P292</f>
        <v>0</v>
      </c>
      <c r="R292" s="36" t="str">
        <f aca="false">IF(J292-P292=0,"PAGADA","PENDIENTE")</f>
        <v>PAGADA</v>
      </c>
      <c r="S292" s="30" t="s">
        <v>148</v>
      </c>
      <c r="T292" s="30"/>
      <c r="U292" s="30"/>
      <c r="V292" s="30"/>
      <c r="W292" s="30"/>
      <c r="X292" s="30"/>
    </row>
    <row r="293" s="8" customFormat="true" ht="13.5" hidden="false" customHeight="false" outlineLevel="0" collapsed="false">
      <c r="A293" s="16" t="s">
        <v>59</v>
      </c>
      <c r="B293" s="16" t="s">
        <v>60</v>
      </c>
      <c r="C293" s="17"/>
      <c r="D293" s="17"/>
      <c r="E293" s="16" t="s">
        <v>24</v>
      </c>
      <c r="F293" s="16" t="n">
        <v>4869</v>
      </c>
      <c r="G293" s="18" t="n">
        <v>46119</v>
      </c>
      <c r="H293" s="18" t="n">
        <f aca="false">+G293+30</f>
        <v>46149</v>
      </c>
      <c r="I293" s="18"/>
      <c r="J293" s="19" t="n">
        <v>1785000</v>
      </c>
      <c r="K293" s="19" t="e">
        <f aca="false">+#REF!</f>
        <v>#REF!</v>
      </c>
      <c r="L293" s="19" t="n">
        <f aca="false">+J293/1.19</f>
        <v>1500000</v>
      </c>
      <c r="M293" s="19" t="n">
        <f aca="false">+L293*19%</f>
        <v>285000</v>
      </c>
      <c r="N293" s="16" t="s">
        <v>146</v>
      </c>
      <c r="O293" s="20" t="n">
        <v>2026</v>
      </c>
      <c r="P293" s="21" t="n">
        <f aca="false">+J293</f>
        <v>1785000</v>
      </c>
      <c r="Q293" s="19" t="n">
        <f aca="false">+J293-P293</f>
        <v>0</v>
      </c>
      <c r="R293" s="22" t="str">
        <f aca="false">IF(J293-P293=0,"PAGADA","PENDIENTE")</f>
        <v>PAGADA</v>
      </c>
      <c r="S293" s="18" t="n">
        <v>46148</v>
      </c>
      <c r="T293" s="16"/>
      <c r="U293" s="16"/>
      <c r="V293" s="16"/>
      <c r="W293" s="16"/>
      <c r="X293" s="16"/>
    </row>
    <row r="294" s="8" customFormat="true" ht="13.5" hidden="false" customHeight="false" outlineLevel="0" collapsed="false">
      <c r="A294" s="16" t="s">
        <v>59</v>
      </c>
      <c r="B294" s="16" t="s">
        <v>60</v>
      </c>
      <c r="C294" s="17"/>
      <c r="D294" s="17"/>
      <c r="E294" s="16" t="s">
        <v>24</v>
      </c>
      <c r="F294" s="16" t="n">
        <v>4870</v>
      </c>
      <c r="G294" s="18" t="n">
        <v>46119</v>
      </c>
      <c r="H294" s="18" t="n">
        <f aca="false">+G294+30</f>
        <v>46149</v>
      </c>
      <c r="I294" s="18"/>
      <c r="J294" s="19" t="n">
        <v>1261400</v>
      </c>
      <c r="K294" s="19" t="e">
        <f aca="false">+#REF!</f>
        <v>#REF!</v>
      </c>
      <c r="L294" s="19" t="n">
        <f aca="false">+J294/1.19</f>
        <v>1060000</v>
      </c>
      <c r="M294" s="19" t="n">
        <f aca="false">+L294*19%</f>
        <v>201400</v>
      </c>
      <c r="N294" s="16" t="s">
        <v>146</v>
      </c>
      <c r="O294" s="20" t="n">
        <v>2026</v>
      </c>
      <c r="P294" s="21" t="n">
        <f aca="false">+J294</f>
        <v>1261400</v>
      </c>
      <c r="Q294" s="19" t="n">
        <f aca="false">+J294-P294</f>
        <v>0</v>
      </c>
      <c r="R294" s="22" t="str">
        <f aca="false">IF(J294-P294=0,"PAGADA","PENDIENTE")</f>
        <v>PAGADA</v>
      </c>
      <c r="S294" s="18" t="n">
        <v>46148</v>
      </c>
      <c r="T294" s="16"/>
      <c r="U294" s="16"/>
      <c r="V294" s="16"/>
      <c r="W294" s="16"/>
      <c r="X294" s="16"/>
    </row>
    <row r="295" s="8" customFormat="true" ht="13.5" hidden="false" customHeight="false" outlineLevel="0" collapsed="false">
      <c r="A295" s="16" t="s">
        <v>59</v>
      </c>
      <c r="B295" s="16" t="s">
        <v>60</v>
      </c>
      <c r="C295" s="17"/>
      <c r="D295" s="17"/>
      <c r="E295" s="16" t="s">
        <v>24</v>
      </c>
      <c r="F295" s="16" t="n">
        <v>4871</v>
      </c>
      <c r="G295" s="18" t="n">
        <v>46119</v>
      </c>
      <c r="H295" s="18" t="n">
        <f aca="false">+G295+30</f>
        <v>46149</v>
      </c>
      <c r="I295" s="18"/>
      <c r="J295" s="19" t="n">
        <v>238000</v>
      </c>
      <c r="K295" s="19"/>
      <c r="L295" s="19" t="n">
        <f aca="false">+J295/1.19</f>
        <v>200000</v>
      </c>
      <c r="M295" s="19" t="n">
        <f aca="false">+L295*19%</f>
        <v>38000</v>
      </c>
      <c r="N295" s="16" t="s">
        <v>146</v>
      </c>
      <c r="O295" s="20" t="n">
        <v>2026</v>
      </c>
      <c r="P295" s="21" t="n">
        <f aca="false">+J295</f>
        <v>238000</v>
      </c>
      <c r="Q295" s="19" t="n">
        <f aca="false">+J295-P295</f>
        <v>0</v>
      </c>
      <c r="R295" s="22" t="str">
        <f aca="false">IF(J295-P295=0,"PAGADA","PENDIENTE")</f>
        <v>PAGADA</v>
      </c>
      <c r="S295" s="18" t="n">
        <v>46148</v>
      </c>
      <c r="T295" s="16"/>
      <c r="U295" s="16"/>
      <c r="V295" s="16"/>
      <c r="W295" s="16"/>
      <c r="X295" s="16"/>
    </row>
    <row r="296" s="8" customFormat="true" ht="13.5" hidden="false" customHeight="false" outlineLevel="0" collapsed="false">
      <c r="A296" s="16" t="s">
        <v>59</v>
      </c>
      <c r="B296" s="16" t="s">
        <v>60</v>
      </c>
      <c r="C296" s="17"/>
      <c r="D296" s="17"/>
      <c r="E296" s="16" t="s">
        <v>24</v>
      </c>
      <c r="F296" s="16" t="n">
        <v>4872</v>
      </c>
      <c r="G296" s="18" t="n">
        <v>46119</v>
      </c>
      <c r="H296" s="18" t="n">
        <f aca="false">+G296+30</f>
        <v>46149</v>
      </c>
      <c r="I296" s="18"/>
      <c r="J296" s="19" t="n">
        <v>2142000</v>
      </c>
      <c r="K296" s="19"/>
      <c r="L296" s="19" t="n">
        <f aca="false">+J296/1.19</f>
        <v>1800000</v>
      </c>
      <c r="M296" s="19" t="n">
        <f aca="false">+L296*19%</f>
        <v>342000</v>
      </c>
      <c r="N296" s="16" t="s">
        <v>146</v>
      </c>
      <c r="O296" s="20" t="n">
        <v>2026</v>
      </c>
      <c r="P296" s="21" t="n">
        <f aca="false">+J296</f>
        <v>2142000</v>
      </c>
      <c r="Q296" s="19" t="n">
        <f aca="false">+J296-P296</f>
        <v>0</v>
      </c>
      <c r="R296" s="22" t="str">
        <f aca="false">IF(J296-P296=0,"PAGADA","PENDIENTE")</f>
        <v>PAGADA</v>
      </c>
      <c r="S296" s="18" t="n">
        <v>46148</v>
      </c>
      <c r="T296" s="16"/>
      <c r="U296" s="16"/>
      <c r="V296" s="16"/>
      <c r="W296" s="16"/>
      <c r="X296" s="16"/>
    </row>
    <row r="297" s="8" customFormat="true" ht="13.5" hidden="false" customHeight="false" outlineLevel="0" collapsed="false">
      <c r="A297" s="38" t="s">
        <v>149</v>
      </c>
      <c r="B297" s="38" t="s">
        <v>150</v>
      </c>
      <c r="C297" s="39"/>
      <c r="D297" s="17"/>
      <c r="E297" s="16" t="s">
        <v>24</v>
      </c>
      <c r="F297" s="16" t="n">
        <v>4873</v>
      </c>
      <c r="G297" s="18" t="n">
        <v>46119</v>
      </c>
      <c r="H297" s="18" t="n">
        <f aca="false">+G297+30</f>
        <v>46149</v>
      </c>
      <c r="I297" s="18"/>
      <c r="J297" s="19" t="n">
        <v>5941937</v>
      </c>
      <c r="K297" s="19"/>
      <c r="L297" s="19" t="n">
        <f aca="false">+J297/1.19</f>
        <v>4993224.3697479</v>
      </c>
      <c r="M297" s="19" t="n">
        <f aca="false">+L297*19%</f>
        <v>948712.630252101</v>
      </c>
      <c r="N297" s="16" t="s">
        <v>146</v>
      </c>
      <c r="O297" s="20" t="n">
        <v>2026</v>
      </c>
      <c r="P297" s="21" t="n">
        <f aca="false">+J297</f>
        <v>5941937</v>
      </c>
      <c r="Q297" s="19" t="n">
        <f aca="false">+J297-P297</f>
        <v>0</v>
      </c>
      <c r="R297" s="22" t="str">
        <f aca="false">IF(J297-P297=0,"PAGADA","PENDIENTE")</f>
        <v>PAGADA</v>
      </c>
      <c r="S297" s="18" t="n">
        <v>46175</v>
      </c>
      <c r="T297" s="16"/>
      <c r="U297" s="16"/>
      <c r="V297" s="16"/>
      <c r="W297" s="16"/>
      <c r="X297" s="16"/>
    </row>
    <row r="298" s="8" customFormat="true" ht="13.5" hidden="false" customHeight="false" outlineLevel="0" collapsed="false">
      <c r="A298" s="16" t="s">
        <v>151</v>
      </c>
      <c r="B298" s="16" t="s">
        <v>152</v>
      </c>
      <c r="C298" s="17"/>
      <c r="D298" s="17"/>
      <c r="E298" s="16" t="s">
        <v>24</v>
      </c>
      <c r="F298" s="16" t="n">
        <v>4874</v>
      </c>
      <c r="G298" s="18" t="n">
        <v>46121</v>
      </c>
      <c r="H298" s="18" t="n">
        <f aca="false">+G298+30</f>
        <v>46151</v>
      </c>
      <c r="I298" s="18"/>
      <c r="J298" s="19" t="n">
        <v>4315238</v>
      </c>
      <c r="K298" s="19"/>
      <c r="L298" s="19" t="n">
        <f aca="false">+J298/1.19</f>
        <v>3626250.42016807</v>
      </c>
      <c r="M298" s="19" t="n">
        <f aca="false">+L298*19%</f>
        <v>688987.579831933</v>
      </c>
      <c r="N298" s="16" t="s">
        <v>146</v>
      </c>
      <c r="O298" s="20" t="n">
        <v>2026</v>
      </c>
      <c r="P298" s="21"/>
      <c r="Q298" s="19" t="n">
        <f aca="false">+J298-P298</f>
        <v>4315238</v>
      </c>
      <c r="R298" s="22" t="str">
        <f aca="false">IF(J298-P298=0,"PAGADA","PENDIENTE")</f>
        <v>PENDIENTE</v>
      </c>
      <c r="S298" s="16"/>
      <c r="T298" s="16"/>
      <c r="U298" s="16"/>
      <c r="V298" s="16"/>
      <c r="W298" s="16"/>
      <c r="X298" s="16"/>
    </row>
    <row r="299" s="8" customFormat="true" ht="13.5" hidden="false" customHeight="false" outlineLevel="0" collapsed="false">
      <c r="A299" s="16" t="s">
        <v>53</v>
      </c>
      <c r="B299" s="16" t="s">
        <v>54</v>
      </c>
      <c r="C299" s="17"/>
      <c r="D299" s="17"/>
      <c r="E299" s="16" t="s">
        <v>24</v>
      </c>
      <c r="F299" s="16" t="n">
        <v>4875</v>
      </c>
      <c r="G299" s="18" t="n">
        <v>46121</v>
      </c>
      <c r="H299" s="18" t="n">
        <f aca="false">+G299+30</f>
        <v>46151</v>
      </c>
      <c r="I299" s="18"/>
      <c r="J299" s="19" t="n">
        <v>735203</v>
      </c>
      <c r="K299" s="19"/>
      <c r="L299" s="19" t="n">
        <f aca="false">+J299/1.19</f>
        <v>617817.647058824</v>
      </c>
      <c r="M299" s="19" t="n">
        <f aca="false">+L299*19%</f>
        <v>117385.352941176</v>
      </c>
      <c r="N299" s="16" t="s">
        <v>146</v>
      </c>
      <c r="O299" s="20" t="n">
        <v>2026</v>
      </c>
      <c r="P299" s="21" t="n">
        <f aca="false">+J299</f>
        <v>735203</v>
      </c>
      <c r="Q299" s="19" t="n">
        <f aca="false">+J299-P299</f>
        <v>0</v>
      </c>
      <c r="R299" s="22" t="str">
        <f aca="false">IF(J299-P299=0,"PAGADA","PENDIENTE")</f>
        <v>PAGADA</v>
      </c>
      <c r="S299" s="18" t="n">
        <v>46142</v>
      </c>
      <c r="T299" s="16"/>
      <c r="U299" s="16"/>
      <c r="V299" s="16"/>
      <c r="W299" s="16"/>
      <c r="X299" s="16"/>
    </row>
    <row r="300" s="8" customFormat="true" ht="13.5" hidden="false" customHeight="false" outlineLevel="0" collapsed="false">
      <c r="A300" s="16" t="s">
        <v>53</v>
      </c>
      <c r="B300" s="16" t="s">
        <v>54</v>
      </c>
      <c r="C300" s="17"/>
      <c r="D300" s="17"/>
      <c r="E300" s="16" t="s">
        <v>24</v>
      </c>
      <c r="F300" s="16" t="n">
        <v>4876</v>
      </c>
      <c r="G300" s="18" t="n">
        <v>46121</v>
      </c>
      <c r="H300" s="18" t="n">
        <f aca="false">+G300+30</f>
        <v>46151</v>
      </c>
      <c r="I300" s="18"/>
      <c r="J300" s="19" t="n">
        <v>734905</v>
      </c>
      <c r="K300" s="19"/>
      <c r="L300" s="19" t="n">
        <f aca="false">+J300/1.19</f>
        <v>617567.226890756</v>
      </c>
      <c r="M300" s="19" t="n">
        <f aca="false">+L300*19%</f>
        <v>117337.773109244</v>
      </c>
      <c r="N300" s="16" t="s">
        <v>146</v>
      </c>
      <c r="O300" s="20" t="n">
        <v>2026</v>
      </c>
      <c r="P300" s="21" t="n">
        <f aca="false">+J300</f>
        <v>734905</v>
      </c>
      <c r="Q300" s="19" t="n">
        <f aca="false">+J300-P300</f>
        <v>0</v>
      </c>
      <c r="R300" s="22" t="str">
        <f aca="false">IF(J300-P300=0,"PAGADA","PENDIENTE")</f>
        <v>PAGADA</v>
      </c>
      <c r="S300" s="18" t="n">
        <v>46142</v>
      </c>
      <c r="T300" s="16"/>
      <c r="U300" s="16"/>
      <c r="V300" s="16"/>
      <c r="W300" s="16"/>
      <c r="X300" s="16"/>
    </row>
    <row r="301" s="8" customFormat="true" ht="13.5" hidden="false" customHeight="false" outlineLevel="0" collapsed="false">
      <c r="A301" s="16" t="s">
        <v>55</v>
      </c>
      <c r="B301" s="16" t="s">
        <v>153</v>
      </c>
      <c r="C301" s="17"/>
      <c r="D301" s="17"/>
      <c r="E301" s="16" t="s">
        <v>24</v>
      </c>
      <c r="F301" s="16" t="n">
        <v>4877</v>
      </c>
      <c r="G301" s="18" t="n">
        <v>46121</v>
      </c>
      <c r="H301" s="18" t="n">
        <f aca="false">+G301+30</f>
        <v>46151</v>
      </c>
      <c r="I301" s="18"/>
      <c r="J301" s="19" t="n">
        <v>735246</v>
      </c>
      <c r="K301" s="19"/>
      <c r="L301" s="19" t="n">
        <f aca="false">+J301/1.19</f>
        <v>617853.781512605</v>
      </c>
      <c r="M301" s="19" t="n">
        <f aca="false">+L301*19%</f>
        <v>117392.218487395</v>
      </c>
      <c r="N301" s="16" t="s">
        <v>146</v>
      </c>
      <c r="O301" s="20" t="n">
        <v>2026</v>
      </c>
      <c r="P301" s="21" t="n">
        <f aca="false">+J301</f>
        <v>735246</v>
      </c>
      <c r="Q301" s="19" t="n">
        <f aca="false">+J301-P301</f>
        <v>0</v>
      </c>
      <c r="R301" s="22" t="str">
        <f aca="false">IF(J301-P301=0,"PAGADA","PENDIENTE")</f>
        <v>PAGADA</v>
      </c>
      <c r="S301" s="18" t="n">
        <v>46142</v>
      </c>
      <c r="T301" s="16"/>
      <c r="U301" s="16"/>
      <c r="V301" s="16"/>
      <c r="W301" s="16"/>
      <c r="X301" s="16"/>
    </row>
    <row r="302" s="7" customFormat="true" ht="13.5" hidden="false" customHeight="false" outlineLevel="0" collapsed="false">
      <c r="A302" s="24" t="s">
        <v>94</v>
      </c>
      <c r="B302" s="24" t="s">
        <v>95</v>
      </c>
      <c r="C302" s="25"/>
      <c r="D302" s="25"/>
      <c r="E302" s="24" t="s">
        <v>35</v>
      </c>
      <c r="F302" s="24" t="n">
        <v>480</v>
      </c>
      <c r="G302" s="26" t="n">
        <v>46113</v>
      </c>
      <c r="H302" s="26" t="n">
        <f aca="false">+G302+30</f>
        <v>46143</v>
      </c>
      <c r="I302" s="26"/>
      <c r="J302" s="21" t="n">
        <v>-628443</v>
      </c>
      <c r="K302" s="21"/>
      <c r="L302" s="21" t="n">
        <f aca="false">+J302/1.19</f>
        <v>-528103.361344538</v>
      </c>
      <c r="M302" s="21" t="n">
        <f aca="false">+L302*19%</f>
        <v>-100339.638655462</v>
      </c>
      <c r="N302" s="24" t="s">
        <v>146</v>
      </c>
      <c r="O302" s="27" t="n">
        <v>2026</v>
      </c>
      <c r="P302" s="21" t="n">
        <f aca="false">+J302</f>
        <v>-628443</v>
      </c>
      <c r="Q302" s="21" t="n">
        <f aca="false">+J302-P302</f>
        <v>0</v>
      </c>
      <c r="R302" s="28" t="str">
        <f aca="false">IF(J302-P302=0,"PAGADA","PENDIENTE")</f>
        <v>PAGADA</v>
      </c>
      <c r="S302" s="24" t="s">
        <v>36</v>
      </c>
      <c r="T302" s="24"/>
      <c r="U302" s="24"/>
      <c r="V302" s="24"/>
      <c r="W302" s="24"/>
      <c r="X302" s="24"/>
    </row>
    <row r="303" s="8" customFormat="true" ht="13.5" hidden="false" customHeight="false" outlineLevel="0" collapsed="false">
      <c r="A303" s="16" t="s">
        <v>22</v>
      </c>
      <c r="B303" s="16" t="s">
        <v>23</v>
      </c>
      <c r="C303" s="17"/>
      <c r="D303" s="17"/>
      <c r="E303" s="16" t="s">
        <v>24</v>
      </c>
      <c r="F303" s="16" t="n">
        <v>4878</v>
      </c>
      <c r="G303" s="18" t="n">
        <v>46121</v>
      </c>
      <c r="H303" s="18" t="n">
        <f aca="false">+G303+30</f>
        <v>46151</v>
      </c>
      <c r="I303" s="18"/>
      <c r="J303" s="19" t="n">
        <v>128699</v>
      </c>
      <c r="K303" s="19"/>
      <c r="L303" s="19" t="n">
        <f aca="false">+J303/1.19</f>
        <v>108150.420168067</v>
      </c>
      <c r="M303" s="19" t="n">
        <f aca="false">+L303*19%</f>
        <v>20548.5798319328</v>
      </c>
      <c r="N303" s="16" t="s">
        <v>146</v>
      </c>
      <c r="O303" s="20" t="n">
        <v>2026</v>
      </c>
      <c r="P303" s="21" t="n">
        <f aca="false">+J303</f>
        <v>128699</v>
      </c>
      <c r="Q303" s="19" t="n">
        <f aca="false">+J303-P303</f>
        <v>0</v>
      </c>
      <c r="R303" s="22" t="str">
        <f aca="false">IF(J303-P303=0,"PAGADA","PENDIENTE")</f>
        <v>PAGADA</v>
      </c>
      <c r="S303" s="18" t="n">
        <v>46150</v>
      </c>
      <c r="T303" s="16"/>
      <c r="U303" s="16"/>
      <c r="V303" s="16"/>
      <c r="W303" s="16"/>
      <c r="X303" s="16"/>
    </row>
    <row r="304" s="8" customFormat="true" ht="13.5" hidden="false" customHeight="false" outlineLevel="0" collapsed="false">
      <c r="A304" s="16" t="s">
        <v>68</v>
      </c>
      <c r="B304" s="16" t="s">
        <v>69</v>
      </c>
      <c r="C304" s="17"/>
      <c r="D304" s="17"/>
      <c r="E304" s="16" t="s">
        <v>24</v>
      </c>
      <c r="F304" s="16" t="n">
        <v>4879</v>
      </c>
      <c r="G304" s="18" t="n">
        <v>46128</v>
      </c>
      <c r="H304" s="18" t="n">
        <f aca="false">+G304+30</f>
        <v>46158</v>
      </c>
      <c r="I304" s="18"/>
      <c r="J304" s="19" t="n">
        <v>1584414</v>
      </c>
      <c r="K304" s="19"/>
      <c r="L304" s="19" t="n">
        <f aca="false">+J304/1.19</f>
        <v>1331440.33613445</v>
      </c>
      <c r="M304" s="19" t="n">
        <f aca="false">+L304*19%</f>
        <v>252973.663865546</v>
      </c>
      <c r="N304" s="16" t="s">
        <v>146</v>
      </c>
      <c r="O304" s="20" t="n">
        <v>2026</v>
      </c>
      <c r="P304" s="21" t="n">
        <f aca="false">+J304</f>
        <v>1584414</v>
      </c>
      <c r="Q304" s="19" t="n">
        <f aca="false">+J304-P304</f>
        <v>0</v>
      </c>
      <c r="R304" s="22" t="str">
        <f aca="false">IF(J304-P304=0,"PAGADA","PENDIENTE")</f>
        <v>PAGADA</v>
      </c>
      <c r="S304" s="18" t="n">
        <v>46153</v>
      </c>
      <c r="T304" s="16"/>
      <c r="U304" s="16"/>
      <c r="V304" s="16"/>
      <c r="W304" s="16"/>
      <c r="X304" s="16"/>
    </row>
    <row r="305" s="8" customFormat="true" ht="13.5" hidden="false" customHeight="false" outlineLevel="0" collapsed="false">
      <c r="A305" s="16" t="s">
        <v>122</v>
      </c>
      <c r="B305" s="16" t="s">
        <v>123</v>
      </c>
      <c r="C305" s="17"/>
      <c r="D305" s="17"/>
      <c r="E305" s="16" t="s">
        <v>24</v>
      </c>
      <c r="F305" s="16" t="n">
        <v>4880</v>
      </c>
      <c r="G305" s="18" t="n">
        <v>46128</v>
      </c>
      <c r="H305" s="18" t="n">
        <f aca="false">+G305+30</f>
        <v>46158</v>
      </c>
      <c r="I305" s="18"/>
      <c r="J305" s="19" t="n">
        <v>2622865</v>
      </c>
      <c r="K305" s="19"/>
      <c r="L305" s="19" t="n">
        <f aca="false">+J305/1.19</f>
        <v>2204088.23529412</v>
      </c>
      <c r="M305" s="19" t="n">
        <f aca="false">+L305*19%</f>
        <v>418776.764705882</v>
      </c>
      <c r="N305" s="16" t="s">
        <v>146</v>
      </c>
      <c r="O305" s="20" t="n">
        <v>2026</v>
      </c>
      <c r="P305" s="21" t="n">
        <f aca="false">+J305</f>
        <v>2622865</v>
      </c>
      <c r="Q305" s="19" t="n">
        <f aca="false">+J305-P305</f>
        <v>0</v>
      </c>
      <c r="R305" s="22" t="str">
        <f aca="false">IF(J305-P305=0,"PAGADA","PENDIENTE")</f>
        <v>PAGADA</v>
      </c>
      <c r="S305" s="18" t="n">
        <v>46157</v>
      </c>
      <c r="T305" s="16"/>
      <c r="U305" s="16"/>
      <c r="V305" s="16"/>
      <c r="W305" s="16"/>
      <c r="X305" s="16"/>
    </row>
    <row r="306" s="8" customFormat="true" ht="13.5" hidden="false" customHeight="false" outlineLevel="0" collapsed="false">
      <c r="A306" s="16" t="s">
        <v>64</v>
      </c>
      <c r="B306" s="16" t="s">
        <v>65</v>
      </c>
      <c r="C306" s="17"/>
      <c r="D306" s="17"/>
      <c r="E306" s="16" t="s">
        <v>24</v>
      </c>
      <c r="F306" s="16" t="n">
        <v>4881</v>
      </c>
      <c r="G306" s="18" t="n">
        <v>46129</v>
      </c>
      <c r="H306" s="18" t="n">
        <f aca="false">+G306+30</f>
        <v>46159</v>
      </c>
      <c r="I306" s="18"/>
      <c r="J306" s="19" t="n">
        <v>28798000</v>
      </c>
      <c r="K306" s="19"/>
      <c r="L306" s="19" t="n">
        <f aca="false">+J306/1.19</f>
        <v>24200000</v>
      </c>
      <c r="M306" s="19" t="n">
        <f aca="false">+L306*19%</f>
        <v>4598000</v>
      </c>
      <c r="N306" s="16" t="s">
        <v>146</v>
      </c>
      <c r="O306" s="20" t="n">
        <v>2026</v>
      </c>
      <c r="P306" s="21" t="n">
        <f aca="false">+J306</f>
        <v>28798000</v>
      </c>
      <c r="Q306" s="19" t="n">
        <f aca="false">+J306-P306</f>
        <v>0</v>
      </c>
      <c r="R306" s="22" t="str">
        <f aca="false">IF(J306-P306=0,"PAGADA","PENDIENTE")</f>
        <v>PAGADA</v>
      </c>
      <c r="S306" s="16" t="s">
        <v>154</v>
      </c>
      <c r="T306" s="16"/>
      <c r="U306" s="16"/>
      <c r="V306" s="16"/>
      <c r="W306" s="16"/>
      <c r="X306" s="16"/>
    </row>
    <row r="307" s="8" customFormat="true" ht="13.5" hidden="false" customHeight="false" outlineLevel="0" collapsed="false">
      <c r="A307" s="16" t="s">
        <v>64</v>
      </c>
      <c r="B307" s="16" t="s">
        <v>65</v>
      </c>
      <c r="C307" s="17"/>
      <c r="D307" s="17"/>
      <c r="E307" s="16" t="s">
        <v>24</v>
      </c>
      <c r="F307" s="16" t="n">
        <v>4882</v>
      </c>
      <c r="G307" s="18" t="n">
        <v>46129</v>
      </c>
      <c r="H307" s="18" t="n">
        <f aca="false">+G307+30</f>
        <v>46159</v>
      </c>
      <c r="I307" s="18"/>
      <c r="J307" s="19" t="n">
        <v>28798000</v>
      </c>
      <c r="K307" s="19"/>
      <c r="L307" s="19" t="n">
        <f aca="false">+J307/1.19</f>
        <v>24200000</v>
      </c>
      <c r="M307" s="19" t="n">
        <f aca="false">+L307*19%</f>
        <v>4598000</v>
      </c>
      <c r="N307" s="16" t="s">
        <v>146</v>
      </c>
      <c r="O307" s="20" t="n">
        <v>2026</v>
      </c>
      <c r="P307" s="21" t="n">
        <f aca="false">+J307</f>
        <v>28798000</v>
      </c>
      <c r="Q307" s="19" t="n">
        <f aca="false">+J307-P307</f>
        <v>0</v>
      </c>
      <c r="R307" s="22" t="str">
        <f aca="false">IF(J307-P307=0,"PAGADA","PENDIENTE")</f>
        <v>PAGADA</v>
      </c>
      <c r="S307" s="18" t="n">
        <v>46157</v>
      </c>
      <c r="T307" s="16"/>
      <c r="U307" s="16"/>
      <c r="V307" s="16"/>
      <c r="W307" s="16"/>
      <c r="X307" s="16"/>
    </row>
    <row r="308" s="8" customFormat="true" ht="13.5" hidden="false" customHeight="false" outlineLevel="0" collapsed="false">
      <c r="A308" s="16" t="s">
        <v>57</v>
      </c>
      <c r="B308" s="16" t="s">
        <v>58</v>
      </c>
      <c r="C308" s="17"/>
      <c r="D308" s="17"/>
      <c r="E308" s="16" t="s">
        <v>24</v>
      </c>
      <c r="F308" s="16" t="n">
        <v>4883</v>
      </c>
      <c r="G308" s="18" t="n">
        <v>46129</v>
      </c>
      <c r="H308" s="18" t="n">
        <f aca="false">+G308+30</f>
        <v>46159</v>
      </c>
      <c r="I308" s="18"/>
      <c r="J308" s="19" t="n">
        <v>1611692</v>
      </c>
      <c r="K308" s="19"/>
      <c r="L308" s="19" t="n">
        <f aca="false">+J308/1.19</f>
        <v>1354363.02521008</v>
      </c>
      <c r="M308" s="19" t="n">
        <f aca="false">+L308*19%</f>
        <v>257328.974789916</v>
      </c>
      <c r="N308" s="16" t="s">
        <v>146</v>
      </c>
      <c r="O308" s="20" t="n">
        <v>2026</v>
      </c>
      <c r="P308" s="21" t="n">
        <f aca="false">+J308</f>
        <v>1611692</v>
      </c>
      <c r="Q308" s="19" t="n">
        <f aca="false">+J308-P308</f>
        <v>0</v>
      </c>
      <c r="R308" s="22" t="str">
        <f aca="false">IF(J308-P308=0,"PAGADA","PENDIENTE")</f>
        <v>PAGADA</v>
      </c>
      <c r="S308" s="18" t="n">
        <v>46146</v>
      </c>
      <c r="T308" s="16"/>
      <c r="U308" s="16"/>
      <c r="V308" s="16"/>
      <c r="W308" s="16"/>
      <c r="X308" s="16"/>
    </row>
    <row r="309" s="8" customFormat="true" ht="13.5" hidden="false" customHeight="false" outlineLevel="0" collapsed="false">
      <c r="A309" s="16" t="s">
        <v>57</v>
      </c>
      <c r="B309" s="16" t="s">
        <v>58</v>
      </c>
      <c r="C309" s="17"/>
      <c r="D309" s="17"/>
      <c r="E309" s="16" t="s">
        <v>24</v>
      </c>
      <c r="F309" s="16" t="n">
        <v>4884</v>
      </c>
      <c r="G309" s="18" t="n">
        <v>46129</v>
      </c>
      <c r="H309" s="18" t="n">
        <f aca="false">+G309+30</f>
        <v>46159</v>
      </c>
      <c r="I309" s="18"/>
      <c r="J309" s="19" t="n">
        <v>5067665</v>
      </c>
      <c r="K309" s="19"/>
      <c r="L309" s="19" t="n">
        <f aca="false">+J309/1.19</f>
        <v>4258542.01680672</v>
      </c>
      <c r="M309" s="19" t="n">
        <f aca="false">+L309*19%</f>
        <v>809122.983193277</v>
      </c>
      <c r="N309" s="16" t="s">
        <v>146</v>
      </c>
      <c r="O309" s="20" t="n">
        <v>2026</v>
      </c>
      <c r="P309" s="21" t="n">
        <f aca="false">+J309</f>
        <v>5067665</v>
      </c>
      <c r="Q309" s="19" t="n">
        <f aca="false">+J309-P309</f>
        <v>0</v>
      </c>
      <c r="R309" s="22" t="str">
        <f aca="false">IF(J309-P309=0,"PAGADA","PENDIENTE")</f>
        <v>PAGADA</v>
      </c>
      <c r="S309" s="18" t="n">
        <v>46146</v>
      </c>
      <c r="T309" s="16"/>
      <c r="U309" s="16"/>
      <c r="V309" s="16"/>
      <c r="W309" s="16"/>
      <c r="X309" s="16"/>
    </row>
    <row r="310" s="8" customFormat="true" ht="13.5" hidden="false" customHeight="false" outlineLevel="0" collapsed="false">
      <c r="A310" s="16" t="s">
        <v>57</v>
      </c>
      <c r="B310" s="16" t="s">
        <v>58</v>
      </c>
      <c r="C310" s="17"/>
      <c r="D310" s="17"/>
      <c r="E310" s="16" t="s">
        <v>24</v>
      </c>
      <c r="F310" s="16" t="n">
        <v>4885</v>
      </c>
      <c r="G310" s="18" t="n">
        <v>46129</v>
      </c>
      <c r="H310" s="18" t="n">
        <f aca="false">+G310+30</f>
        <v>46159</v>
      </c>
      <c r="I310" s="18"/>
      <c r="J310" s="19" t="n">
        <v>543067</v>
      </c>
      <c r="K310" s="19"/>
      <c r="L310" s="19" t="n">
        <f aca="false">+J310/1.19</f>
        <v>456358.823529412</v>
      </c>
      <c r="M310" s="19" t="n">
        <f aca="false">+L310*19%</f>
        <v>86708.1764705882</v>
      </c>
      <c r="N310" s="16" t="s">
        <v>146</v>
      </c>
      <c r="O310" s="20" t="n">
        <v>2026</v>
      </c>
      <c r="P310" s="21" t="n">
        <f aca="false">+J310</f>
        <v>543067</v>
      </c>
      <c r="Q310" s="19" t="n">
        <f aca="false">+J310-P310</f>
        <v>0</v>
      </c>
      <c r="R310" s="22" t="str">
        <f aca="false">IF(J310-P310=0,"PAGADA","PENDIENTE")</f>
        <v>PAGADA</v>
      </c>
      <c r="S310" s="18" t="n">
        <v>46146</v>
      </c>
      <c r="T310" s="16"/>
      <c r="U310" s="16"/>
      <c r="V310" s="16"/>
      <c r="W310" s="16"/>
      <c r="X310" s="16"/>
    </row>
    <row r="311" s="8" customFormat="true" ht="13.5" hidden="false" customHeight="false" outlineLevel="0" collapsed="false">
      <c r="A311" s="16" t="s">
        <v>57</v>
      </c>
      <c r="B311" s="16" t="s">
        <v>58</v>
      </c>
      <c r="C311" s="17"/>
      <c r="D311" s="17"/>
      <c r="E311" s="16" t="s">
        <v>24</v>
      </c>
      <c r="F311" s="16" t="n">
        <v>4886</v>
      </c>
      <c r="G311" s="18" t="n">
        <v>46129</v>
      </c>
      <c r="H311" s="18" t="n">
        <f aca="false">+G311+30</f>
        <v>46159</v>
      </c>
      <c r="I311" s="18"/>
      <c r="J311" s="19" t="n">
        <v>402447</v>
      </c>
      <c r="K311" s="19"/>
      <c r="L311" s="19" t="n">
        <f aca="false">+J311/1.19</f>
        <v>338190.756302521</v>
      </c>
      <c r="M311" s="19" t="n">
        <f aca="false">+L311*19%</f>
        <v>64256.243697479</v>
      </c>
      <c r="N311" s="16" t="s">
        <v>146</v>
      </c>
      <c r="O311" s="20" t="n">
        <v>2026</v>
      </c>
      <c r="P311" s="21" t="n">
        <f aca="false">+J311</f>
        <v>402447</v>
      </c>
      <c r="Q311" s="19" t="n">
        <f aca="false">+J311-P311</f>
        <v>0</v>
      </c>
      <c r="R311" s="22" t="str">
        <f aca="false">IF(J311-P311=0,"PAGADA","PENDIENTE")</f>
        <v>PAGADA</v>
      </c>
      <c r="S311" s="18" t="n">
        <v>46146</v>
      </c>
      <c r="T311" s="16"/>
      <c r="U311" s="16"/>
      <c r="V311" s="16"/>
      <c r="W311" s="16"/>
      <c r="X311" s="16"/>
    </row>
    <row r="312" s="8" customFormat="true" ht="13.5" hidden="false" customHeight="false" outlineLevel="0" collapsed="false">
      <c r="A312" s="16" t="s">
        <v>86</v>
      </c>
      <c r="B312" s="16" t="s">
        <v>87</v>
      </c>
      <c r="C312" s="17"/>
      <c r="D312" s="17"/>
      <c r="E312" s="16" t="s">
        <v>24</v>
      </c>
      <c r="F312" s="16" t="n">
        <v>4887</v>
      </c>
      <c r="G312" s="18" t="n">
        <v>46129</v>
      </c>
      <c r="H312" s="18" t="n">
        <f aca="false">+G312+30</f>
        <v>46159</v>
      </c>
      <c r="I312" s="18"/>
      <c r="J312" s="19" t="n">
        <v>1805528</v>
      </c>
      <c r="K312" s="19"/>
      <c r="L312" s="19" t="n">
        <f aca="false">+J312/1.19</f>
        <v>1517250.42016807</v>
      </c>
      <c r="M312" s="19" t="n">
        <f aca="false">+L312*19%</f>
        <v>288277.579831933</v>
      </c>
      <c r="N312" s="16" t="s">
        <v>146</v>
      </c>
      <c r="O312" s="20" t="n">
        <v>2026</v>
      </c>
      <c r="P312" s="21" t="n">
        <f aca="false">+J312</f>
        <v>1805528</v>
      </c>
      <c r="Q312" s="19" t="n">
        <f aca="false">+J312-P312</f>
        <v>0</v>
      </c>
      <c r="R312" s="22" t="str">
        <f aca="false">IF(J312-P312=0,"PAGADA","PENDIENTE")</f>
        <v>PAGADA</v>
      </c>
      <c r="S312" s="18" t="n">
        <v>46157</v>
      </c>
      <c r="T312" s="16"/>
      <c r="U312" s="16"/>
      <c r="V312" s="16"/>
      <c r="W312" s="16"/>
      <c r="X312" s="16"/>
    </row>
    <row r="313" s="8" customFormat="true" ht="13.5" hidden="false" customHeight="false" outlineLevel="0" collapsed="false">
      <c r="A313" s="16" t="s">
        <v>30</v>
      </c>
      <c r="B313" s="16" t="s">
        <v>31</v>
      </c>
      <c r="C313" s="17"/>
      <c r="D313" s="17"/>
      <c r="E313" s="16" t="s">
        <v>24</v>
      </c>
      <c r="F313" s="16" t="n">
        <v>4888</v>
      </c>
      <c r="G313" s="18" t="n">
        <v>46129</v>
      </c>
      <c r="H313" s="18" t="n">
        <f aca="false">+G313+30</f>
        <v>46159</v>
      </c>
      <c r="I313" s="18"/>
      <c r="J313" s="19" t="n">
        <v>4884199</v>
      </c>
      <c r="K313" s="19"/>
      <c r="L313" s="19" t="n">
        <f aca="false">+J313/1.19</f>
        <v>4104368.90756303</v>
      </c>
      <c r="M313" s="19" t="n">
        <f aca="false">+L313*19%</f>
        <v>779830.092436975</v>
      </c>
      <c r="N313" s="16" t="s">
        <v>146</v>
      </c>
      <c r="O313" s="20" t="n">
        <v>2026</v>
      </c>
      <c r="P313" s="21" t="n">
        <f aca="false">+J313</f>
        <v>4884199</v>
      </c>
      <c r="Q313" s="19" t="n">
        <f aca="false">+J313-P313</f>
        <v>0</v>
      </c>
      <c r="R313" s="22" t="str">
        <f aca="false">IF(J313-P313=0,"PAGADA","PENDIENTE")</f>
        <v>PAGADA</v>
      </c>
      <c r="S313" s="18" t="n">
        <v>46157</v>
      </c>
      <c r="T313" s="16"/>
      <c r="U313" s="16"/>
      <c r="V313" s="16"/>
      <c r="W313" s="16"/>
      <c r="X313" s="16"/>
    </row>
    <row r="314" s="8" customFormat="true" ht="13.5" hidden="false" customHeight="false" outlineLevel="0" collapsed="false">
      <c r="A314" s="16" t="s">
        <v>30</v>
      </c>
      <c r="B314" s="16" t="s">
        <v>31</v>
      </c>
      <c r="C314" s="17"/>
      <c r="D314" s="17"/>
      <c r="E314" s="16" t="s">
        <v>24</v>
      </c>
      <c r="F314" s="16" t="n">
        <v>4889</v>
      </c>
      <c r="G314" s="18" t="n">
        <v>46129</v>
      </c>
      <c r="H314" s="18" t="n">
        <f aca="false">+G314+30</f>
        <v>46159</v>
      </c>
      <c r="I314" s="18"/>
      <c r="J314" s="19" t="n">
        <v>2637423</v>
      </c>
      <c r="K314" s="19"/>
      <c r="L314" s="19" t="n">
        <f aca="false">+J314/1.19</f>
        <v>2216321.8487395</v>
      </c>
      <c r="M314" s="19" t="n">
        <f aca="false">+L314*19%</f>
        <v>421101.151260504</v>
      </c>
      <c r="N314" s="16" t="s">
        <v>146</v>
      </c>
      <c r="O314" s="20" t="n">
        <v>2026</v>
      </c>
      <c r="P314" s="21" t="n">
        <f aca="false">+J314</f>
        <v>2637423</v>
      </c>
      <c r="Q314" s="19" t="n">
        <f aca="false">+J314-P314</f>
        <v>0</v>
      </c>
      <c r="R314" s="22" t="str">
        <f aca="false">IF(J314-P314=0,"PAGADA","PENDIENTE")</f>
        <v>PAGADA</v>
      </c>
      <c r="S314" s="18" t="n">
        <v>46157</v>
      </c>
      <c r="T314" s="16"/>
      <c r="U314" s="16"/>
      <c r="V314" s="16"/>
      <c r="W314" s="16"/>
      <c r="X314" s="16"/>
    </row>
    <row r="315" s="8" customFormat="true" ht="13.5" hidden="false" customHeight="false" outlineLevel="0" collapsed="false">
      <c r="A315" s="16" t="s">
        <v>30</v>
      </c>
      <c r="B315" s="16" t="s">
        <v>31</v>
      </c>
      <c r="C315" s="17"/>
      <c r="D315" s="17"/>
      <c r="E315" s="16" t="s">
        <v>24</v>
      </c>
      <c r="F315" s="16" t="n">
        <v>4890</v>
      </c>
      <c r="G315" s="18" t="n">
        <v>46129</v>
      </c>
      <c r="H315" s="18" t="n">
        <f aca="false">+G315+30</f>
        <v>46159</v>
      </c>
      <c r="I315" s="18"/>
      <c r="J315" s="19" t="n">
        <v>4942551</v>
      </c>
      <c r="K315" s="19"/>
      <c r="L315" s="19" t="n">
        <f aca="false">+J315/1.19</f>
        <v>4153404.20168067</v>
      </c>
      <c r="M315" s="19" t="n">
        <f aca="false">+L315*19%</f>
        <v>789146.798319328</v>
      </c>
      <c r="N315" s="16" t="s">
        <v>146</v>
      </c>
      <c r="O315" s="20" t="n">
        <v>2026</v>
      </c>
      <c r="P315" s="21" t="n">
        <f aca="false">+J315</f>
        <v>4942551</v>
      </c>
      <c r="Q315" s="19" t="n">
        <f aca="false">+J315-P315</f>
        <v>0</v>
      </c>
      <c r="R315" s="22" t="str">
        <f aca="false">IF(J315-P315=0,"PAGADA","PENDIENTE")</f>
        <v>PAGADA</v>
      </c>
      <c r="S315" s="18" t="n">
        <v>46157</v>
      </c>
      <c r="T315" s="16"/>
      <c r="U315" s="16"/>
      <c r="V315" s="16"/>
      <c r="W315" s="16"/>
      <c r="X315" s="16"/>
    </row>
    <row r="316" s="8" customFormat="true" ht="13.5" hidden="false" customHeight="false" outlineLevel="0" collapsed="false">
      <c r="A316" s="16" t="s">
        <v>30</v>
      </c>
      <c r="B316" s="16" t="s">
        <v>31</v>
      </c>
      <c r="C316" s="17"/>
      <c r="D316" s="17"/>
      <c r="E316" s="16" t="s">
        <v>24</v>
      </c>
      <c r="F316" s="16" t="n">
        <v>4891</v>
      </c>
      <c r="G316" s="18" t="n">
        <v>46129</v>
      </c>
      <c r="H316" s="18" t="n">
        <f aca="false">+G316+30</f>
        <v>46159</v>
      </c>
      <c r="I316" s="18"/>
      <c r="J316" s="19" t="n">
        <v>731573</v>
      </c>
      <c r="K316" s="19"/>
      <c r="L316" s="19" t="n">
        <f aca="false">+J316/1.19</f>
        <v>614767.226890756</v>
      </c>
      <c r="M316" s="19" t="n">
        <f aca="false">+L316*19%</f>
        <v>116805.773109244</v>
      </c>
      <c r="N316" s="16" t="s">
        <v>146</v>
      </c>
      <c r="O316" s="20" t="n">
        <v>2026</v>
      </c>
      <c r="P316" s="21" t="n">
        <f aca="false">+J316</f>
        <v>731573</v>
      </c>
      <c r="Q316" s="19" t="n">
        <f aca="false">+J316-P316</f>
        <v>0</v>
      </c>
      <c r="R316" s="22" t="str">
        <f aca="false">IF(J316-P316=0,"PAGADA","PENDIENTE")</f>
        <v>PAGADA</v>
      </c>
      <c r="S316" s="18" t="n">
        <v>46157</v>
      </c>
      <c r="T316" s="16"/>
      <c r="U316" s="16"/>
      <c r="V316" s="16"/>
      <c r="W316" s="16"/>
      <c r="X316" s="16"/>
    </row>
    <row r="317" s="8" customFormat="true" ht="13.5" hidden="false" customHeight="false" outlineLevel="0" collapsed="false">
      <c r="A317" s="16" t="s">
        <v>30</v>
      </c>
      <c r="B317" s="16" t="s">
        <v>31</v>
      </c>
      <c r="C317" s="17"/>
      <c r="D317" s="17"/>
      <c r="E317" s="16" t="s">
        <v>24</v>
      </c>
      <c r="F317" s="16" t="n">
        <v>4892</v>
      </c>
      <c r="G317" s="18" t="n">
        <v>46129</v>
      </c>
      <c r="H317" s="18" t="n">
        <f aca="false">+G317+30</f>
        <v>46159</v>
      </c>
      <c r="I317" s="18"/>
      <c r="J317" s="19" t="n">
        <v>2038344</v>
      </c>
      <c r="K317" s="19"/>
      <c r="L317" s="19" t="n">
        <f aca="false">+J317/1.19</f>
        <v>1712894.11764706</v>
      </c>
      <c r="M317" s="19" t="n">
        <f aca="false">+L317*19%</f>
        <v>325449.882352941</v>
      </c>
      <c r="N317" s="16" t="s">
        <v>146</v>
      </c>
      <c r="O317" s="20" t="n">
        <v>2026</v>
      </c>
      <c r="P317" s="21" t="n">
        <f aca="false">+J317</f>
        <v>2038344</v>
      </c>
      <c r="Q317" s="19" t="n">
        <f aca="false">+J317-P317</f>
        <v>0</v>
      </c>
      <c r="R317" s="22" t="str">
        <f aca="false">IF(J317-P317=0,"PAGADA","PENDIENTE")</f>
        <v>PAGADA</v>
      </c>
      <c r="S317" s="18" t="n">
        <v>46157</v>
      </c>
      <c r="T317" s="16"/>
      <c r="U317" s="16"/>
      <c r="V317" s="16"/>
      <c r="W317" s="16"/>
      <c r="X317" s="16"/>
    </row>
    <row r="318" s="7" customFormat="true" ht="13.5" hidden="false" customHeight="false" outlineLevel="0" collapsed="false">
      <c r="A318" s="24" t="s">
        <v>64</v>
      </c>
      <c r="B318" s="24" t="s">
        <v>65</v>
      </c>
      <c r="C318" s="25"/>
      <c r="D318" s="25"/>
      <c r="E318" s="24" t="s">
        <v>35</v>
      </c>
      <c r="F318" s="24" t="n">
        <v>481</v>
      </c>
      <c r="G318" s="26" t="n">
        <v>46129</v>
      </c>
      <c r="H318" s="26" t="n">
        <f aca="false">+G318+30</f>
        <v>46159</v>
      </c>
      <c r="I318" s="26"/>
      <c r="J318" s="21" t="n">
        <v>-28798000</v>
      </c>
      <c r="K318" s="21"/>
      <c r="L318" s="21" t="n">
        <f aca="false">+J318/1.19</f>
        <v>-24200000</v>
      </c>
      <c r="M318" s="21" t="n">
        <f aca="false">+L318*19%</f>
        <v>-4598000</v>
      </c>
      <c r="N318" s="24" t="s">
        <v>146</v>
      </c>
      <c r="O318" s="27" t="n">
        <v>2026</v>
      </c>
      <c r="P318" s="21" t="n">
        <f aca="false">+J318</f>
        <v>-28798000</v>
      </c>
      <c r="Q318" s="21" t="n">
        <f aca="false">+J318-P318</f>
        <v>0</v>
      </c>
      <c r="R318" s="28" t="str">
        <f aca="false">IF(J318-P318=0,"PAGADA","PENDIENTE")</f>
        <v>PAGADA</v>
      </c>
      <c r="S318" s="24" t="s">
        <v>36</v>
      </c>
      <c r="T318" s="24"/>
      <c r="U318" s="24"/>
      <c r="V318" s="24"/>
      <c r="W318" s="24"/>
      <c r="X318" s="24"/>
    </row>
    <row r="319" s="8" customFormat="true" ht="13.5" hidden="false" customHeight="false" outlineLevel="0" collapsed="false">
      <c r="A319" s="16" t="s">
        <v>39</v>
      </c>
      <c r="B319" s="16" t="s">
        <v>40</v>
      </c>
      <c r="C319" s="17"/>
      <c r="D319" s="17"/>
      <c r="E319" s="16" t="s">
        <v>24</v>
      </c>
      <c r="F319" s="16" t="n">
        <v>4893</v>
      </c>
      <c r="G319" s="18" t="n">
        <v>46132</v>
      </c>
      <c r="H319" s="18" t="n">
        <f aca="false">+G319+30</f>
        <v>46162</v>
      </c>
      <c r="I319" s="18"/>
      <c r="J319" s="19" t="n">
        <v>11350208</v>
      </c>
      <c r="K319" s="19"/>
      <c r="L319" s="19" t="n">
        <f aca="false">+J319/1.19</f>
        <v>9537989.91596639</v>
      </c>
      <c r="M319" s="19" t="n">
        <f aca="false">+L319*19%</f>
        <v>1812218.08403361</v>
      </c>
      <c r="N319" s="16" t="s">
        <v>146</v>
      </c>
      <c r="O319" s="20" t="n">
        <v>2026</v>
      </c>
      <c r="P319" s="21" t="n">
        <f aca="false">+J319</f>
        <v>11350208</v>
      </c>
      <c r="Q319" s="19" t="n">
        <f aca="false">+J319-P319</f>
        <v>0</v>
      </c>
      <c r="R319" s="22" t="str">
        <f aca="false">IF(J319-P319=0,"PAGADA","PENDIENTE")</f>
        <v>PAGADA</v>
      </c>
      <c r="S319" s="18" t="n">
        <v>46157</v>
      </c>
      <c r="T319" s="16"/>
      <c r="U319" s="16"/>
      <c r="V319" s="16"/>
      <c r="W319" s="16"/>
      <c r="X319" s="16"/>
    </row>
    <row r="320" s="8" customFormat="true" ht="13.5" hidden="false" customHeight="false" outlineLevel="0" collapsed="false">
      <c r="A320" s="16" t="s">
        <v>32</v>
      </c>
      <c r="B320" s="16" t="s">
        <v>33</v>
      </c>
      <c r="C320" s="17"/>
      <c r="D320" s="17"/>
      <c r="E320" s="16" t="s">
        <v>24</v>
      </c>
      <c r="F320" s="16" t="n">
        <v>4894</v>
      </c>
      <c r="G320" s="18" t="n">
        <v>46133</v>
      </c>
      <c r="H320" s="18" t="n">
        <f aca="false">+G320+30</f>
        <v>46163</v>
      </c>
      <c r="I320" s="18"/>
      <c r="J320" s="19" t="n">
        <v>4048350</v>
      </c>
      <c r="K320" s="19"/>
      <c r="L320" s="19" t="n">
        <f aca="false">+J320/1.19</f>
        <v>3401974.78991597</v>
      </c>
      <c r="M320" s="19" t="n">
        <f aca="false">+L320*19%</f>
        <v>646375.210084034</v>
      </c>
      <c r="N320" s="16" t="s">
        <v>146</v>
      </c>
      <c r="O320" s="20" t="n">
        <v>2026</v>
      </c>
      <c r="P320" s="21"/>
      <c r="Q320" s="19" t="n">
        <f aca="false">+J320-P320</f>
        <v>4048350</v>
      </c>
      <c r="R320" s="22" t="str">
        <f aca="false">IF(J320-P320=0,"PAGADA","PENDIENTE")</f>
        <v>PENDIENTE</v>
      </c>
      <c r="S320" s="16"/>
      <c r="T320" s="16"/>
      <c r="U320" s="16"/>
      <c r="V320" s="16"/>
      <c r="W320" s="16"/>
      <c r="X320" s="16"/>
    </row>
    <row r="321" s="8" customFormat="true" ht="13.5" hidden="false" customHeight="false" outlineLevel="0" collapsed="false">
      <c r="A321" s="16" t="s">
        <v>88</v>
      </c>
      <c r="B321" s="16" t="s">
        <v>89</v>
      </c>
      <c r="C321" s="17"/>
      <c r="D321" s="17" t="s">
        <v>89</v>
      </c>
      <c r="E321" s="16" t="s">
        <v>24</v>
      </c>
      <c r="F321" s="16" t="n">
        <v>4895</v>
      </c>
      <c r="G321" s="18" t="n">
        <v>46133</v>
      </c>
      <c r="H321" s="18" t="n">
        <f aca="false">+G321+30</f>
        <v>46163</v>
      </c>
      <c r="I321" s="18"/>
      <c r="J321" s="19" t="n">
        <v>5732598</v>
      </c>
      <c r="K321" s="19"/>
      <c r="L321" s="19" t="n">
        <f aca="false">+J321/1.19</f>
        <v>4817309.24369748</v>
      </c>
      <c r="M321" s="19" t="n">
        <f aca="false">+L321*19%</f>
        <v>915288.756302521</v>
      </c>
      <c r="N321" s="16" t="s">
        <v>146</v>
      </c>
      <c r="O321" s="20" t="n">
        <v>2026</v>
      </c>
      <c r="P321" s="21" t="n">
        <f aca="false">+J321</f>
        <v>5732598</v>
      </c>
      <c r="Q321" s="19" t="n">
        <f aca="false">+J321-P321</f>
        <v>0</v>
      </c>
      <c r="R321" s="22" t="str">
        <f aca="false">IF(J321-P321=0,"PAGADA","PENDIENTE")</f>
        <v>PAGADA</v>
      </c>
      <c r="S321" s="18" t="n">
        <v>46167</v>
      </c>
      <c r="T321" s="16"/>
      <c r="U321" s="16"/>
      <c r="V321" s="16"/>
      <c r="W321" s="16"/>
      <c r="X321" s="16"/>
    </row>
    <row r="322" s="8" customFormat="true" ht="13.5" hidden="false" customHeight="false" outlineLevel="0" collapsed="false">
      <c r="A322" s="16" t="s">
        <v>22</v>
      </c>
      <c r="B322" s="16" t="s">
        <v>23</v>
      </c>
      <c r="C322" s="17"/>
      <c r="D322" s="17"/>
      <c r="E322" s="16" t="s">
        <v>24</v>
      </c>
      <c r="F322" s="16" t="n">
        <v>4896</v>
      </c>
      <c r="G322" s="18" t="n">
        <v>46139</v>
      </c>
      <c r="H322" s="18" t="n">
        <f aca="false">+G322+30</f>
        <v>46169</v>
      </c>
      <c r="I322" s="18"/>
      <c r="J322" s="19" t="n">
        <v>385560</v>
      </c>
      <c r="K322" s="19"/>
      <c r="L322" s="19" t="n">
        <f aca="false">+J322/1.19</f>
        <v>324000</v>
      </c>
      <c r="M322" s="19" t="n">
        <f aca="false">+L322*19%</f>
        <v>61560</v>
      </c>
      <c r="N322" s="16" t="s">
        <v>146</v>
      </c>
      <c r="O322" s="20" t="n">
        <v>2026</v>
      </c>
      <c r="P322" s="21" t="n">
        <f aca="false">+J322</f>
        <v>385560</v>
      </c>
      <c r="Q322" s="19" t="n">
        <f aca="false">+J322-P322</f>
        <v>0</v>
      </c>
      <c r="R322" s="22" t="str">
        <f aca="false">IF(J322-P322=0,"PAGADA","PENDIENTE")</f>
        <v>PAGADA</v>
      </c>
      <c r="S322" s="18" t="n">
        <v>46164</v>
      </c>
      <c r="T322" s="16"/>
      <c r="U322" s="16"/>
      <c r="V322" s="16"/>
      <c r="W322" s="16"/>
      <c r="X322" s="16"/>
    </row>
    <row r="323" s="8" customFormat="true" ht="13.5" hidden="false" customHeight="false" outlineLevel="0" collapsed="false">
      <c r="A323" s="16" t="s">
        <v>155</v>
      </c>
      <c r="B323" s="16" t="s">
        <v>156</v>
      </c>
      <c r="C323" s="17"/>
      <c r="D323" s="17"/>
      <c r="E323" s="16" t="s">
        <v>24</v>
      </c>
      <c r="F323" s="16" t="n">
        <v>4897</v>
      </c>
      <c r="G323" s="18" t="n">
        <v>46140</v>
      </c>
      <c r="H323" s="18" t="n">
        <f aca="false">+G323+30</f>
        <v>46170</v>
      </c>
      <c r="I323" s="18"/>
      <c r="J323" s="19" t="n">
        <v>17046560</v>
      </c>
      <c r="K323" s="19"/>
      <c r="L323" s="19" t="n">
        <f aca="false">+J323/1.19</f>
        <v>14324840.3361345</v>
      </c>
      <c r="M323" s="19" t="n">
        <f aca="false">+L323*19%</f>
        <v>2721719.66386555</v>
      </c>
      <c r="N323" s="16" t="s">
        <v>146</v>
      </c>
      <c r="O323" s="20" t="n">
        <v>2026</v>
      </c>
      <c r="P323" s="21" t="n">
        <f aca="false">+J323</f>
        <v>17046560</v>
      </c>
      <c r="Q323" s="19" t="n">
        <f aca="false">+J323-P323</f>
        <v>0</v>
      </c>
      <c r="R323" s="22" t="str">
        <f aca="false">IF(J323-P323=0,"PAGADA","PENDIENTE")</f>
        <v>PAGADA</v>
      </c>
      <c r="S323" s="18" t="n">
        <v>46142</v>
      </c>
      <c r="T323" s="16"/>
      <c r="U323" s="16"/>
      <c r="V323" s="16"/>
      <c r="W323" s="16"/>
      <c r="X323" s="16"/>
    </row>
    <row r="324" s="8" customFormat="true" ht="13.5" hidden="false" customHeight="false" outlineLevel="0" collapsed="false">
      <c r="A324" s="30" t="s">
        <v>83</v>
      </c>
      <c r="B324" s="30" t="s">
        <v>84</v>
      </c>
      <c r="C324" s="31" t="s">
        <v>61</v>
      </c>
      <c r="D324" s="31" t="s">
        <v>84</v>
      </c>
      <c r="E324" s="30" t="s">
        <v>24</v>
      </c>
      <c r="F324" s="30" t="n">
        <v>4898</v>
      </c>
      <c r="G324" s="32" t="n">
        <v>46140</v>
      </c>
      <c r="H324" s="32" t="n">
        <f aca="false">+G324+30</f>
        <v>46170</v>
      </c>
      <c r="I324" s="32"/>
      <c r="J324" s="33" t="n">
        <v>596146</v>
      </c>
      <c r="K324" s="33"/>
      <c r="L324" s="33" t="n">
        <f aca="false">+J324/1.19</f>
        <v>500963.025210084</v>
      </c>
      <c r="M324" s="33" t="n">
        <f aca="false">+L324*19%</f>
        <v>95182.974789916</v>
      </c>
      <c r="N324" s="30" t="s">
        <v>146</v>
      </c>
      <c r="O324" s="34" t="n">
        <v>2026</v>
      </c>
      <c r="P324" s="35" t="n">
        <f aca="false">+J324</f>
        <v>596146</v>
      </c>
      <c r="Q324" s="33" t="n">
        <f aca="false">+J324-P324</f>
        <v>0</v>
      </c>
      <c r="R324" s="36" t="str">
        <f aca="false">IF(J324-P324=0,"PAGADA","PENDIENTE")</f>
        <v>PAGADA</v>
      </c>
      <c r="S324" s="16" t="s">
        <v>157</v>
      </c>
      <c r="T324" s="35" t="n">
        <f aca="false">+P324*0.66%</f>
        <v>3934.5636</v>
      </c>
      <c r="U324" s="16"/>
      <c r="V324" s="16"/>
      <c r="W324" s="16"/>
      <c r="X324" s="16"/>
    </row>
    <row r="325" s="8" customFormat="true" ht="13.5" hidden="false" customHeight="false" outlineLevel="0" collapsed="false">
      <c r="A325" s="30" t="s">
        <v>83</v>
      </c>
      <c r="B325" s="30" t="s">
        <v>84</v>
      </c>
      <c r="C325" s="31" t="s">
        <v>61</v>
      </c>
      <c r="D325" s="31"/>
      <c r="E325" s="30" t="s">
        <v>24</v>
      </c>
      <c r="F325" s="30" t="n">
        <v>4899</v>
      </c>
      <c r="G325" s="32" t="n">
        <v>46140</v>
      </c>
      <c r="H325" s="32" t="n">
        <f aca="false">+G325+30</f>
        <v>46170</v>
      </c>
      <c r="I325" s="32"/>
      <c r="J325" s="33" t="n">
        <v>1895536</v>
      </c>
      <c r="K325" s="33"/>
      <c r="L325" s="33" t="n">
        <f aca="false">+J325/1.19</f>
        <v>1592887.39495798</v>
      </c>
      <c r="M325" s="33" t="n">
        <f aca="false">+L325*19%</f>
        <v>302648.605042017</v>
      </c>
      <c r="N325" s="30" t="s">
        <v>146</v>
      </c>
      <c r="O325" s="34" t="n">
        <v>2026</v>
      </c>
      <c r="P325" s="35" t="n">
        <f aca="false">+J325</f>
        <v>1895536</v>
      </c>
      <c r="Q325" s="33" t="n">
        <f aca="false">+J325-P325</f>
        <v>0</v>
      </c>
      <c r="R325" s="36" t="str">
        <f aca="false">IF(J325-P325=0,"PAGADA","PENDIENTE")</f>
        <v>PAGADA</v>
      </c>
      <c r="S325" s="30" t="s">
        <v>157</v>
      </c>
      <c r="T325" s="35" t="n">
        <f aca="false">+P325*0.66%</f>
        <v>12510.5376</v>
      </c>
      <c r="U325" s="30"/>
      <c r="V325" s="30"/>
      <c r="W325" s="30"/>
      <c r="X325" s="16"/>
    </row>
    <row r="326" s="8" customFormat="true" ht="13.5" hidden="false" customHeight="false" outlineLevel="0" collapsed="false">
      <c r="A326" s="30" t="s">
        <v>83</v>
      </c>
      <c r="B326" s="30" t="s">
        <v>84</v>
      </c>
      <c r="C326" s="31" t="s">
        <v>61</v>
      </c>
      <c r="D326" s="31"/>
      <c r="E326" s="30" t="s">
        <v>24</v>
      </c>
      <c r="F326" s="30" t="n">
        <v>4900</v>
      </c>
      <c r="G326" s="32" t="n">
        <v>46140</v>
      </c>
      <c r="H326" s="32" t="n">
        <f aca="false">+G326+30</f>
        <v>46170</v>
      </c>
      <c r="I326" s="32"/>
      <c r="J326" s="33" t="n">
        <v>6492546</v>
      </c>
      <c r="K326" s="33"/>
      <c r="L326" s="33" t="n">
        <f aca="false">+J326/1.19</f>
        <v>5455921.00840336</v>
      </c>
      <c r="M326" s="33" t="n">
        <f aca="false">+L326*19%</f>
        <v>1036624.99159664</v>
      </c>
      <c r="N326" s="30" t="s">
        <v>146</v>
      </c>
      <c r="O326" s="34" t="n">
        <v>2026</v>
      </c>
      <c r="P326" s="35" t="n">
        <f aca="false">+J326</f>
        <v>6492546</v>
      </c>
      <c r="Q326" s="33" t="n">
        <f aca="false">+J326-P326</f>
        <v>0</v>
      </c>
      <c r="R326" s="36" t="str">
        <f aca="false">IF(J326-P326=0,"PAGADA","PENDIENTE")</f>
        <v>PAGADA</v>
      </c>
      <c r="S326" s="30" t="s">
        <v>157</v>
      </c>
      <c r="T326" s="35" t="n">
        <f aca="false">+P326*0.66%</f>
        <v>42850.8036</v>
      </c>
      <c r="U326" s="30"/>
      <c r="V326" s="30"/>
      <c r="W326" s="30"/>
      <c r="X326" s="16"/>
    </row>
    <row r="327" s="8" customFormat="true" ht="13.5" hidden="false" customHeight="false" outlineLevel="0" collapsed="false">
      <c r="A327" s="30" t="s">
        <v>83</v>
      </c>
      <c r="B327" s="30" t="s">
        <v>84</v>
      </c>
      <c r="C327" s="31" t="s">
        <v>61</v>
      </c>
      <c r="D327" s="31"/>
      <c r="E327" s="30" t="s">
        <v>24</v>
      </c>
      <c r="F327" s="30" t="n">
        <v>4901</v>
      </c>
      <c r="G327" s="32" t="n">
        <v>46140</v>
      </c>
      <c r="H327" s="32" t="n">
        <f aca="false">+G327+30</f>
        <v>46170</v>
      </c>
      <c r="I327" s="32"/>
      <c r="J327" s="33" t="n">
        <v>1767150</v>
      </c>
      <c r="K327" s="33"/>
      <c r="L327" s="33" t="n">
        <f aca="false">+J327/1.19</f>
        <v>1485000</v>
      </c>
      <c r="M327" s="33" t="n">
        <f aca="false">+L327*19%</f>
        <v>282150</v>
      </c>
      <c r="N327" s="30" t="s">
        <v>146</v>
      </c>
      <c r="O327" s="34" t="n">
        <v>2026</v>
      </c>
      <c r="P327" s="35" t="n">
        <f aca="false">+J327</f>
        <v>1767150</v>
      </c>
      <c r="Q327" s="33" t="n">
        <f aca="false">+J327-P327</f>
        <v>0</v>
      </c>
      <c r="R327" s="36" t="str">
        <f aca="false">IF(J327-P327=0,"PAGADA","PENDIENTE")</f>
        <v>PAGADA</v>
      </c>
      <c r="S327" s="30" t="s">
        <v>157</v>
      </c>
      <c r="T327" s="35" t="n">
        <f aca="false">+P327*0.66%</f>
        <v>11663.19</v>
      </c>
      <c r="U327" s="30"/>
      <c r="V327" s="30"/>
      <c r="W327" s="30"/>
      <c r="X327" s="16"/>
    </row>
    <row r="328" s="8" customFormat="true" ht="13.5" hidden="false" customHeight="false" outlineLevel="0" collapsed="false">
      <c r="A328" s="30" t="s">
        <v>78</v>
      </c>
      <c r="B328" s="30" t="s">
        <v>79</v>
      </c>
      <c r="C328" s="31" t="s">
        <v>61</v>
      </c>
      <c r="D328" s="31"/>
      <c r="E328" s="30" t="s">
        <v>24</v>
      </c>
      <c r="F328" s="30" t="n">
        <v>4902</v>
      </c>
      <c r="G328" s="32" t="n">
        <v>46140</v>
      </c>
      <c r="H328" s="32" t="n">
        <f aca="false">+G328+30</f>
        <v>46170</v>
      </c>
      <c r="I328" s="32"/>
      <c r="J328" s="33" t="n">
        <v>117292537</v>
      </c>
      <c r="K328" s="33"/>
      <c r="L328" s="33" t="n">
        <f aca="false">+J328/1.19</f>
        <v>98565157.1428572</v>
      </c>
      <c r="M328" s="33" t="n">
        <f aca="false">+L328*19%</f>
        <v>18727379.8571429</v>
      </c>
      <c r="N328" s="30" t="s">
        <v>146</v>
      </c>
      <c r="O328" s="34" t="n">
        <v>2026</v>
      </c>
      <c r="P328" s="35" t="n">
        <f aca="false">+J328</f>
        <v>117292537</v>
      </c>
      <c r="Q328" s="33" t="n">
        <f aca="false">+J328-P328</f>
        <v>0</v>
      </c>
      <c r="R328" s="36" t="str">
        <f aca="false">IF(J328-P328=0,"PAGADA","PENDIENTE")</f>
        <v>PAGADA</v>
      </c>
      <c r="S328" s="30" t="s">
        <v>157</v>
      </c>
      <c r="T328" s="35" t="s">
        <v>158</v>
      </c>
      <c r="U328" s="30"/>
      <c r="V328" s="30"/>
      <c r="W328" s="30"/>
      <c r="X328" s="16"/>
    </row>
    <row r="329" s="8" customFormat="true" ht="13.5" hidden="false" customHeight="false" outlineLevel="0" collapsed="false">
      <c r="A329" s="16" t="s">
        <v>64</v>
      </c>
      <c r="B329" s="16" t="s">
        <v>65</v>
      </c>
      <c r="C329" s="17"/>
      <c r="D329" s="17"/>
      <c r="E329" s="16" t="s">
        <v>24</v>
      </c>
      <c r="F329" s="16" t="n">
        <v>4903</v>
      </c>
      <c r="G329" s="18" t="n">
        <v>46140</v>
      </c>
      <c r="H329" s="18" t="n">
        <f aca="false">+G329+30</f>
        <v>46170</v>
      </c>
      <c r="I329" s="18"/>
      <c r="J329" s="19" t="n">
        <v>15301451</v>
      </c>
      <c r="K329" s="19"/>
      <c r="L329" s="19" t="n">
        <f aca="false">+J329/1.19</f>
        <v>12858362.184874</v>
      </c>
      <c r="M329" s="19" t="n">
        <f aca="false">+L329*19%</f>
        <v>2443088.81512605</v>
      </c>
      <c r="N329" s="16" t="s">
        <v>146</v>
      </c>
      <c r="O329" s="20" t="n">
        <v>2026</v>
      </c>
      <c r="P329" s="21" t="n">
        <f aca="false">+J329</f>
        <v>15301451</v>
      </c>
      <c r="Q329" s="19" t="n">
        <f aca="false">+J329-P329</f>
        <v>0</v>
      </c>
      <c r="R329" s="22" t="str">
        <f aca="false">IF(J329-P329=0,"PAGADA","PENDIENTE")</f>
        <v>PAGADA</v>
      </c>
      <c r="S329" s="18" t="n">
        <v>46170</v>
      </c>
      <c r="T329" s="35"/>
      <c r="U329" s="16"/>
      <c r="V329" s="16"/>
      <c r="W329" s="16"/>
      <c r="X329" s="16"/>
    </row>
    <row r="330" s="8" customFormat="true" ht="13.5" hidden="false" customHeight="false" outlineLevel="0" collapsed="false">
      <c r="A330" s="16" t="s">
        <v>64</v>
      </c>
      <c r="B330" s="16" t="s">
        <v>65</v>
      </c>
      <c r="C330" s="17"/>
      <c r="D330" s="17"/>
      <c r="E330" s="16" t="s">
        <v>24</v>
      </c>
      <c r="F330" s="16" t="n">
        <v>4904</v>
      </c>
      <c r="G330" s="18" t="n">
        <v>46140</v>
      </c>
      <c r="H330" s="18" t="n">
        <f aca="false">+G330+30</f>
        <v>46170</v>
      </c>
      <c r="I330" s="18"/>
      <c r="J330" s="19" t="n">
        <v>22253000</v>
      </c>
      <c r="K330" s="19"/>
      <c r="L330" s="19" t="n">
        <f aca="false">+J330/1.19</f>
        <v>18700000</v>
      </c>
      <c r="M330" s="19" t="n">
        <f aca="false">+L330*19%</f>
        <v>3553000</v>
      </c>
      <c r="N330" s="16" t="s">
        <v>146</v>
      </c>
      <c r="O330" s="20" t="n">
        <v>2026</v>
      </c>
      <c r="P330" s="21" t="n">
        <f aca="false">+J330</f>
        <v>22253000</v>
      </c>
      <c r="Q330" s="19" t="n">
        <f aca="false">+J330-P330</f>
        <v>0</v>
      </c>
      <c r="R330" s="22" t="str">
        <f aca="false">IF(J330-P330=0,"PAGADA","PENDIENTE")</f>
        <v>PAGADA</v>
      </c>
      <c r="S330" s="18" t="n">
        <v>46170</v>
      </c>
      <c r="T330" s="35"/>
      <c r="U330" s="16"/>
      <c r="V330" s="16"/>
      <c r="W330" s="16"/>
      <c r="X330" s="16"/>
    </row>
    <row r="331" s="8" customFormat="true" ht="13.5" hidden="false" customHeight="false" outlineLevel="0" collapsed="false">
      <c r="A331" s="16" t="s">
        <v>68</v>
      </c>
      <c r="B331" s="16" t="s">
        <v>69</v>
      </c>
      <c r="C331" s="17"/>
      <c r="D331" s="17"/>
      <c r="E331" s="16" t="s">
        <v>24</v>
      </c>
      <c r="F331" s="16" t="n">
        <v>4905</v>
      </c>
      <c r="G331" s="18" t="n">
        <v>46147</v>
      </c>
      <c r="H331" s="18" t="n">
        <f aca="false">+G331+30</f>
        <v>46177</v>
      </c>
      <c r="I331" s="18"/>
      <c r="J331" s="19" t="n">
        <v>357000</v>
      </c>
      <c r="K331" s="19"/>
      <c r="L331" s="19" t="n">
        <f aca="false">+J331/1.19</f>
        <v>300000</v>
      </c>
      <c r="M331" s="19" t="n">
        <f aca="false">+L331*19%</f>
        <v>57000</v>
      </c>
      <c r="N331" s="16" t="s">
        <v>159</v>
      </c>
      <c r="O331" s="20" t="n">
        <v>2026</v>
      </c>
      <c r="P331" s="21" t="n">
        <f aca="false">+J331</f>
        <v>357000</v>
      </c>
      <c r="Q331" s="19" t="n">
        <f aca="false">+J331-P331</f>
        <v>0</v>
      </c>
      <c r="R331" s="22" t="str">
        <f aca="false">IF(J331-P331=0,"PAGADA","PENDIENTE")</f>
        <v>PAGADA</v>
      </c>
      <c r="S331" s="18" t="n">
        <v>46153</v>
      </c>
      <c r="T331" s="35"/>
      <c r="U331" s="16"/>
      <c r="V331" s="16"/>
      <c r="W331" s="16"/>
      <c r="X331" s="16"/>
    </row>
    <row r="332" s="8" customFormat="true" ht="13.5" hidden="false" customHeight="false" outlineLevel="0" collapsed="false">
      <c r="A332" s="16" t="s">
        <v>99</v>
      </c>
      <c r="B332" s="16" t="s">
        <v>100</v>
      </c>
      <c r="C332" s="17"/>
      <c r="D332" s="17"/>
      <c r="E332" s="16" t="s">
        <v>24</v>
      </c>
      <c r="F332" s="16" t="n">
        <v>4906</v>
      </c>
      <c r="G332" s="18" t="n">
        <v>46147</v>
      </c>
      <c r="H332" s="18" t="n">
        <f aca="false">+G332+30</f>
        <v>46177</v>
      </c>
      <c r="I332" s="18"/>
      <c r="J332" s="19" t="n">
        <v>10567200</v>
      </c>
      <c r="K332" s="19"/>
      <c r="L332" s="19" t="n">
        <f aca="false">+J332/1.19</f>
        <v>8880000</v>
      </c>
      <c r="M332" s="19" t="n">
        <f aca="false">+L332*19%</f>
        <v>1687200</v>
      </c>
      <c r="N332" s="16" t="s">
        <v>159</v>
      </c>
      <c r="O332" s="20" t="n">
        <v>2026</v>
      </c>
      <c r="P332" s="21" t="n">
        <f aca="false">+J332</f>
        <v>10567200</v>
      </c>
      <c r="Q332" s="19" t="n">
        <f aca="false">+J332-P332</f>
        <v>0</v>
      </c>
      <c r="R332" s="22" t="str">
        <f aca="false">IF(J332-P332=0,"PAGADA","PENDIENTE")</f>
        <v>PAGADA</v>
      </c>
      <c r="S332" s="18" t="n">
        <v>46178</v>
      </c>
      <c r="T332" s="35"/>
      <c r="U332" s="16"/>
      <c r="V332" s="16"/>
      <c r="W332" s="16"/>
      <c r="X332" s="16"/>
    </row>
    <row r="333" s="8" customFormat="true" ht="13.5" hidden="false" customHeight="false" outlineLevel="0" collapsed="false">
      <c r="A333" s="16" t="s">
        <v>99</v>
      </c>
      <c r="B333" s="16" t="s">
        <v>100</v>
      </c>
      <c r="C333" s="17"/>
      <c r="D333" s="17"/>
      <c r="E333" s="16" t="s">
        <v>24</v>
      </c>
      <c r="F333" s="16" t="n">
        <v>4907</v>
      </c>
      <c r="G333" s="18" t="n">
        <v>46147</v>
      </c>
      <c r="H333" s="18" t="n">
        <f aca="false">+G333+30</f>
        <v>46177</v>
      </c>
      <c r="I333" s="18"/>
      <c r="J333" s="19" t="n">
        <v>2981651</v>
      </c>
      <c r="K333" s="19"/>
      <c r="L333" s="19" t="n">
        <f aca="false">+J333/1.19</f>
        <v>2505589.07563025</v>
      </c>
      <c r="M333" s="19" t="n">
        <f aca="false">+L333*19%</f>
        <v>476061.924369748</v>
      </c>
      <c r="N333" s="16" t="s">
        <v>159</v>
      </c>
      <c r="O333" s="20" t="n">
        <v>2026</v>
      </c>
      <c r="P333" s="21" t="n">
        <f aca="false">+J333</f>
        <v>2981651</v>
      </c>
      <c r="Q333" s="19" t="n">
        <f aca="false">+J333-P333</f>
        <v>0</v>
      </c>
      <c r="R333" s="22" t="str">
        <f aca="false">IF(J333-P333=0,"PAGADA","PENDIENTE")</f>
        <v>PAGADA</v>
      </c>
      <c r="S333" s="16" t="s">
        <v>160</v>
      </c>
      <c r="T333" s="35"/>
      <c r="U333" s="16"/>
      <c r="V333" s="16"/>
      <c r="W333" s="16"/>
      <c r="X333" s="16"/>
    </row>
    <row r="334" s="8" customFormat="true" ht="13.5" hidden="false" customHeight="false" outlineLevel="0" collapsed="false">
      <c r="A334" s="16" t="s">
        <v>99</v>
      </c>
      <c r="B334" s="16" t="s">
        <v>100</v>
      </c>
      <c r="C334" s="17"/>
      <c r="D334" s="17"/>
      <c r="E334" s="16" t="s">
        <v>24</v>
      </c>
      <c r="F334" s="16" t="n">
        <v>4908</v>
      </c>
      <c r="G334" s="18" t="n">
        <v>46147</v>
      </c>
      <c r="H334" s="18" t="n">
        <f aca="false">+G334+30</f>
        <v>46177</v>
      </c>
      <c r="I334" s="18"/>
      <c r="J334" s="19" t="n">
        <v>2970227</v>
      </c>
      <c r="K334" s="19"/>
      <c r="L334" s="19" t="n">
        <f aca="false">+J334/1.19</f>
        <v>2495989.07563025</v>
      </c>
      <c r="M334" s="19" t="n">
        <f aca="false">+L334*19%</f>
        <v>474237.924369748</v>
      </c>
      <c r="N334" s="16" t="s">
        <v>159</v>
      </c>
      <c r="O334" s="20" t="n">
        <v>2026</v>
      </c>
      <c r="P334" s="21" t="n">
        <f aca="false">+J334</f>
        <v>2970227</v>
      </c>
      <c r="Q334" s="19" t="n">
        <f aca="false">+J334-P334</f>
        <v>0</v>
      </c>
      <c r="R334" s="22" t="str">
        <f aca="false">IF(J334-P334=0,"PAGADA","PENDIENTE")</f>
        <v>PAGADA</v>
      </c>
      <c r="S334" s="16" t="s">
        <v>161</v>
      </c>
      <c r="T334" s="35"/>
      <c r="U334" s="16"/>
      <c r="V334" s="16"/>
      <c r="W334" s="16"/>
      <c r="X334" s="16"/>
    </row>
    <row r="335" s="8" customFormat="true" ht="13.5" hidden="false" customHeight="false" outlineLevel="0" collapsed="false">
      <c r="A335" s="16" t="s">
        <v>99</v>
      </c>
      <c r="B335" s="16" t="s">
        <v>100</v>
      </c>
      <c r="C335" s="17"/>
      <c r="D335" s="17"/>
      <c r="E335" s="16" t="s">
        <v>24</v>
      </c>
      <c r="F335" s="16" t="n">
        <v>4909</v>
      </c>
      <c r="G335" s="18" t="n">
        <v>46147</v>
      </c>
      <c r="H335" s="18" t="n">
        <f aca="false">+G335+30</f>
        <v>46177</v>
      </c>
      <c r="I335" s="18"/>
      <c r="J335" s="19" t="n">
        <v>2981651</v>
      </c>
      <c r="K335" s="19"/>
      <c r="L335" s="19" t="n">
        <f aca="false">+J335/1.19</f>
        <v>2505589.07563025</v>
      </c>
      <c r="M335" s="19" t="n">
        <f aca="false">+L335*19%</f>
        <v>476061.924369748</v>
      </c>
      <c r="N335" s="16" t="s">
        <v>159</v>
      </c>
      <c r="O335" s="20" t="n">
        <v>2026</v>
      </c>
      <c r="P335" s="21" t="n">
        <f aca="false">+J335</f>
        <v>2981651</v>
      </c>
      <c r="Q335" s="19" t="n">
        <f aca="false">+J335-P335</f>
        <v>0</v>
      </c>
      <c r="R335" s="22" t="str">
        <f aca="false">IF(J335-P335=0,"PAGADA","PENDIENTE")</f>
        <v>PAGADA</v>
      </c>
      <c r="S335" s="18" t="n">
        <v>46178</v>
      </c>
      <c r="T335" s="35"/>
      <c r="U335" s="16"/>
      <c r="V335" s="16"/>
      <c r="W335" s="16"/>
      <c r="X335" s="16"/>
    </row>
    <row r="336" s="8" customFormat="true" ht="13.5" hidden="false" customHeight="false" outlineLevel="0" collapsed="false">
      <c r="A336" s="16" t="s">
        <v>30</v>
      </c>
      <c r="B336" s="16" t="s">
        <v>31</v>
      </c>
      <c r="C336" s="17"/>
      <c r="D336" s="17"/>
      <c r="E336" s="16" t="s">
        <v>24</v>
      </c>
      <c r="F336" s="16" t="n">
        <v>4910</v>
      </c>
      <c r="G336" s="18" t="n">
        <v>46148</v>
      </c>
      <c r="H336" s="18" t="n">
        <f aca="false">+G336+30</f>
        <v>46178</v>
      </c>
      <c r="I336" s="18"/>
      <c r="J336" s="19" t="n">
        <v>1428000</v>
      </c>
      <c r="K336" s="19"/>
      <c r="L336" s="19" t="n">
        <f aca="false">+J336/1.19</f>
        <v>1200000</v>
      </c>
      <c r="M336" s="19" t="n">
        <f aca="false">+L336*19%</f>
        <v>228000</v>
      </c>
      <c r="N336" s="16" t="s">
        <v>159</v>
      </c>
      <c r="O336" s="20" t="n">
        <v>2026</v>
      </c>
      <c r="P336" s="21" t="n">
        <f aca="false">+J336</f>
        <v>1428000</v>
      </c>
      <c r="Q336" s="19" t="n">
        <f aca="false">+J336-P336</f>
        <v>0</v>
      </c>
      <c r="R336" s="22" t="str">
        <f aca="false">IF(J336-P336=0,"PAGADA","PENDIENTE")</f>
        <v>PAGADA</v>
      </c>
      <c r="S336" s="18" t="n">
        <v>46178</v>
      </c>
      <c r="T336" s="35"/>
      <c r="U336" s="16"/>
      <c r="V336" s="16"/>
      <c r="W336" s="16"/>
      <c r="X336" s="16"/>
    </row>
    <row r="337" s="8" customFormat="true" ht="13.5" hidden="false" customHeight="false" outlineLevel="0" collapsed="false">
      <c r="A337" s="16" t="s">
        <v>162</v>
      </c>
      <c r="B337" s="16" t="s">
        <v>163</v>
      </c>
      <c r="C337" s="17"/>
      <c r="D337" s="17"/>
      <c r="E337" s="16" t="s">
        <v>24</v>
      </c>
      <c r="F337" s="16" t="n">
        <v>4911</v>
      </c>
      <c r="G337" s="18" t="n">
        <v>46149</v>
      </c>
      <c r="H337" s="18" t="n">
        <f aca="false">+G337+30</f>
        <v>46179</v>
      </c>
      <c r="I337" s="18"/>
      <c r="J337" s="19" t="n">
        <v>35668</v>
      </c>
      <c r="K337" s="19"/>
      <c r="L337" s="19" t="n">
        <f aca="false">+J337/1.19</f>
        <v>29973.1092436975</v>
      </c>
      <c r="M337" s="19" t="n">
        <f aca="false">+L337*19%</f>
        <v>5694.89075630252</v>
      </c>
      <c r="N337" s="16" t="s">
        <v>159</v>
      </c>
      <c r="O337" s="20" t="n">
        <v>2026</v>
      </c>
      <c r="P337" s="21" t="n">
        <f aca="false">+J337</f>
        <v>35668</v>
      </c>
      <c r="Q337" s="19" t="n">
        <f aca="false">+J337-P337</f>
        <v>0</v>
      </c>
      <c r="R337" s="22" t="str">
        <f aca="false">IF(J337-P337=0,"PAGADA","PENDIENTE")</f>
        <v>PAGADA</v>
      </c>
      <c r="S337" s="18" t="n">
        <v>46191</v>
      </c>
      <c r="T337" s="35"/>
      <c r="U337" s="16"/>
      <c r="V337" s="16"/>
      <c r="W337" s="16"/>
      <c r="X337" s="16"/>
    </row>
    <row r="338" s="8" customFormat="true" ht="13.5" hidden="false" customHeight="false" outlineLevel="0" collapsed="false">
      <c r="A338" s="16" t="s">
        <v>162</v>
      </c>
      <c r="B338" s="16" t="s">
        <v>163</v>
      </c>
      <c r="C338" s="17"/>
      <c r="D338" s="17"/>
      <c r="E338" s="16" t="s">
        <v>24</v>
      </c>
      <c r="F338" s="16" t="n">
        <v>4912</v>
      </c>
      <c r="G338" s="18" t="n">
        <v>46149</v>
      </c>
      <c r="H338" s="18" t="n">
        <f aca="false">+G338+30</f>
        <v>46179</v>
      </c>
      <c r="I338" s="18"/>
      <c r="J338" s="19" t="n">
        <v>318934</v>
      </c>
      <c r="K338" s="19"/>
      <c r="L338" s="19" t="n">
        <f aca="false">+J338/1.19</f>
        <v>268011.764705882</v>
      </c>
      <c r="M338" s="19" t="n">
        <f aca="false">+L338*19%</f>
        <v>50922.2352941177</v>
      </c>
      <c r="N338" s="16" t="s">
        <v>159</v>
      </c>
      <c r="O338" s="20" t="n">
        <v>2026</v>
      </c>
      <c r="P338" s="21" t="n">
        <f aca="false">+J338</f>
        <v>318934</v>
      </c>
      <c r="Q338" s="19" t="n">
        <f aca="false">+J338-P338</f>
        <v>0</v>
      </c>
      <c r="R338" s="22" t="str">
        <f aca="false">IF(J338-P338=0,"PAGADA","PENDIENTE")</f>
        <v>PAGADA</v>
      </c>
      <c r="S338" s="18" t="n">
        <v>46191</v>
      </c>
      <c r="T338" s="35"/>
      <c r="U338" s="16"/>
      <c r="V338" s="16"/>
      <c r="W338" s="16"/>
      <c r="X338" s="16"/>
    </row>
    <row r="339" s="8" customFormat="true" ht="13.5" hidden="false" customHeight="false" outlineLevel="0" collapsed="false">
      <c r="A339" s="16" t="s">
        <v>164</v>
      </c>
      <c r="B339" s="16" t="s">
        <v>165</v>
      </c>
      <c r="C339" s="17"/>
      <c r="D339" s="17"/>
      <c r="E339" s="16" t="s">
        <v>24</v>
      </c>
      <c r="F339" s="16" t="n">
        <v>4913</v>
      </c>
      <c r="G339" s="18" t="n">
        <v>46149</v>
      </c>
      <c r="H339" s="18" t="n">
        <f aca="false">+G339+30</f>
        <v>46179</v>
      </c>
      <c r="I339" s="18"/>
      <c r="J339" s="19" t="n">
        <v>4462500</v>
      </c>
      <c r="K339" s="19"/>
      <c r="L339" s="19" t="n">
        <f aca="false">+J339/1.19</f>
        <v>3750000</v>
      </c>
      <c r="M339" s="19" t="n">
        <f aca="false">+L339*19%</f>
        <v>712500</v>
      </c>
      <c r="N339" s="16" t="s">
        <v>159</v>
      </c>
      <c r="O339" s="20" t="n">
        <v>2026</v>
      </c>
      <c r="P339" s="21" t="n">
        <f aca="false">+J339</f>
        <v>4462500</v>
      </c>
      <c r="Q339" s="19" t="n">
        <f aca="false">+J339-P339</f>
        <v>0</v>
      </c>
      <c r="R339" s="22" t="str">
        <f aca="false">IF(J339-P339=0,"PAGADA","PENDIENTE")</f>
        <v>PAGADA</v>
      </c>
      <c r="S339" s="18" t="n">
        <v>46161</v>
      </c>
      <c r="T339" s="35"/>
      <c r="U339" s="16"/>
      <c r="V339" s="16"/>
      <c r="W339" s="16"/>
      <c r="X339" s="16"/>
    </row>
    <row r="340" s="8" customFormat="true" ht="13.5" hidden="false" customHeight="false" outlineLevel="0" collapsed="false">
      <c r="A340" s="16" t="s">
        <v>166</v>
      </c>
      <c r="B340" s="16" t="s">
        <v>167</v>
      </c>
      <c r="C340" s="17"/>
      <c r="D340" s="17"/>
      <c r="E340" s="16" t="s">
        <v>24</v>
      </c>
      <c r="F340" s="16" t="n">
        <v>4914</v>
      </c>
      <c r="G340" s="18" t="n">
        <v>46149</v>
      </c>
      <c r="H340" s="18" t="n">
        <f aca="false">+G340+30</f>
        <v>46179</v>
      </c>
      <c r="I340" s="18"/>
      <c r="J340" s="19" t="n">
        <v>1121962</v>
      </c>
      <c r="K340" s="19"/>
      <c r="L340" s="19" t="n">
        <f aca="false">+J340/1.19</f>
        <v>942825.210084034</v>
      </c>
      <c r="M340" s="19" t="n">
        <f aca="false">+L340*19%</f>
        <v>179136.789915966</v>
      </c>
      <c r="N340" s="16" t="s">
        <v>159</v>
      </c>
      <c r="O340" s="20" t="n">
        <v>2026</v>
      </c>
      <c r="P340" s="21" t="n">
        <f aca="false">+J340</f>
        <v>1121962</v>
      </c>
      <c r="Q340" s="19" t="n">
        <f aca="false">+J340-P340</f>
        <v>0</v>
      </c>
      <c r="R340" s="22" t="str">
        <f aca="false">IF(J340-P340=0,"PAGADA","PENDIENTE")</f>
        <v>PAGADA</v>
      </c>
      <c r="S340" s="18" t="n">
        <v>46189</v>
      </c>
      <c r="T340" s="35"/>
      <c r="U340" s="16"/>
      <c r="V340" s="16"/>
      <c r="W340" s="16"/>
      <c r="X340" s="16"/>
    </row>
    <row r="341" s="8" customFormat="true" ht="13.5" hidden="false" customHeight="false" outlineLevel="0" collapsed="false">
      <c r="A341" s="16" t="s">
        <v>45</v>
      </c>
      <c r="B341" s="16" t="s">
        <v>46</v>
      </c>
      <c r="C341" s="17"/>
      <c r="D341" s="17"/>
      <c r="E341" s="16" t="s">
        <v>24</v>
      </c>
      <c r="F341" s="16" t="n">
        <v>4915</v>
      </c>
      <c r="G341" s="18" t="n">
        <v>46149</v>
      </c>
      <c r="H341" s="18" t="n">
        <f aca="false">+G341+30</f>
        <v>46179</v>
      </c>
      <c r="I341" s="18"/>
      <c r="J341" s="19" t="n">
        <v>3682121</v>
      </c>
      <c r="K341" s="19"/>
      <c r="L341" s="19" t="n">
        <f aca="false">+J341/1.19</f>
        <v>3094219.32773109</v>
      </c>
      <c r="M341" s="19" t="n">
        <f aca="false">+L341*19%</f>
        <v>587901.672268908</v>
      </c>
      <c r="N341" s="16" t="s">
        <v>159</v>
      </c>
      <c r="O341" s="20" t="n">
        <v>2026</v>
      </c>
      <c r="P341" s="21"/>
      <c r="Q341" s="19" t="n">
        <f aca="false">+J341-P341</f>
        <v>3682121</v>
      </c>
      <c r="R341" s="22" t="str">
        <f aca="false">IF(J341-P341=0,"PAGADA","PENDIENTE")</f>
        <v>PENDIENTE</v>
      </c>
      <c r="S341" s="16"/>
      <c r="T341" s="35"/>
      <c r="U341" s="16"/>
      <c r="V341" s="16"/>
      <c r="W341" s="16"/>
      <c r="X341" s="16"/>
    </row>
    <row r="342" s="8" customFormat="true" ht="13.5" hidden="false" customHeight="false" outlineLevel="0" collapsed="false">
      <c r="A342" s="16" t="s">
        <v>78</v>
      </c>
      <c r="B342" s="16" t="s">
        <v>79</v>
      </c>
      <c r="C342" s="17"/>
      <c r="D342" s="17"/>
      <c r="E342" s="16" t="s">
        <v>24</v>
      </c>
      <c r="F342" s="16" t="n">
        <v>4916</v>
      </c>
      <c r="G342" s="18" t="n">
        <v>46149</v>
      </c>
      <c r="H342" s="18" t="n">
        <f aca="false">+G342+30</f>
        <v>46179</v>
      </c>
      <c r="I342" s="18"/>
      <c r="J342" s="19" t="n">
        <v>1487500</v>
      </c>
      <c r="K342" s="19"/>
      <c r="L342" s="19" t="n">
        <f aca="false">+J342/1.19</f>
        <v>1250000</v>
      </c>
      <c r="M342" s="19" t="n">
        <f aca="false">+L342*19%</f>
        <v>237500</v>
      </c>
      <c r="N342" s="16" t="s">
        <v>159</v>
      </c>
      <c r="O342" s="20" t="n">
        <v>2026</v>
      </c>
      <c r="P342" s="21" t="n">
        <f aca="false">+J342</f>
        <v>1487500</v>
      </c>
      <c r="Q342" s="19" t="n">
        <f aca="false">+J342-P342</f>
        <v>0</v>
      </c>
      <c r="R342" s="22" t="str">
        <f aca="false">IF(J342-P342=0,"PAGADA","PENDIENTE")</f>
        <v>PAGADA</v>
      </c>
      <c r="S342" s="18" t="n">
        <v>46185</v>
      </c>
      <c r="T342" s="35"/>
      <c r="U342" s="16"/>
      <c r="V342" s="16"/>
      <c r="W342" s="16"/>
      <c r="X342" s="16"/>
    </row>
    <row r="343" s="8" customFormat="true" ht="13.5" hidden="false" customHeight="false" outlineLevel="0" collapsed="false">
      <c r="A343" s="16" t="s">
        <v>97</v>
      </c>
      <c r="B343" s="16" t="s">
        <v>98</v>
      </c>
      <c r="C343" s="17"/>
      <c r="D343" s="17"/>
      <c r="E343" s="16" t="s">
        <v>24</v>
      </c>
      <c r="F343" s="16" t="n">
        <v>4917</v>
      </c>
      <c r="G343" s="18" t="n">
        <v>46149</v>
      </c>
      <c r="H343" s="18" t="n">
        <f aca="false">+G343+30</f>
        <v>46179</v>
      </c>
      <c r="I343" s="18"/>
      <c r="J343" s="19" t="n">
        <v>2313333</v>
      </c>
      <c r="K343" s="19"/>
      <c r="L343" s="19" t="n">
        <f aca="false">+J343/1.19</f>
        <v>1943977.31092437</v>
      </c>
      <c r="M343" s="19" t="n">
        <f aca="false">+L343*19%</f>
        <v>369355.68907563</v>
      </c>
      <c r="N343" s="16" t="s">
        <v>159</v>
      </c>
      <c r="O343" s="20" t="n">
        <v>2026</v>
      </c>
      <c r="P343" s="21"/>
      <c r="Q343" s="19" t="n">
        <f aca="false">+J343-P343</f>
        <v>2313333</v>
      </c>
      <c r="R343" s="22" t="str">
        <f aca="false">IF(J343-P343=0,"PAGADA","PENDIENTE")</f>
        <v>PENDIENTE</v>
      </c>
      <c r="S343" s="16"/>
      <c r="T343" s="35"/>
      <c r="U343" s="16"/>
      <c r="V343" s="16"/>
      <c r="W343" s="16"/>
      <c r="X343" s="16"/>
    </row>
    <row r="344" s="8" customFormat="true" ht="13.5" hidden="false" customHeight="false" outlineLevel="0" collapsed="false">
      <c r="A344" s="16" t="s">
        <v>97</v>
      </c>
      <c r="B344" s="16" t="s">
        <v>98</v>
      </c>
      <c r="C344" s="17"/>
      <c r="D344" s="17"/>
      <c r="E344" s="16" t="s">
        <v>24</v>
      </c>
      <c r="F344" s="16" t="n">
        <v>4918</v>
      </c>
      <c r="G344" s="18" t="n">
        <v>46149</v>
      </c>
      <c r="H344" s="18" t="n">
        <f aca="false">+G344+30</f>
        <v>46179</v>
      </c>
      <c r="I344" s="18"/>
      <c r="J344" s="19" t="n">
        <v>5932973</v>
      </c>
      <c r="K344" s="19"/>
      <c r="L344" s="19" t="n">
        <f aca="false">+J344/1.19</f>
        <v>4985691.59663866</v>
      </c>
      <c r="M344" s="19" t="n">
        <f aca="false">+L344*19%</f>
        <v>947281.403361345</v>
      </c>
      <c r="N344" s="16" t="s">
        <v>159</v>
      </c>
      <c r="O344" s="20" t="n">
        <v>2026</v>
      </c>
      <c r="P344" s="21"/>
      <c r="Q344" s="19" t="n">
        <f aca="false">+J344-P344</f>
        <v>5932973</v>
      </c>
      <c r="R344" s="22" t="str">
        <f aca="false">IF(J344-P344=0,"PAGADA","PENDIENTE")</f>
        <v>PENDIENTE</v>
      </c>
      <c r="S344" s="16"/>
      <c r="T344" s="35"/>
      <c r="U344" s="16"/>
      <c r="V344" s="16"/>
      <c r="W344" s="16"/>
      <c r="X344" s="16"/>
    </row>
    <row r="345" s="7" customFormat="true" ht="13.5" hidden="false" customHeight="false" outlineLevel="0" collapsed="false">
      <c r="A345" s="24" t="s">
        <v>99</v>
      </c>
      <c r="B345" s="24" t="s">
        <v>100</v>
      </c>
      <c r="C345" s="25"/>
      <c r="D345" s="25"/>
      <c r="E345" s="24" t="s">
        <v>35</v>
      </c>
      <c r="F345" s="24" t="n">
        <v>482</v>
      </c>
      <c r="G345" s="26" t="n">
        <v>46147</v>
      </c>
      <c r="H345" s="26" t="n">
        <f aca="false">+G345+30</f>
        <v>46177</v>
      </c>
      <c r="I345" s="26"/>
      <c r="J345" s="21" t="n">
        <v>-2981651</v>
      </c>
      <c r="K345" s="21"/>
      <c r="L345" s="21" t="n">
        <f aca="false">+J345/1.19</f>
        <v>-2505589.07563025</v>
      </c>
      <c r="M345" s="21" t="n">
        <f aca="false">+L345*19%</f>
        <v>-476061.924369748</v>
      </c>
      <c r="N345" s="24" t="s">
        <v>159</v>
      </c>
      <c r="O345" s="27" t="n">
        <v>2026</v>
      </c>
      <c r="P345" s="21" t="n">
        <f aca="false">+J345</f>
        <v>-2981651</v>
      </c>
      <c r="Q345" s="21" t="n">
        <f aca="false">+J345-P345</f>
        <v>0</v>
      </c>
      <c r="R345" s="28" t="str">
        <f aca="false">IF(J345-P345=0,"PAGADA","PENDIENTE")</f>
        <v>PAGADA</v>
      </c>
      <c r="S345" s="24" t="s">
        <v>36</v>
      </c>
      <c r="T345" s="35"/>
      <c r="U345" s="24"/>
      <c r="V345" s="24"/>
      <c r="W345" s="24"/>
      <c r="X345" s="24"/>
    </row>
    <row r="346" s="7" customFormat="true" ht="13.5" hidden="false" customHeight="false" outlineLevel="0" collapsed="false">
      <c r="A346" s="24" t="s">
        <v>99</v>
      </c>
      <c r="B346" s="24" t="s">
        <v>100</v>
      </c>
      <c r="C346" s="25"/>
      <c r="D346" s="25"/>
      <c r="E346" s="24" t="s">
        <v>35</v>
      </c>
      <c r="F346" s="24" t="n">
        <v>483</v>
      </c>
      <c r="G346" s="26" t="n">
        <v>46147</v>
      </c>
      <c r="H346" s="26" t="n">
        <f aca="false">+G346+30</f>
        <v>46177</v>
      </c>
      <c r="I346" s="26"/>
      <c r="J346" s="21" t="n">
        <v>-2970227</v>
      </c>
      <c r="K346" s="21"/>
      <c r="L346" s="21" t="n">
        <f aca="false">+J346/1.19</f>
        <v>-2495989.07563025</v>
      </c>
      <c r="M346" s="21" t="n">
        <f aca="false">+L346*19%</f>
        <v>-474237.924369748</v>
      </c>
      <c r="N346" s="24" t="s">
        <v>159</v>
      </c>
      <c r="O346" s="27" t="n">
        <v>2026</v>
      </c>
      <c r="P346" s="21" t="n">
        <f aca="false">+J346</f>
        <v>-2970227</v>
      </c>
      <c r="Q346" s="21" t="n">
        <f aca="false">+J346-P346</f>
        <v>0</v>
      </c>
      <c r="R346" s="28" t="str">
        <f aca="false">IF(J346-P346=0,"PAGADA","PENDIENTE")</f>
        <v>PAGADA</v>
      </c>
      <c r="S346" s="24" t="s">
        <v>36</v>
      </c>
      <c r="T346" s="35"/>
      <c r="U346" s="24"/>
      <c r="V346" s="24"/>
      <c r="W346" s="24"/>
      <c r="X346" s="24"/>
    </row>
    <row r="347" s="7" customFormat="true" ht="13.5" hidden="false" customHeight="false" outlineLevel="0" collapsed="false">
      <c r="A347" s="24" t="s">
        <v>78</v>
      </c>
      <c r="B347" s="24" t="s">
        <v>79</v>
      </c>
      <c r="C347" s="25"/>
      <c r="D347" s="25"/>
      <c r="E347" s="24" t="s">
        <v>35</v>
      </c>
      <c r="F347" s="24" t="n">
        <v>484</v>
      </c>
      <c r="G347" s="26" t="n">
        <v>46149</v>
      </c>
      <c r="H347" s="26" t="n">
        <f aca="false">+G347+30</f>
        <v>46179</v>
      </c>
      <c r="I347" s="26"/>
      <c r="J347" s="21" t="n">
        <v>-2033534</v>
      </c>
      <c r="K347" s="21"/>
      <c r="L347" s="21" t="n">
        <f aca="false">+J347/1.19</f>
        <v>-1708852.10084034</v>
      </c>
      <c r="M347" s="21" t="n">
        <f aca="false">+L347*19%</f>
        <v>-324681.899159664</v>
      </c>
      <c r="N347" s="24" t="s">
        <v>159</v>
      </c>
      <c r="O347" s="27" t="n">
        <v>2026</v>
      </c>
      <c r="P347" s="21" t="n">
        <f aca="false">+J347</f>
        <v>-2033534</v>
      </c>
      <c r="Q347" s="21" t="n">
        <f aca="false">+J347-P347</f>
        <v>0</v>
      </c>
      <c r="R347" s="28" t="str">
        <f aca="false">IF(J347-P347=0,"PAGADA","PENDIENTE")</f>
        <v>PAGADA</v>
      </c>
      <c r="S347" s="24" t="s">
        <v>36</v>
      </c>
      <c r="T347" s="35"/>
      <c r="U347" s="24"/>
      <c r="V347" s="24"/>
      <c r="W347" s="24"/>
      <c r="X347" s="24"/>
    </row>
    <row r="348" s="7" customFormat="true" ht="13.5" hidden="false" customHeight="false" outlineLevel="0" collapsed="false">
      <c r="A348" s="24" t="s">
        <v>78</v>
      </c>
      <c r="B348" s="24" t="s">
        <v>79</v>
      </c>
      <c r="C348" s="25"/>
      <c r="D348" s="25"/>
      <c r="E348" s="24" t="s">
        <v>35</v>
      </c>
      <c r="F348" s="24" t="n">
        <v>485</v>
      </c>
      <c r="G348" s="26" t="n">
        <v>46149</v>
      </c>
      <c r="H348" s="26" t="n">
        <f aca="false">+G348+30</f>
        <v>46179</v>
      </c>
      <c r="I348" s="26"/>
      <c r="J348" s="21" t="n">
        <v>-2419905</v>
      </c>
      <c r="K348" s="21"/>
      <c r="L348" s="21" t="n">
        <f aca="false">+J348/1.19</f>
        <v>-2033533.61344538</v>
      </c>
      <c r="M348" s="21" t="n">
        <f aca="false">+L348*19%</f>
        <v>-386371.386554622</v>
      </c>
      <c r="N348" s="24" t="s">
        <v>159</v>
      </c>
      <c r="O348" s="27" t="n">
        <v>2026</v>
      </c>
      <c r="P348" s="21" t="n">
        <f aca="false">+J348</f>
        <v>-2419905</v>
      </c>
      <c r="Q348" s="21" t="n">
        <f aca="false">+J348-P348</f>
        <v>0</v>
      </c>
      <c r="R348" s="28" t="str">
        <f aca="false">IF(J348-P348=0,"PAGADA","PENDIENTE")</f>
        <v>PAGADA</v>
      </c>
      <c r="S348" s="24" t="s">
        <v>36</v>
      </c>
      <c r="T348" s="35"/>
      <c r="U348" s="24"/>
      <c r="V348" s="24"/>
      <c r="W348" s="24"/>
      <c r="X348" s="24"/>
    </row>
    <row r="349" s="8" customFormat="true" ht="13.5" hidden="false" customHeight="false" outlineLevel="0" collapsed="false">
      <c r="A349" s="16" t="s">
        <v>45</v>
      </c>
      <c r="B349" s="16" t="s">
        <v>46</v>
      </c>
      <c r="C349" s="17"/>
      <c r="D349" s="17"/>
      <c r="E349" s="16" t="s">
        <v>24</v>
      </c>
      <c r="F349" s="16" t="n">
        <v>4919</v>
      </c>
      <c r="G349" s="18" t="n">
        <v>46150</v>
      </c>
      <c r="H349" s="18" t="n">
        <f aca="false">+G349+30</f>
        <v>46180</v>
      </c>
      <c r="I349" s="18"/>
      <c r="J349" s="19" t="n">
        <v>10756671</v>
      </c>
      <c r="K349" s="19"/>
      <c r="L349" s="19" t="n">
        <f aca="false">+J349/1.19</f>
        <v>9039219.32773109</v>
      </c>
      <c r="M349" s="19" t="n">
        <f aca="false">+L349*19%</f>
        <v>1717451.67226891</v>
      </c>
      <c r="N349" s="16" t="s">
        <v>159</v>
      </c>
      <c r="O349" s="20" t="n">
        <v>2026</v>
      </c>
      <c r="P349" s="21"/>
      <c r="Q349" s="19" t="n">
        <f aca="false">+J349-P349</f>
        <v>10756671</v>
      </c>
      <c r="R349" s="22" t="str">
        <f aca="false">IF(J349-P349=0,"PAGADA","PENDIENTE")</f>
        <v>PENDIENTE</v>
      </c>
      <c r="S349" s="16"/>
      <c r="T349" s="35"/>
      <c r="U349" s="16"/>
      <c r="V349" s="16"/>
      <c r="W349" s="16"/>
      <c r="X349" s="16"/>
    </row>
    <row r="350" s="8" customFormat="true" ht="13.5" hidden="false" customHeight="false" outlineLevel="0" collapsed="false">
      <c r="A350" s="16" t="s">
        <v>43</v>
      </c>
      <c r="B350" s="16" t="s">
        <v>44</v>
      </c>
      <c r="C350" s="17"/>
      <c r="D350" s="17"/>
      <c r="E350" s="16" t="s">
        <v>24</v>
      </c>
      <c r="F350" s="16" t="n">
        <v>4920</v>
      </c>
      <c r="G350" s="18" t="n">
        <v>46150</v>
      </c>
      <c r="H350" s="18" t="n">
        <f aca="false">+G350+30</f>
        <v>46180</v>
      </c>
      <c r="I350" s="18"/>
      <c r="J350" s="19" t="n">
        <v>4466963</v>
      </c>
      <c r="K350" s="19"/>
      <c r="L350" s="19" t="n">
        <f aca="false">+J350/1.19</f>
        <v>3753750.42016807</v>
      </c>
      <c r="M350" s="19" t="n">
        <f aca="false">+L350*19%</f>
        <v>713212.579831933</v>
      </c>
      <c r="N350" s="16" t="s">
        <v>159</v>
      </c>
      <c r="O350" s="20" t="n">
        <v>2026</v>
      </c>
      <c r="P350" s="21" t="n">
        <f aca="false">+J350</f>
        <v>4466963</v>
      </c>
      <c r="Q350" s="19" t="n">
        <f aca="false">+J350-P350</f>
        <v>0</v>
      </c>
      <c r="R350" s="22" t="str">
        <f aca="false">IF(J350-P350=0,"PAGADA","PENDIENTE")</f>
        <v>PAGADA</v>
      </c>
      <c r="S350" s="18" t="n">
        <v>46192</v>
      </c>
      <c r="T350" s="35"/>
      <c r="U350" s="16"/>
      <c r="V350" s="16"/>
      <c r="W350" s="16"/>
      <c r="X350" s="16"/>
    </row>
    <row r="351" s="8" customFormat="true" ht="13.5" hidden="false" customHeight="false" outlineLevel="0" collapsed="false">
      <c r="A351" s="16" t="s">
        <v>59</v>
      </c>
      <c r="B351" s="16" t="s">
        <v>60</v>
      </c>
      <c r="C351" s="17"/>
      <c r="D351" s="17"/>
      <c r="E351" s="16" t="s">
        <v>24</v>
      </c>
      <c r="F351" s="16" t="n">
        <v>4921</v>
      </c>
      <c r="G351" s="18" t="n">
        <v>46150</v>
      </c>
      <c r="H351" s="18" t="n">
        <f aca="false">+G351+30</f>
        <v>46180</v>
      </c>
      <c r="I351" s="18"/>
      <c r="J351" s="19" t="n">
        <v>20209394</v>
      </c>
      <c r="K351" s="19"/>
      <c r="L351" s="19" t="n">
        <f aca="false">+J351/1.19</f>
        <v>16982684.0336134</v>
      </c>
      <c r="M351" s="19" t="n">
        <f aca="false">+L351*19%</f>
        <v>3226709.96638655</v>
      </c>
      <c r="N351" s="16" t="s">
        <v>159</v>
      </c>
      <c r="O351" s="20" t="n">
        <v>2026</v>
      </c>
      <c r="P351" s="21" t="n">
        <f aca="false">+J351</f>
        <v>20209394</v>
      </c>
      <c r="Q351" s="19" t="n">
        <f aca="false">+J351-P351</f>
        <v>0</v>
      </c>
      <c r="R351" s="22" t="str">
        <f aca="false">IF(J351-P351=0,"PAGADA","PENDIENTE")</f>
        <v>PAGADA</v>
      </c>
      <c r="S351" s="18" t="n">
        <v>46183</v>
      </c>
      <c r="T351" s="35"/>
      <c r="U351" s="16"/>
      <c r="V351" s="16"/>
      <c r="W351" s="16"/>
      <c r="X351" s="16"/>
    </row>
    <row r="352" s="8" customFormat="true" ht="13.5" hidden="false" customHeight="false" outlineLevel="0" collapsed="false">
      <c r="A352" s="16" t="s">
        <v>59</v>
      </c>
      <c r="B352" s="16" t="s">
        <v>60</v>
      </c>
      <c r="C352" s="17"/>
      <c r="D352" s="17"/>
      <c r="E352" s="16" t="s">
        <v>24</v>
      </c>
      <c r="F352" s="16" t="n">
        <v>4922</v>
      </c>
      <c r="G352" s="18" t="n">
        <v>46150</v>
      </c>
      <c r="H352" s="18" t="n">
        <f aca="false">+G352+30</f>
        <v>46180</v>
      </c>
      <c r="I352" s="18"/>
      <c r="J352" s="19" t="n">
        <v>2142000</v>
      </c>
      <c r="K352" s="19"/>
      <c r="L352" s="19" t="n">
        <f aca="false">+J352/1.19</f>
        <v>1800000</v>
      </c>
      <c r="M352" s="19" t="n">
        <f aca="false">+L352*19%</f>
        <v>342000</v>
      </c>
      <c r="N352" s="16" t="s">
        <v>159</v>
      </c>
      <c r="O352" s="20" t="n">
        <v>2026</v>
      </c>
      <c r="P352" s="21" t="n">
        <f aca="false">+J352</f>
        <v>2142000</v>
      </c>
      <c r="Q352" s="19" t="n">
        <f aca="false">+J352-P352</f>
        <v>0</v>
      </c>
      <c r="R352" s="22" t="str">
        <f aca="false">IF(J352-P352=0,"PAGADA","PENDIENTE")</f>
        <v>PAGADA</v>
      </c>
      <c r="S352" s="18" t="n">
        <v>46183</v>
      </c>
      <c r="T352" s="35"/>
      <c r="U352" s="16"/>
      <c r="V352" s="16"/>
      <c r="W352" s="16"/>
      <c r="X352" s="16"/>
    </row>
    <row r="353" s="8" customFormat="true" ht="13.5" hidden="false" customHeight="false" outlineLevel="0" collapsed="false">
      <c r="A353" s="16" t="s">
        <v>53</v>
      </c>
      <c r="B353" s="16" t="s">
        <v>54</v>
      </c>
      <c r="C353" s="17"/>
      <c r="D353" s="17"/>
      <c r="E353" s="16" t="s">
        <v>24</v>
      </c>
      <c r="F353" s="16" t="n">
        <v>4923</v>
      </c>
      <c r="G353" s="18" t="n">
        <v>46150</v>
      </c>
      <c r="H353" s="18" t="n">
        <f aca="false">+G353+30</f>
        <v>46180</v>
      </c>
      <c r="I353" s="18"/>
      <c r="J353" s="19" t="n">
        <v>735136</v>
      </c>
      <c r="K353" s="19"/>
      <c r="L353" s="19" t="n">
        <f aca="false">+J353/1.19</f>
        <v>617761.344537815</v>
      </c>
      <c r="M353" s="19" t="n">
        <f aca="false">+L353*19%</f>
        <v>117374.655462185</v>
      </c>
      <c r="N353" s="16" t="s">
        <v>159</v>
      </c>
      <c r="O353" s="20" t="n">
        <v>2026</v>
      </c>
      <c r="P353" s="21" t="n">
        <f aca="false">+J353</f>
        <v>735136</v>
      </c>
      <c r="Q353" s="19" t="n">
        <f aca="false">+J353-P353</f>
        <v>0</v>
      </c>
      <c r="R353" s="22" t="str">
        <f aca="false">IF(J353-P353=0,"PAGADA","PENDIENTE")</f>
        <v>PAGADA</v>
      </c>
      <c r="S353" s="18" t="n">
        <v>46171</v>
      </c>
      <c r="T353" s="35"/>
      <c r="U353" s="16"/>
      <c r="V353" s="16"/>
      <c r="W353" s="16"/>
      <c r="X353" s="16"/>
    </row>
    <row r="354" s="8" customFormat="true" ht="13.5" hidden="false" customHeight="false" outlineLevel="0" collapsed="false">
      <c r="A354" s="16" t="s">
        <v>53</v>
      </c>
      <c r="B354" s="16" t="s">
        <v>54</v>
      </c>
      <c r="C354" s="17"/>
      <c r="D354" s="17"/>
      <c r="E354" s="16" t="s">
        <v>24</v>
      </c>
      <c r="F354" s="16" t="n">
        <v>4924</v>
      </c>
      <c r="G354" s="18" t="n">
        <v>46150</v>
      </c>
      <c r="H354" s="18" t="n">
        <f aca="false">+G354+30</f>
        <v>46180</v>
      </c>
      <c r="I354" s="18"/>
      <c r="J354" s="19" t="n">
        <v>731630</v>
      </c>
      <c r="K354" s="19"/>
      <c r="L354" s="19" t="n">
        <f aca="false">+J354/1.19</f>
        <v>614815.12605042</v>
      </c>
      <c r="M354" s="19" t="n">
        <f aca="false">+L354*19%</f>
        <v>116814.87394958</v>
      </c>
      <c r="N354" s="16" t="s">
        <v>159</v>
      </c>
      <c r="O354" s="20" t="n">
        <v>2026</v>
      </c>
      <c r="P354" s="21" t="n">
        <f aca="false">+J354</f>
        <v>731630</v>
      </c>
      <c r="Q354" s="19" t="n">
        <f aca="false">+J354-P354</f>
        <v>0</v>
      </c>
      <c r="R354" s="22" t="str">
        <f aca="false">IF(J354-P354=0,"PAGADA","PENDIENTE")</f>
        <v>PAGADA</v>
      </c>
      <c r="S354" s="18" t="n">
        <v>46171</v>
      </c>
      <c r="T354" s="35"/>
      <c r="U354" s="16"/>
      <c r="V354" s="16"/>
      <c r="W354" s="16"/>
      <c r="X354" s="16"/>
    </row>
    <row r="355" s="8" customFormat="true" ht="13.5" hidden="false" customHeight="false" outlineLevel="0" collapsed="false">
      <c r="A355" s="16" t="s">
        <v>55</v>
      </c>
      <c r="B355" s="16" t="s">
        <v>56</v>
      </c>
      <c r="C355" s="17"/>
      <c r="D355" s="17"/>
      <c r="E355" s="16" t="s">
        <v>24</v>
      </c>
      <c r="F355" s="16" t="n">
        <v>4925</v>
      </c>
      <c r="G355" s="18" t="n">
        <v>46150</v>
      </c>
      <c r="H355" s="18" t="n">
        <f aca="false">+G355+30</f>
        <v>46180</v>
      </c>
      <c r="I355" s="18"/>
      <c r="J355" s="19" t="n">
        <v>733423</v>
      </c>
      <c r="K355" s="19"/>
      <c r="L355" s="19" t="n">
        <f aca="false">+J355/1.19</f>
        <v>616321.848739496</v>
      </c>
      <c r="M355" s="19" t="n">
        <f aca="false">+L355*19%</f>
        <v>117101.151260504</v>
      </c>
      <c r="N355" s="16" t="s">
        <v>159</v>
      </c>
      <c r="O355" s="20" t="n">
        <v>2026</v>
      </c>
      <c r="P355" s="21" t="n">
        <f aca="false">+J355</f>
        <v>733423</v>
      </c>
      <c r="Q355" s="19" t="n">
        <f aca="false">+J355-P355</f>
        <v>0</v>
      </c>
      <c r="R355" s="22" t="str">
        <f aca="false">IF(J355-P355=0,"PAGADA","PENDIENTE")</f>
        <v>PAGADA</v>
      </c>
      <c r="S355" s="18" t="n">
        <v>46171</v>
      </c>
      <c r="T355" s="35"/>
      <c r="U355" s="16"/>
      <c r="V355" s="16"/>
      <c r="W355" s="16"/>
      <c r="X355" s="16"/>
    </row>
    <row r="356" s="8" customFormat="true" ht="13.5" hidden="false" customHeight="false" outlineLevel="0" collapsed="false">
      <c r="A356" s="16" t="s">
        <v>122</v>
      </c>
      <c r="B356" s="16" t="s">
        <v>123</v>
      </c>
      <c r="C356" s="17"/>
      <c r="D356" s="17"/>
      <c r="E356" s="16" t="s">
        <v>24</v>
      </c>
      <c r="F356" s="16" t="n">
        <v>4926</v>
      </c>
      <c r="G356" s="18" t="n">
        <v>46150</v>
      </c>
      <c r="H356" s="18" t="n">
        <f aca="false">+G356+30</f>
        <v>46180</v>
      </c>
      <c r="I356" s="18"/>
      <c r="J356" s="19" t="n">
        <v>2752242</v>
      </c>
      <c r="K356" s="19"/>
      <c r="L356" s="19" t="n">
        <f aca="false">+J356/1.19</f>
        <v>2312808.40336134</v>
      </c>
      <c r="M356" s="19" t="n">
        <f aca="false">+L356*19%</f>
        <v>439433.596638656</v>
      </c>
      <c r="N356" s="16" t="s">
        <v>159</v>
      </c>
      <c r="O356" s="20" t="n">
        <v>2026</v>
      </c>
      <c r="P356" s="21"/>
      <c r="Q356" s="19" t="n">
        <f aca="false">+J356-P356</f>
        <v>2752242</v>
      </c>
      <c r="R356" s="22" t="str">
        <f aca="false">IF(J356-P356=0,"PAGADA","PENDIENTE")</f>
        <v>PENDIENTE</v>
      </c>
      <c r="S356" s="16"/>
      <c r="T356" s="35"/>
      <c r="U356" s="16"/>
      <c r="V356" s="16"/>
      <c r="W356" s="16"/>
      <c r="X356" s="16"/>
    </row>
    <row r="357" s="8" customFormat="true" ht="13.5" hidden="false" customHeight="false" outlineLevel="0" collapsed="false">
      <c r="A357" s="16" t="s">
        <v>57</v>
      </c>
      <c r="B357" s="16" t="s">
        <v>58</v>
      </c>
      <c r="C357" s="17"/>
      <c r="D357" s="17"/>
      <c r="E357" s="16" t="s">
        <v>24</v>
      </c>
      <c r="F357" s="16" t="n">
        <v>4927</v>
      </c>
      <c r="G357" s="18" t="n">
        <v>46150</v>
      </c>
      <c r="H357" s="18" t="n">
        <f aca="false">+G357+30</f>
        <v>46180</v>
      </c>
      <c r="I357" s="18"/>
      <c r="J357" s="19" t="n">
        <v>469725</v>
      </c>
      <c r="K357" s="19"/>
      <c r="L357" s="19" t="n">
        <f aca="false">+J357/1.19</f>
        <v>394726.890756303</v>
      </c>
      <c r="M357" s="19" t="n">
        <f aca="false">+L357*19%</f>
        <v>74998.1092436975</v>
      </c>
      <c r="N357" s="16" t="s">
        <v>159</v>
      </c>
      <c r="O357" s="20" t="n">
        <v>2026</v>
      </c>
      <c r="P357" s="21" t="n">
        <f aca="false">+J357</f>
        <v>469725</v>
      </c>
      <c r="Q357" s="19" t="n">
        <f aca="false">+J357-P357</f>
        <v>0</v>
      </c>
      <c r="R357" s="22" t="str">
        <f aca="false">IF(J357-P357=0,"PAGADA","PENDIENTE")</f>
        <v>PAGADA</v>
      </c>
      <c r="S357" s="18" t="n">
        <v>46176</v>
      </c>
      <c r="T357" s="35"/>
      <c r="U357" s="16"/>
      <c r="V357" s="16"/>
      <c r="W357" s="16"/>
      <c r="X357" s="16"/>
    </row>
    <row r="358" s="8" customFormat="true" ht="13.5" hidden="false" customHeight="false" outlineLevel="0" collapsed="false">
      <c r="A358" s="16" t="s">
        <v>57</v>
      </c>
      <c r="B358" s="16" t="s">
        <v>58</v>
      </c>
      <c r="C358" s="17"/>
      <c r="D358" s="17"/>
      <c r="E358" s="16" t="s">
        <v>24</v>
      </c>
      <c r="F358" s="16" t="n">
        <v>4928</v>
      </c>
      <c r="G358" s="18" t="n">
        <v>46150</v>
      </c>
      <c r="H358" s="18" t="n">
        <f aca="false">+G358+30</f>
        <v>46180</v>
      </c>
      <c r="I358" s="18"/>
      <c r="J358" s="19" t="n">
        <v>5403750</v>
      </c>
      <c r="K358" s="19"/>
      <c r="L358" s="19" t="n">
        <f aca="false">+J358/1.19</f>
        <v>4540966.38655462</v>
      </c>
      <c r="M358" s="19" t="n">
        <f aca="false">+L358*19%</f>
        <v>862783.613445378</v>
      </c>
      <c r="N358" s="16" t="s">
        <v>159</v>
      </c>
      <c r="O358" s="20" t="n">
        <v>2026</v>
      </c>
      <c r="P358" s="21" t="n">
        <f aca="false">+J358</f>
        <v>5403750</v>
      </c>
      <c r="Q358" s="19" t="n">
        <f aca="false">+J358-P358</f>
        <v>0</v>
      </c>
      <c r="R358" s="22" t="str">
        <f aca="false">IF(J358-P358=0,"PAGADA","PENDIENTE")</f>
        <v>PAGADA</v>
      </c>
      <c r="S358" s="18" t="n">
        <v>46176</v>
      </c>
      <c r="T358" s="35"/>
      <c r="U358" s="16"/>
      <c r="V358" s="16"/>
      <c r="W358" s="16"/>
      <c r="X358" s="16"/>
    </row>
    <row r="359" s="8" customFormat="true" ht="13.5" hidden="false" customHeight="false" outlineLevel="0" collapsed="false">
      <c r="A359" s="16" t="s">
        <v>57</v>
      </c>
      <c r="B359" s="16" t="s">
        <v>58</v>
      </c>
      <c r="C359" s="17"/>
      <c r="D359" s="17"/>
      <c r="E359" s="16" t="s">
        <v>24</v>
      </c>
      <c r="F359" s="16" t="n">
        <v>4929</v>
      </c>
      <c r="G359" s="18" t="n">
        <v>46150</v>
      </c>
      <c r="H359" s="18" t="n">
        <f aca="false">+G359+30</f>
        <v>46180</v>
      </c>
      <c r="I359" s="18"/>
      <c r="J359" s="19" t="n">
        <v>43547</v>
      </c>
      <c r="K359" s="19"/>
      <c r="L359" s="19" t="n">
        <f aca="false">+J359/1.19</f>
        <v>36594.1176470588</v>
      </c>
      <c r="M359" s="19" t="n">
        <f aca="false">+L359*19%</f>
        <v>6952.88235294118</v>
      </c>
      <c r="N359" s="16" t="s">
        <v>159</v>
      </c>
      <c r="O359" s="20" t="n">
        <v>2026</v>
      </c>
      <c r="P359" s="21" t="n">
        <f aca="false">+J359</f>
        <v>43547</v>
      </c>
      <c r="Q359" s="19" t="n">
        <f aca="false">+J359-P359</f>
        <v>0</v>
      </c>
      <c r="R359" s="22" t="str">
        <f aca="false">IF(J359-P359=0,"PAGADA","PENDIENTE")</f>
        <v>PAGADA</v>
      </c>
      <c r="S359" s="18" t="n">
        <v>46176</v>
      </c>
      <c r="T359" s="35"/>
      <c r="U359" s="16"/>
      <c r="V359" s="16"/>
      <c r="W359" s="16"/>
      <c r="X359" s="16"/>
    </row>
    <row r="360" s="8" customFormat="true" ht="13.5" hidden="false" customHeight="false" outlineLevel="0" collapsed="false">
      <c r="A360" s="16" t="s">
        <v>57</v>
      </c>
      <c r="B360" s="16" t="s">
        <v>58</v>
      </c>
      <c r="C360" s="17"/>
      <c r="D360" s="17"/>
      <c r="E360" s="16" t="s">
        <v>24</v>
      </c>
      <c r="F360" s="16" t="n">
        <v>4930</v>
      </c>
      <c r="G360" s="18" t="n">
        <v>46150</v>
      </c>
      <c r="H360" s="18" t="n">
        <f aca="false">+G360+30</f>
        <v>46180</v>
      </c>
      <c r="I360" s="18"/>
      <c r="J360" s="19" t="n">
        <v>380195</v>
      </c>
      <c r="K360" s="19"/>
      <c r="L360" s="19" t="n">
        <f aca="false">+J360/1.19</f>
        <v>319491.596638655</v>
      </c>
      <c r="M360" s="19" t="n">
        <f aca="false">+L360*19%</f>
        <v>60703.4033613445</v>
      </c>
      <c r="N360" s="16" t="s">
        <v>159</v>
      </c>
      <c r="O360" s="20" t="n">
        <v>2026</v>
      </c>
      <c r="P360" s="21" t="n">
        <f aca="false">+J360</f>
        <v>380195</v>
      </c>
      <c r="Q360" s="19" t="n">
        <f aca="false">+J360-P360</f>
        <v>0</v>
      </c>
      <c r="R360" s="22" t="str">
        <f aca="false">IF(J360-P360=0,"PAGADA","PENDIENTE")</f>
        <v>PAGADA</v>
      </c>
      <c r="S360" s="18" t="n">
        <v>46176</v>
      </c>
      <c r="T360" s="35"/>
      <c r="U360" s="16"/>
      <c r="V360" s="16"/>
      <c r="W360" s="16"/>
      <c r="X360" s="16"/>
    </row>
    <row r="361" s="8" customFormat="true" ht="13.5" hidden="false" customHeight="false" outlineLevel="0" collapsed="false">
      <c r="A361" s="16" t="s">
        <v>22</v>
      </c>
      <c r="B361" s="16" t="s">
        <v>23</v>
      </c>
      <c r="C361" s="17"/>
      <c r="D361" s="17"/>
      <c r="E361" s="16" t="s">
        <v>24</v>
      </c>
      <c r="F361" s="16" t="n">
        <v>4931</v>
      </c>
      <c r="G361" s="18" t="n">
        <v>46150</v>
      </c>
      <c r="H361" s="18" t="n">
        <f aca="false">+G361+30</f>
        <v>46180</v>
      </c>
      <c r="I361" s="18"/>
      <c r="J361" s="19" t="n">
        <v>385517</v>
      </c>
      <c r="K361" s="19"/>
      <c r="L361" s="19" t="n">
        <f aca="false">+J361/1.19</f>
        <v>323963.865546219</v>
      </c>
      <c r="M361" s="19" t="n">
        <f aca="false">+L361*19%</f>
        <v>61553.1344537815</v>
      </c>
      <c r="N361" s="16" t="s">
        <v>159</v>
      </c>
      <c r="O361" s="20" t="n">
        <v>2026</v>
      </c>
      <c r="P361" s="21" t="n">
        <f aca="false">+J361</f>
        <v>385517</v>
      </c>
      <c r="Q361" s="19" t="n">
        <f aca="false">+J361-P361</f>
        <v>0</v>
      </c>
      <c r="R361" s="22" t="str">
        <f aca="false">IF(J361-P361=0,"PAGADA","PENDIENTE")</f>
        <v>PAGADA</v>
      </c>
      <c r="S361" s="18" t="n">
        <v>46171</v>
      </c>
      <c r="T361" s="35"/>
      <c r="U361" s="16"/>
      <c r="V361" s="16"/>
      <c r="W361" s="16"/>
      <c r="X361" s="16"/>
    </row>
    <row r="362" s="8" customFormat="true" ht="13.5" hidden="false" customHeight="false" outlineLevel="0" collapsed="false">
      <c r="A362" s="30" t="s">
        <v>22</v>
      </c>
      <c r="B362" s="30" t="s">
        <v>23</v>
      </c>
      <c r="C362" s="31" t="s">
        <v>61</v>
      </c>
      <c r="D362" s="31"/>
      <c r="E362" s="30" t="s">
        <v>24</v>
      </c>
      <c r="F362" s="30" t="n">
        <v>4932</v>
      </c>
      <c r="G362" s="32" t="n">
        <v>46150</v>
      </c>
      <c r="H362" s="32" t="n">
        <f aca="false">+G362+30</f>
        <v>46180</v>
      </c>
      <c r="I362" s="18"/>
      <c r="J362" s="33" t="n">
        <v>1964754</v>
      </c>
      <c r="K362" s="33"/>
      <c r="L362" s="33" t="n">
        <f aca="false">+J362/1.19</f>
        <v>1651053.78151261</v>
      </c>
      <c r="M362" s="33" t="n">
        <f aca="false">+L362*19%</f>
        <v>313700.218487395</v>
      </c>
      <c r="N362" s="30" t="s">
        <v>159</v>
      </c>
      <c r="O362" s="34" t="n">
        <v>2026</v>
      </c>
      <c r="P362" s="35" t="n">
        <f aca="false">+J362</f>
        <v>1964754</v>
      </c>
      <c r="Q362" s="33" t="n">
        <f aca="false">+J362-P362</f>
        <v>0</v>
      </c>
      <c r="R362" s="36" t="str">
        <f aca="false">IF(J362-P362=0,"PAGADA","PENDIENTE")</f>
        <v>PAGADA</v>
      </c>
      <c r="S362" s="30" t="s">
        <v>168</v>
      </c>
      <c r="T362" s="35"/>
      <c r="U362" s="30"/>
      <c r="V362" s="30"/>
      <c r="W362" s="30"/>
      <c r="X362" s="30"/>
    </row>
    <row r="363" s="8" customFormat="true" ht="13.5" hidden="false" customHeight="false" outlineLevel="0" collapsed="false">
      <c r="A363" s="30" t="s">
        <v>22</v>
      </c>
      <c r="B363" s="30" t="s">
        <v>23</v>
      </c>
      <c r="C363" s="31" t="s">
        <v>61</v>
      </c>
      <c r="D363" s="31"/>
      <c r="E363" s="30" t="s">
        <v>24</v>
      </c>
      <c r="F363" s="30" t="n">
        <v>4933</v>
      </c>
      <c r="G363" s="32" t="n">
        <v>46150</v>
      </c>
      <c r="H363" s="32" t="n">
        <f aca="false">+G363+30</f>
        <v>46180</v>
      </c>
      <c r="I363" s="18"/>
      <c r="J363" s="33" t="n">
        <v>9372999</v>
      </c>
      <c r="K363" s="33"/>
      <c r="L363" s="33" t="n">
        <f aca="false">+J363/1.19</f>
        <v>7876469.74789916</v>
      </c>
      <c r="M363" s="33" t="n">
        <f aca="false">+L363*19%</f>
        <v>1496529.25210084</v>
      </c>
      <c r="N363" s="30" t="s">
        <v>159</v>
      </c>
      <c r="O363" s="34" t="n">
        <v>2026</v>
      </c>
      <c r="P363" s="35" t="n">
        <f aca="false">+J363</f>
        <v>9372999</v>
      </c>
      <c r="Q363" s="33" t="n">
        <f aca="false">+J363-P363</f>
        <v>0</v>
      </c>
      <c r="R363" s="36" t="str">
        <f aca="false">IF(J363-P363=0,"PAGADA","PENDIENTE")</f>
        <v>PAGADA</v>
      </c>
      <c r="S363" s="30" t="s">
        <v>168</v>
      </c>
      <c r="T363" s="35"/>
      <c r="U363" s="30"/>
      <c r="V363" s="30"/>
      <c r="W363" s="30"/>
      <c r="X363" s="30"/>
    </row>
    <row r="364" s="8" customFormat="true" ht="13.5" hidden="false" customHeight="false" outlineLevel="0" collapsed="false">
      <c r="A364" s="16" t="s">
        <v>22</v>
      </c>
      <c r="B364" s="16" t="s">
        <v>23</v>
      </c>
      <c r="C364" s="17"/>
      <c r="D364" s="17"/>
      <c r="E364" s="16" t="s">
        <v>24</v>
      </c>
      <c r="F364" s="16" t="n">
        <v>4934</v>
      </c>
      <c r="G364" s="18" t="n">
        <v>46150</v>
      </c>
      <c r="H364" s="18" t="n">
        <f aca="false">+G364+30</f>
        <v>46180</v>
      </c>
      <c r="I364" s="18"/>
      <c r="J364" s="19" t="n">
        <v>221697</v>
      </c>
      <c r="K364" s="19"/>
      <c r="L364" s="19" t="n">
        <f aca="false">+J364/1.19</f>
        <v>186300</v>
      </c>
      <c r="M364" s="19" t="n">
        <f aca="false">+L364*19%</f>
        <v>35397</v>
      </c>
      <c r="N364" s="16" t="s">
        <v>159</v>
      </c>
      <c r="O364" s="20" t="n">
        <v>2026</v>
      </c>
      <c r="P364" s="21" t="n">
        <f aca="false">+J364</f>
        <v>221697</v>
      </c>
      <c r="Q364" s="19" t="n">
        <f aca="false">+J364-P364</f>
        <v>0</v>
      </c>
      <c r="R364" s="22" t="str">
        <f aca="false">IF(J364-P364=0,"PAGADA","PENDIENTE")</f>
        <v>PAGADA</v>
      </c>
      <c r="S364" s="18" t="n">
        <v>46171</v>
      </c>
      <c r="T364" s="35"/>
      <c r="U364" s="16"/>
      <c r="V364" s="16"/>
      <c r="W364" s="16"/>
      <c r="X364" s="16"/>
    </row>
    <row r="365" s="8" customFormat="true" ht="13.5" hidden="false" customHeight="false" outlineLevel="0" collapsed="false">
      <c r="A365" s="16" t="s">
        <v>124</v>
      </c>
      <c r="B365" s="16" t="s">
        <v>125</v>
      </c>
      <c r="C365" s="17"/>
      <c r="D365" s="17"/>
      <c r="E365" s="16" t="s">
        <v>24</v>
      </c>
      <c r="F365" s="16" t="n">
        <v>4935</v>
      </c>
      <c r="G365" s="18" t="n">
        <v>46150</v>
      </c>
      <c r="H365" s="18" t="n">
        <f aca="false">+G365+30</f>
        <v>46180</v>
      </c>
      <c r="I365" s="18"/>
      <c r="J365" s="19" t="n">
        <v>5430757</v>
      </c>
      <c r="K365" s="19"/>
      <c r="L365" s="19" t="n">
        <f aca="false">+J365/1.19</f>
        <v>4563661.34453782</v>
      </c>
      <c r="M365" s="19" t="n">
        <f aca="false">+L365*19%</f>
        <v>867095.655462185</v>
      </c>
      <c r="N365" s="16" t="s">
        <v>159</v>
      </c>
      <c r="O365" s="20" t="n">
        <v>2026</v>
      </c>
      <c r="P365" s="21" t="n">
        <f aca="false">+J365</f>
        <v>5430757</v>
      </c>
      <c r="Q365" s="19" t="n">
        <f aca="false">+J365-P365</f>
        <v>0</v>
      </c>
      <c r="R365" s="22" t="str">
        <f aca="false">IF(J365-P365=0,"PAGADA","PENDIENTE")</f>
        <v>PAGADA</v>
      </c>
      <c r="S365" s="18" t="n">
        <v>46171</v>
      </c>
      <c r="T365" s="35"/>
      <c r="U365" s="16"/>
      <c r="V365" s="16"/>
      <c r="W365" s="16"/>
      <c r="X365" s="16"/>
    </row>
    <row r="366" s="8" customFormat="true" ht="13.5" hidden="false" customHeight="false" outlineLevel="0" collapsed="false">
      <c r="A366" s="16" t="s">
        <v>97</v>
      </c>
      <c r="B366" s="16" t="s">
        <v>98</v>
      </c>
      <c r="C366" s="17"/>
      <c r="D366" s="17"/>
      <c r="E366" s="16" t="s">
        <v>24</v>
      </c>
      <c r="F366" s="16" t="n">
        <v>4936</v>
      </c>
      <c r="G366" s="18" t="n">
        <v>46150</v>
      </c>
      <c r="H366" s="18" t="n">
        <f aca="false">+G366+30</f>
        <v>46180</v>
      </c>
      <c r="I366" s="18"/>
      <c r="J366" s="19" t="n">
        <v>2377192</v>
      </c>
      <c r="K366" s="19"/>
      <c r="L366" s="19" t="n">
        <f aca="false">+J366/1.19</f>
        <v>1997640.33613445</v>
      </c>
      <c r="M366" s="19" t="n">
        <f aca="false">+L366*19%</f>
        <v>379551.663865546</v>
      </c>
      <c r="N366" s="16" t="s">
        <v>159</v>
      </c>
      <c r="O366" s="20" t="n">
        <v>2026</v>
      </c>
      <c r="P366" s="21"/>
      <c r="Q366" s="19" t="n">
        <f aca="false">+J366-P366</f>
        <v>2377192</v>
      </c>
      <c r="R366" s="22" t="str">
        <f aca="false">IF(J366-P366=0,"PAGADA","PENDIENTE")</f>
        <v>PENDIENTE</v>
      </c>
      <c r="S366" s="16"/>
      <c r="T366" s="35"/>
      <c r="U366" s="16"/>
      <c r="V366" s="16"/>
      <c r="W366" s="16"/>
      <c r="X366" s="16"/>
    </row>
    <row r="367" s="8" customFormat="true" ht="13.5" hidden="false" customHeight="false" outlineLevel="0" collapsed="false">
      <c r="A367" s="16" t="s">
        <v>97</v>
      </c>
      <c r="B367" s="16" t="s">
        <v>98</v>
      </c>
      <c r="C367" s="17"/>
      <c r="D367" s="17"/>
      <c r="E367" s="16" t="s">
        <v>24</v>
      </c>
      <c r="F367" s="16" t="n">
        <v>4937</v>
      </c>
      <c r="G367" s="18" t="n">
        <v>46150</v>
      </c>
      <c r="H367" s="18" t="n">
        <f aca="false">+G367+30</f>
        <v>46180</v>
      </c>
      <c r="I367" s="18"/>
      <c r="J367" s="19" t="n">
        <v>1979400</v>
      </c>
      <c r="K367" s="19"/>
      <c r="L367" s="19" t="n">
        <f aca="false">+J367/1.19</f>
        <v>1663361.34453782</v>
      </c>
      <c r="M367" s="19" t="n">
        <f aca="false">+L367*19%</f>
        <v>316038.655462185</v>
      </c>
      <c r="N367" s="16" t="s">
        <v>159</v>
      </c>
      <c r="O367" s="20" t="n">
        <v>2026</v>
      </c>
      <c r="P367" s="21"/>
      <c r="Q367" s="19" t="n">
        <f aca="false">+J367-P367</f>
        <v>1979400</v>
      </c>
      <c r="R367" s="22" t="str">
        <f aca="false">IF(J367-P367=0,"PAGADA","PENDIENTE")</f>
        <v>PENDIENTE</v>
      </c>
      <c r="S367" s="16"/>
      <c r="T367" s="35"/>
      <c r="U367" s="16"/>
      <c r="V367" s="16"/>
      <c r="W367" s="16"/>
      <c r="X367" s="16"/>
    </row>
    <row r="368" s="8" customFormat="true" ht="13.5" hidden="false" customHeight="false" outlineLevel="0" collapsed="false">
      <c r="A368" s="16" t="s">
        <v>30</v>
      </c>
      <c r="B368" s="16" t="s">
        <v>31</v>
      </c>
      <c r="C368" s="17"/>
      <c r="D368" s="17"/>
      <c r="E368" s="16" t="s">
        <v>24</v>
      </c>
      <c r="F368" s="16" t="n">
        <v>4938</v>
      </c>
      <c r="G368" s="18" t="n">
        <v>46150</v>
      </c>
      <c r="H368" s="18" t="n">
        <f aca="false">+G368+30</f>
        <v>46180</v>
      </c>
      <c r="I368" s="18"/>
      <c r="J368" s="19" t="n">
        <v>5460879</v>
      </c>
      <c r="K368" s="19"/>
      <c r="L368" s="19" t="n">
        <f aca="false">+J368/1.19</f>
        <v>4588973.94957983</v>
      </c>
      <c r="M368" s="19" t="n">
        <f aca="false">+L368*19%</f>
        <v>871905.050420168</v>
      </c>
      <c r="N368" s="16" t="s">
        <v>159</v>
      </c>
      <c r="O368" s="20" t="n">
        <v>2026</v>
      </c>
      <c r="P368" s="21" t="n">
        <f aca="false">+J368</f>
        <v>5460879</v>
      </c>
      <c r="Q368" s="19" t="n">
        <f aca="false">+J368-P368</f>
        <v>0</v>
      </c>
      <c r="R368" s="22" t="str">
        <f aca="false">IF(J368-P368=0,"PAGADA","PENDIENTE")</f>
        <v>PAGADA</v>
      </c>
      <c r="S368" s="18" t="n">
        <v>46178</v>
      </c>
      <c r="T368" s="35"/>
      <c r="U368" s="16"/>
      <c r="V368" s="16"/>
      <c r="W368" s="16"/>
      <c r="X368" s="16"/>
    </row>
    <row r="369" s="8" customFormat="true" ht="13.5" hidden="false" customHeight="false" outlineLevel="0" collapsed="false">
      <c r="A369" s="16" t="s">
        <v>30</v>
      </c>
      <c r="B369" s="16" t="s">
        <v>31</v>
      </c>
      <c r="C369" s="17"/>
      <c r="D369" s="17"/>
      <c r="E369" s="16" t="s">
        <v>24</v>
      </c>
      <c r="F369" s="16" t="n">
        <v>4939</v>
      </c>
      <c r="G369" s="18" t="n">
        <v>46150</v>
      </c>
      <c r="H369" s="18" t="n">
        <f aca="false">+G369+30</f>
        <v>46180</v>
      </c>
      <c r="I369" s="18"/>
      <c r="J369" s="19" t="n">
        <v>2624700</v>
      </c>
      <c r="K369" s="19"/>
      <c r="L369" s="19" t="n">
        <f aca="false">+J369/1.19</f>
        <v>2205630.25210084</v>
      </c>
      <c r="M369" s="19" t="n">
        <f aca="false">+L369*19%</f>
        <v>419069.74789916</v>
      </c>
      <c r="N369" s="16" t="s">
        <v>159</v>
      </c>
      <c r="O369" s="20" t="n">
        <v>2026</v>
      </c>
      <c r="P369" s="21" t="n">
        <f aca="false">+J369</f>
        <v>2624700</v>
      </c>
      <c r="Q369" s="19" t="n">
        <f aca="false">+J369-P369</f>
        <v>0</v>
      </c>
      <c r="R369" s="22" t="str">
        <f aca="false">IF(J369-P369=0,"PAGADA","PENDIENTE")</f>
        <v>PAGADA</v>
      </c>
      <c r="S369" s="18" t="n">
        <v>46178</v>
      </c>
      <c r="T369" s="35"/>
      <c r="U369" s="16"/>
      <c r="V369" s="16"/>
      <c r="W369" s="16"/>
      <c r="X369" s="16"/>
    </row>
    <row r="370" s="8" customFormat="true" ht="13.5" hidden="false" customHeight="false" outlineLevel="0" collapsed="false">
      <c r="A370" s="16" t="s">
        <v>30</v>
      </c>
      <c r="B370" s="16" t="s">
        <v>31</v>
      </c>
      <c r="C370" s="17"/>
      <c r="D370" s="17"/>
      <c r="E370" s="16" t="s">
        <v>24</v>
      </c>
      <c r="F370" s="16" t="n">
        <v>4940</v>
      </c>
      <c r="G370" s="18" t="n">
        <v>46150</v>
      </c>
      <c r="H370" s="18" t="n">
        <f aca="false">+G370+30</f>
        <v>46180</v>
      </c>
      <c r="I370" s="18"/>
      <c r="J370" s="19" t="n">
        <v>5616794</v>
      </c>
      <c r="K370" s="19"/>
      <c r="L370" s="19" t="n">
        <f aca="false">+J370/1.19</f>
        <v>4719994.95798319</v>
      </c>
      <c r="M370" s="19" t="n">
        <f aca="false">+L370*19%</f>
        <v>896799.042016807</v>
      </c>
      <c r="N370" s="16" t="s">
        <v>159</v>
      </c>
      <c r="O370" s="20" t="n">
        <v>2026</v>
      </c>
      <c r="P370" s="21" t="n">
        <f aca="false">+J370</f>
        <v>5616794</v>
      </c>
      <c r="Q370" s="19" t="n">
        <f aca="false">+J370-P370</f>
        <v>0</v>
      </c>
      <c r="R370" s="22" t="str">
        <f aca="false">IF(J370-P370=0,"PAGADA","PENDIENTE")</f>
        <v>PAGADA</v>
      </c>
      <c r="S370" s="18" t="n">
        <v>46178</v>
      </c>
      <c r="T370" s="35"/>
      <c r="U370" s="16"/>
      <c r="V370" s="16"/>
      <c r="W370" s="16"/>
      <c r="X370" s="16"/>
    </row>
    <row r="371" s="8" customFormat="true" ht="13.5" hidden="false" customHeight="false" outlineLevel="0" collapsed="false">
      <c r="A371" s="16" t="s">
        <v>30</v>
      </c>
      <c r="B371" s="16" t="s">
        <v>31</v>
      </c>
      <c r="C371" s="17"/>
      <c r="D371" s="17"/>
      <c r="E371" s="16" t="s">
        <v>24</v>
      </c>
      <c r="F371" s="16" t="n">
        <v>4941</v>
      </c>
      <c r="G371" s="18" t="n">
        <v>46150</v>
      </c>
      <c r="H371" s="18" t="n">
        <f aca="false">+G371+30</f>
        <v>46180</v>
      </c>
      <c r="I371" s="18"/>
      <c r="J371" s="19" t="n">
        <v>731736</v>
      </c>
      <c r="K371" s="19"/>
      <c r="L371" s="19" t="n">
        <f aca="false">+J371/1.19</f>
        <v>614904.201680672</v>
      </c>
      <c r="M371" s="19" t="n">
        <f aca="false">+L371*19%</f>
        <v>116831.798319328</v>
      </c>
      <c r="N371" s="16" t="s">
        <v>159</v>
      </c>
      <c r="O371" s="20" t="n">
        <v>2026</v>
      </c>
      <c r="P371" s="21" t="n">
        <f aca="false">+J371</f>
        <v>731736</v>
      </c>
      <c r="Q371" s="19" t="n">
        <f aca="false">+J371-P371</f>
        <v>0</v>
      </c>
      <c r="R371" s="22" t="str">
        <f aca="false">IF(J371-P371=0,"PAGADA","PENDIENTE")</f>
        <v>PAGADA</v>
      </c>
      <c r="S371" s="18" t="n">
        <v>46178</v>
      </c>
      <c r="T371" s="35"/>
      <c r="U371" s="16"/>
      <c r="V371" s="16"/>
      <c r="W371" s="16"/>
      <c r="X371" s="16"/>
    </row>
    <row r="372" s="8" customFormat="true" ht="13.5" hidden="false" customHeight="false" outlineLevel="0" collapsed="false">
      <c r="A372" s="16" t="s">
        <v>30</v>
      </c>
      <c r="B372" s="16" t="s">
        <v>31</v>
      </c>
      <c r="C372" s="17"/>
      <c r="D372" s="17"/>
      <c r="E372" s="16" t="s">
        <v>24</v>
      </c>
      <c r="F372" s="16" t="n">
        <v>4942</v>
      </c>
      <c r="G372" s="18" t="n">
        <v>46150</v>
      </c>
      <c r="H372" s="18" t="n">
        <f aca="false">+G372+30</f>
        <v>46180</v>
      </c>
      <c r="I372" s="18"/>
      <c r="J372" s="19" t="n">
        <v>2076550</v>
      </c>
      <c r="K372" s="19"/>
      <c r="L372" s="19" t="n">
        <f aca="false">+J372/1.19</f>
        <v>1745000</v>
      </c>
      <c r="M372" s="19" t="n">
        <f aca="false">+L372*19%</f>
        <v>331550</v>
      </c>
      <c r="N372" s="16" t="s">
        <v>159</v>
      </c>
      <c r="O372" s="20" t="n">
        <v>2026</v>
      </c>
      <c r="P372" s="21" t="n">
        <f aca="false">+J372</f>
        <v>2076550</v>
      </c>
      <c r="Q372" s="19" t="n">
        <f aca="false">+J372-P372</f>
        <v>0</v>
      </c>
      <c r="R372" s="22" t="str">
        <f aca="false">IF(J372-P372=0,"PAGADA","PENDIENTE")</f>
        <v>PAGADA</v>
      </c>
      <c r="S372" s="18" t="n">
        <v>46178</v>
      </c>
      <c r="T372" s="35"/>
      <c r="U372" s="16"/>
      <c r="V372" s="16"/>
      <c r="W372" s="16"/>
      <c r="X372" s="16"/>
    </row>
    <row r="373" s="8" customFormat="true" ht="13.5" hidden="false" customHeight="false" outlineLevel="0" collapsed="false">
      <c r="A373" s="16" t="s">
        <v>26</v>
      </c>
      <c r="B373" s="16" t="s">
        <v>27</v>
      </c>
      <c r="C373" s="17"/>
      <c r="D373" s="17"/>
      <c r="E373" s="16" t="s">
        <v>24</v>
      </c>
      <c r="F373" s="16" t="n">
        <v>4943</v>
      </c>
      <c r="G373" s="18" t="n">
        <v>46153</v>
      </c>
      <c r="H373" s="18" t="n">
        <f aca="false">+G373+30</f>
        <v>46183</v>
      </c>
      <c r="I373" s="18"/>
      <c r="J373" s="19" t="n">
        <v>1011500</v>
      </c>
      <c r="K373" s="19"/>
      <c r="L373" s="19" t="n">
        <f aca="false">+J373/1.19</f>
        <v>850000</v>
      </c>
      <c r="M373" s="19" t="n">
        <f aca="false">+L373*19%</f>
        <v>161500</v>
      </c>
      <c r="N373" s="16" t="s">
        <v>159</v>
      </c>
      <c r="O373" s="20" t="n">
        <v>2026</v>
      </c>
      <c r="P373" s="21" t="n">
        <f aca="false">+J373</f>
        <v>1011500</v>
      </c>
      <c r="Q373" s="19" t="n">
        <f aca="false">+J373-P373</f>
        <v>0</v>
      </c>
      <c r="R373" s="22" t="str">
        <f aca="false">IF(J373-P373=0,"PAGADA","PENDIENTE")</f>
        <v>PAGADA</v>
      </c>
      <c r="S373" s="18" t="n">
        <v>46185</v>
      </c>
      <c r="T373" s="35"/>
      <c r="U373" s="16"/>
      <c r="V373" s="16"/>
      <c r="W373" s="16"/>
      <c r="X373" s="16"/>
    </row>
    <row r="374" s="8" customFormat="true" ht="13.5" hidden="false" customHeight="false" outlineLevel="0" collapsed="false">
      <c r="A374" s="30" t="s">
        <v>26</v>
      </c>
      <c r="B374" s="30" t="s">
        <v>27</v>
      </c>
      <c r="C374" s="31" t="s">
        <v>61</v>
      </c>
      <c r="D374" s="31"/>
      <c r="E374" s="30" t="s">
        <v>24</v>
      </c>
      <c r="F374" s="30" t="n">
        <v>4944</v>
      </c>
      <c r="G374" s="32" t="n">
        <v>46153</v>
      </c>
      <c r="H374" s="32" t="n">
        <f aca="false">+G374+30</f>
        <v>46183</v>
      </c>
      <c r="I374" s="32"/>
      <c r="J374" s="33" t="n">
        <v>19252538</v>
      </c>
      <c r="K374" s="33"/>
      <c r="L374" s="33" t="n">
        <f aca="false">+J374/1.19</f>
        <v>16178603.3613445</v>
      </c>
      <c r="M374" s="33" t="n">
        <f aca="false">+L374*19%</f>
        <v>3073934.63865546</v>
      </c>
      <c r="N374" s="30" t="s">
        <v>159</v>
      </c>
      <c r="O374" s="34" t="n">
        <v>2026</v>
      </c>
      <c r="P374" s="35" t="n">
        <f aca="false">+J374</f>
        <v>19252538</v>
      </c>
      <c r="Q374" s="33" t="n">
        <f aca="false">+J374-P374</f>
        <v>0</v>
      </c>
      <c r="R374" s="36" t="str">
        <f aca="false">IF(J374-P374=0,"PAGADA","PENDIENTE")</f>
        <v>PAGADA</v>
      </c>
      <c r="S374" s="30" t="s">
        <v>169</v>
      </c>
      <c r="T374" s="35" t="n">
        <f aca="false">+P374*0.66%</f>
        <v>127066.7508</v>
      </c>
      <c r="U374" s="30"/>
      <c r="V374" s="30"/>
      <c r="W374" s="30"/>
      <c r="X374" s="30"/>
    </row>
    <row r="375" s="8" customFormat="true" ht="13.5" hidden="false" customHeight="false" outlineLevel="0" collapsed="false">
      <c r="A375" s="16" t="s">
        <v>26</v>
      </c>
      <c r="B375" s="16" t="s">
        <v>27</v>
      </c>
      <c r="C375" s="17"/>
      <c r="D375" s="17"/>
      <c r="E375" s="16" t="s">
        <v>24</v>
      </c>
      <c r="F375" s="16" t="n">
        <v>4945</v>
      </c>
      <c r="G375" s="18" t="n">
        <v>46153</v>
      </c>
      <c r="H375" s="18" t="n">
        <f aca="false">+G375+30</f>
        <v>46183</v>
      </c>
      <c r="I375" s="18"/>
      <c r="J375" s="19" t="n">
        <v>886594</v>
      </c>
      <c r="K375" s="19"/>
      <c r="L375" s="19" t="n">
        <f aca="false">+J375/1.19</f>
        <v>745036.974789916</v>
      </c>
      <c r="M375" s="19" t="n">
        <f aca="false">+L375*19%</f>
        <v>141557.025210084</v>
      </c>
      <c r="N375" s="16" t="s">
        <v>159</v>
      </c>
      <c r="O375" s="20" t="n">
        <v>2026</v>
      </c>
      <c r="P375" s="21" t="n">
        <f aca="false">+J375</f>
        <v>886594</v>
      </c>
      <c r="Q375" s="19" t="n">
        <f aca="false">+J375-P375</f>
        <v>0</v>
      </c>
      <c r="R375" s="22" t="str">
        <f aca="false">IF(J375-P375=0,"PAGADA","PENDIENTE")</f>
        <v>PAGADA</v>
      </c>
      <c r="S375" s="18" t="n">
        <v>46185</v>
      </c>
      <c r="T375" s="16"/>
      <c r="U375" s="16"/>
      <c r="V375" s="16"/>
      <c r="W375" s="16"/>
      <c r="X375" s="16"/>
    </row>
    <row r="376" s="8" customFormat="true" ht="13.5" hidden="false" customHeight="false" outlineLevel="0" collapsed="false">
      <c r="A376" s="16" t="s">
        <v>170</v>
      </c>
      <c r="B376" s="16" t="s">
        <v>171</v>
      </c>
      <c r="C376" s="17"/>
      <c r="D376" s="17"/>
      <c r="E376" s="16" t="s">
        <v>24</v>
      </c>
      <c r="F376" s="16" t="n">
        <v>4946</v>
      </c>
      <c r="G376" s="18" t="n">
        <v>46153</v>
      </c>
      <c r="H376" s="18" t="n">
        <f aca="false">+G376+30</f>
        <v>46183</v>
      </c>
      <c r="I376" s="18"/>
      <c r="J376" s="19" t="n">
        <v>3570000</v>
      </c>
      <c r="K376" s="19"/>
      <c r="L376" s="19" t="n">
        <f aca="false">+J376/1.19</f>
        <v>3000000</v>
      </c>
      <c r="M376" s="19" t="n">
        <f aca="false">+L376*19%</f>
        <v>570000</v>
      </c>
      <c r="N376" s="16" t="s">
        <v>159</v>
      </c>
      <c r="O376" s="20" t="n">
        <v>2026</v>
      </c>
      <c r="P376" s="21" t="n">
        <f aca="false">+J376</f>
        <v>3570000</v>
      </c>
      <c r="Q376" s="19" t="n">
        <f aca="false">+J376-P376</f>
        <v>0</v>
      </c>
      <c r="R376" s="22" t="str">
        <f aca="false">IF(J376-P376=0,"PAGADA","PENDIENTE")</f>
        <v>PAGADA</v>
      </c>
      <c r="S376" s="18" t="n">
        <v>46167</v>
      </c>
      <c r="T376" s="16"/>
      <c r="U376" s="16"/>
      <c r="V376" s="16"/>
      <c r="W376" s="16"/>
      <c r="X376" s="16"/>
    </row>
    <row r="377" s="8" customFormat="true" ht="13.5" hidden="false" customHeight="false" outlineLevel="0" collapsed="false">
      <c r="A377" s="16" t="s">
        <v>22</v>
      </c>
      <c r="B377" s="16" t="s">
        <v>23</v>
      </c>
      <c r="C377" s="17"/>
      <c r="D377" s="17"/>
      <c r="E377" s="16" t="s">
        <v>24</v>
      </c>
      <c r="F377" s="16" t="n">
        <v>4947</v>
      </c>
      <c r="G377" s="18" t="n">
        <v>46156</v>
      </c>
      <c r="H377" s="18" t="n">
        <f aca="false">+G377+30</f>
        <v>46186</v>
      </c>
      <c r="I377" s="18"/>
      <c r="J377" s="19" t="n">
        <v>385560</v>
      </c>
      <c r="K377" s="19"/>
      <c r="L377" s="19" t="n">
        <f aca="false">+J377/1.19</f>
        <v>324000</v>
      </c>
      <c r="M377" s="19" t="n">
        <f aca="false">+L377*19%</f>
        <v>61560</v>
      </c>
      <c r="N377" s="16" t="s">
        <v>159</v>
      </c>
      <c r="O377" s="20" t="n">
        <v>2026</v>
      </c>
      <c r="P377" s="21" t="n">
        <f aca="false">+J377</f>
        <v>385560</v>
      </c>
      <c r="Q377" s="19" t="n">
        <f aca="false">+J377-P377</f>
        <v>0</v>
      </c>
      <c r="R377" s="22" t="str">
        <f aca="false">IF(J377-P377=0,"PAGADA","PENDIENTE")</f>
        <v>PAGADA</v>
      </c>
      <c r="S377" s="18" t="n">
        <v>46171</v>
      </c>
      <c r="T377" s="16"/>
      <c r="U377" s="16"/>
      <c r="V377" s="16"/>
      <c r="W377" s="16"/>
      <c r="X377" s="16"/>
    </row>
    <row r="378" s="8" customFormat="true" ht="13.5" hidden="false" customHeight="false" outlineLevel="0" collapsed="false">
      <c r="A378" s="30" t="s">
        <v>78</v>
      </c>
      <c r="B378" s="30" t="s">
        <v>79</v>
      </c>
      <c r="C378" s="31" t="s">
        <v>61</v>
      </c>
      <c r="D378" s="31"/>
      <c r="E378" s="30" t="s">
        <v>24</v>
      </c>
      <c r="F378" s="30" t="n">
        <v>4948</v>
      </c>
      <c r="G378" s="32" t="n">
        <v>46169</v>
      </c>
      <c r="H378" s="32" t="n">
        <f aca="false">+G378+30</f>
        <v>46199</v>
      </c>
      <c r="I378" s="32"/>
      <c r="J378" s="33" t="n">
        <v>51009659</v>
      </c>
      <c r="K378" s="33"/>
      <c r="L378" s="33" t="n">
        <f aca="false">+J378/1.19</f>
        <v>42865259.6638656</v>
      </c>
      <c r="M378" s="33" t="n">
        <f aca="false">+L378*19%</f>
        <v>8144399.33613446</v>
      </c>
      <c r="N378" s="30" t="s">
        <v>159</v>
      </c>
      <c r="O378" s="34" t="n">
        <v>2026</v>
      </c>
      <c r="P378" s="35" t="n">
        <f aca="false">+J378</f>
        <v>51009659</v>
      </c>
      <c r="Q378" s="33" t="n">
        <f aca="false">+J378-P378</f>
        <v>0</v>
      </c>
      <c r="R378" s="36" t="str">
        <f aca="false">IF(J378-P378=0,"PAGADA","PENDIENTE")</f>
        <v>PAGADA</v>
      </c>
      <c r="S378" s="30" t="s">
        <v>172</v>
      </c>
      <c r="T378" s="30"/>
      <c r="U378" s="30"/>
      <c r="V378" s="30"/>
      <c r="W378" s="30"/>
      <c r="X378" s="30"/>
    </row>
    <row r="379" s="8" customFormat="true" ht="13.5" hidden="false" customHeight="false" outlineLevel="0" collapsed="false">
      <c r="A379" s="16" t="s">
        <v>78</v>
      </c>
      <c r="B379" s="16" t="s">
        <v>79</v>
      </c>
      <c r="C379" s="17"/>
      <c r="D379" s="17"/>
      <c r="E379" s="16" t="s">
        <v>24</v>
      </c>
      <c r="F379" s="16" t="n">
        <v>4949</v>
      </c>
      <c r="G379" s="18" t="n">
        <v>46169</v>
      </c>
      <c r="H379" s="18" t="n">
        <f aca="false">+G379+30</f>
        <v>46199</v>
      </c>
      <c r="I379" s="18"/>
      <c r="J379" s="19" t="n">
        <v>1487500</v>
      </c>
      <c r="K379" s="19"/>
      <c r="L379" s="19" t="n">
        <f aca="false">+J379/1.19</f>
        <v>1250000</v>
      </c>
      <c r="M379" s="19" t="n">
        <f aca="false">+L379*19%</f>
        <v>237500</v>
      </c>
      <c r="N379" s="16" t="s">
        <v>159</v>
      </c>
      <c r="O379" s="20" t="n">
        <v>2026</v>
      </c>
      <c r="P379" s="21"/>
      <c r="Q379" s="19" t="n">
        <f aca="false">+J379-P379</f>
        <v>1487500</v>
      </c>
      <c r="R379" s="22" t="str">
        <f aca="false">IF(J379-P379=0,"PAGADA","PENDIENTE")</f>
        <v>PENDIENTE</v>
      </c>
      <c r="S379" s="16"/>
      <c r="T379" s="16"/>
      <c r="U379" s="16"/>
      <c r="V379" s="16"/>
      <c r="W379" s="16"/>
      <c r="X379" s="16"/>
    </row>
    <row r="380" s="8" customFormat="true" ht="13.5" hidden="false" customHeight="false" outlineLevel="0" collapsed="false">
      <c r="A380" s="16" t="s">
        <v>88</v>
      </c>
      <c r="B380" s="16" t="s">
        <v>89</v>
      </c>
      <c r="C380" s="17"/>
      <c r="D380" s="17"/>
      <c r="E380" s="16" t="s">
        <v>24</v>
      </c>
      <c r="F380" s="16" t="n">
        <v>4950</v>
      </c>
      <c r="G380" s="18" t="n">
        <v>46169</v>
      </c>
      <c r="H380" s="18" t="n">
        <f aca="false">+G380+30</f>
        <v>46199</v>
      </c>
      <c r="I380" s="18"/>
      <c r="J380" s="19" t="n">
        <v>5737693</v>
      </c>
      <c r="K380" s="19"/>
      <c r="L380" s="19" t="n">
        <f aca="false">+J380/1.19</f>
        <v>4821590.75630252</v>
      </c>
      <c r="M380" s="19" t="n">
        <f aca="false">+L380*19%</f>
        <v>916102.243697479</v>
      </c>
      <c r="N380" s="16" t="s">
        <v>159</v>
      </c>
      <c r="O380" s="20" t="n">
        <v>2026</v>
      </c>
      <c r="P380" s="21"/>
      <c r="Q380" s="19" t="n">
        <f aca="false">+J380-P380</f>
        <v>5737693</v>
      </c>
      <c r="R380" s="22" t="str">
        <f aca="false">IF(J380-P380=0,"PAGADA","PENDIENTE")</f>
        <v>PENDIENTE</v>
      </c>
      <c r="S380" s="16"/>
      <c r="T380" s="16"/>
      <c r="U380" s="16"/>
      <c r="V380" s="16"/>
      <c r="W380" s="16"/>
      <c r="X380" s="16"/>
    </row>
    <row r="381" s="8" customFormat="true" ht="13.5" hidden="false" customHeight="false" outlineLevel="0" collapsed="false">
      <c r="A381" s="16" t="s">
        <v>92</v>
      </c>
      <c r="B381" s="16" t="s">
        <v>139</v>
      </c>
      <c r="C381" s="17"/>
      <c r="D381" s="17"/>
      <c r="E381" s="16" t="s">
        <v>24</v>
      </c>
      <c r="F381" s="16" t="n">
        <v>4951</v>
      </c>
      <c r="G381" s="18" t="n">
        <v>46169</v>
      </c>
      <c r="H381" s="18" t="n">
        <f aca="false">+G381+30</f>
        <v>46199</v>
      </c>
      <c r="I381" s="18"/>
      <c r="J381" s="19" t="n">
        <v>238000</v>
      </c>
      <c r="K381" s="19"/>
      <c r="L381" s="19" t="n">
        <f aca="false">+J381/1.19</f>
        <v>200000</v>
      </c>
      <c r="M381" s="19" t="n">
        <f aca="false">+L381*19%</f>
        <v>38000</v>
      </c>
      <c r="N381" s="16" t="s">
        <v>159</v>
      </c>
      <c r="O381" s="20" t="n">
        <v>2026</v>
      </c>
      <c r="P381" s="21"/>
      <c r="Q381" s="19" t="n">
        <f aca="false">+J381-P381</f>
        <v>238000</v>
      </c>
      <c r="R381" s="22" t="str">
        <f aca="false">IF(J381-P381=0,"PAGADA","PENDIENTE")</f>
        <v>PENDIENTE</v>
      </c>
      <c r="S381" s="16"/>
      <c r="T381" s="16"/>
      <c r="U381" s="16"/>
      <c r="V381" s="16"/>
      <c r="W381" s="16"/>
      <c r="X381" s="16"/>
    </row>
    <row r="382" s="8" customFormat="true" ht="13.5" hidden="false" customHeight="false" outlineLevel="0" collapsed="false">
      <c r="A382" s="16" t="s">
        <v>92</v>
      </c>
      <c r="B382" s="16" t="s">
        <v>139</v>
      </c>
      <c r="C382" s="17"/>
      <c r="D382" s="17"/>
      <c r="E382" s="16" t="s">
        <v>24</v>
      </c>
      <c r="F382" s="16" t="n">
        <v>4952</v>
      </c>
      <c r="G382" s="18" t="n">
        <v>46169</v>
      </c>
      <c r="H382" s="18" t="n">
        <f aca="false">+G382+30</f>
        <v>46199</v>
      </c>
      <c r="I382" s="18"/>
      <c r="J382" s="19" t="n">
        <v>390000</v>
      </c>
      <c r="K382" s="19"/>
      <c r="L382" s="19" t="n">
        <f aca="false">+J382/1.19</f>
        <v>327731.092436975</v>
      </c>
      <c r="M382" s="19" t="n">
        <f aca="false">+L382*19%</f>
        <v>62268.9075630252</v>
      </c>
      <c r="N382" s="16" t="s">
        <v>159</v>
      </c>
      <c r="O382" s="20" t="n">
        <v>2026</v>
      </c>
      <c r="P382" s="21"/>
      <c r="Q382" s="19" t="n">
        <f aca="false">+J382-P382</f>
        <v>390000</v>
      </c>
      <c r="R382" s="22" t="str">
        <f aca="false">IF(J382-P382=0,"PAGADA","PENDIENTE")</f>
        <v>PENDIENTE</v>
      </c>
      <c r="S382" s="16"/>
      <c r="T382" s="16"/>
      <c r="U382" s="16"/>
      <c r="V382" s="16"/>
      <c r="W382" s="16"/>
      <c r="X382" s="16"/>
    </row>
    <row r="383" s="8" customFormat="true" ht="13.5" hidden="false" customHeight="false" outlineLevel="0" collapsed="false">
      <c r="A383" s="16" t="s">
        <v>92</v>
      </c>
      <c r="B383" s="16" t="s">
        <v>139</v>
      </c>
      <c r="C383" s="17"/>
      <c r="D383" s="17"/>
      <c r="E383" s="16" t="s">
        <v>24</v>
      </c>
      <c r="F383" s="16" t="n">
        <v>4953</v>
      </c>
      <c r="G383" s="18" t="n">
        <v>46169</v>
      </c>
      <c r="H383" s="18" t="n">
        <f aca="false">+G383+30</f>
        <v>46199</v>
      </c>
      <c r="I383" s="18"/>
      <c r="J383" s="19" t="n">
        <v>745505</v>
      </c>
      <c r="K383" s="19"/>
      <c r="L383" s="19" t="n">
        <f aca="false">+J383/1.19</f>
        <v>626474.789915967</v>
      </c>
      <c r="M383" s="19" t="n">
        <f aca="false">+L383*19%</f>
        <v>119030.210084034</v>
      </c>
      <c r="N383" s="16" t="s">
        <v>159</v>
      </c>
      <c r="O383" s="20" t="n">
        <v>2026</v>
      </c>
      <c r="P383" s="21"/>
      <c r="Q383" s="19" t="n">
        <f aca="false">+J383-P383</f>
        <v>745505</v>
      </c>
      <c r="R383" s="22" t="str">
        <f aca="false">IF(J383-P383=0,"PAGADA","PENDIENTE")</f>
        <v>PENDIENTE</v>
      </c>
      <c r="S383" s="16"/>
      <c r="T383" s="16"/>
      <c r="U383" s="16"/>
      <c r="V383" s="16"/>
      <c r="W383" s="16"/>
      <c r="X383" s="16"/>
    </row>
    <row r="384" s="8" customFormat="true" ht="13.5" hidden="false" customHeight="false" outlineLevel="0" collapsed="false">
      <c r="A384" s="16" t="s">
        <v>92</v>
      </c>
      <c r="B384" s="16" t="s">
        <v>139</v>
      </c>
      <c r="C384" s="17"/>
      <c r="D384" s="17"/>
      <c r="E384" s="16" t="s">
        <v>24</v>
      </c>
      <c r="F384" s="16" t="n">
        <v>4954</v>
      </c>
      <c r="G384" s="18" t="n">
        <v>46169</v>
      </c>
      <c r="H384" s="18" t="n">
        <f aca="false">+G384+30</f>
        <v>46199</v>
      </c>
      <c r="I384" s="18"/>
      <c r="J384" s="19" t="n">
        <v>238000</v>
      </c>
      <c r="K384" s="19"/>
      <c r="L384" s="19" t="n">
        <f aca="false">+J384/1.19</f>
        <v>200000</v>
      </c>
      <c r="M384" s="19" t="n">
        <f aca="false">+L384*19%</f>
        <v>38000</v>
      </c>
      <c r="N384" s="16" t="s">
        <v>159</v>
      </c>
      <c r="O384" s="20" t="n">
        <v>2026</v>
      </c>
      <c r="P384" s="21"/>
      <c r="Q384" s="19" t="n">
        <f aca="false">+J384-P384</f>
        <v>238000</v>
      </c>
      <c r="R384" s="22" t="str">
        <f aca="false">IF(J384-P384=0,"PAGADA","PENDIENTE")</f>
        <v>PENDIENTE</v>
      </c>
      <c r="S384" s="16"/>
      <c r="T384" s="16"/>
      <c r="U384" s="16"/>
      <c r="V384" s="16"/>
      <c r="W384" s="16"/>
      <c r="X384" s="16"/>
    </row>
    <row r="385" s="8" customFormat="true" ht="13.5" hidden="false" customHeight="false" outlineLevel="0" collapsed="false">
      <c r="A385" s="16" t="s">
        <v>92</v>
      </c>
      <c r="B385" s="16" t="s">
        <v>139</v>
      </c>
      <c r="C385" s="17"/>
      <c r="D385" s="17"/>
      <c r="E385" s="16" t="s">
        <v>24</v>
      </c>
      <c r="F385" s="16" t="n">
        <v>4955</v>
      </c>
      <c r="G385" s="18" t="n">
        <v>46169</v>
      </c>
      <c r="H385" s="18" t="n">
        <f aca="false">+G385+30</f>
        <v>46199</v>
      </c>
      <c r="I385" s="18"/>
      <c r="J385" s="19" t="n">
        <v>606107</v>
      </c>
      <c r="K385" s="19"/>
      <c r="L385" s="19" t="n">
        <f aca="false">+J385/1.19</f>
        <v>509333.613445378</v>
      </c>
      <c r="M385" s="19" t="n">
        <f aca="false">+L385*19%</f>
        <v>96773.3865546219</v>
      </c>
      <c r="N385" s="16" t="s">
        <v>159</v>
      </c>
      <c r="O385" s="20" t="n">
        <v>2026</v>
      </c>
      <c r="P385" s="21"/>
      <c r="Q385" s="19" t="n">
        <f aca="false">+J385-P385</f>
        <v>606107</v>
      </c>
      <c r="R385" s="22" t="str">
        <f aca="false">IF(J385-P385=0,"PAGADA","PENDIENTE")</f>
        <v>PENDIENTE</v>
      </c>
      <c r="S385" s="16"/>
      <c r="T385" s="16"/>
      <c r="U385" s="16"/>
      <c r="V385" s="16"/>
      <c r="W385" s="16"/>
      <c r="X385" s="16"/>
    </row>
    <row r="386" s="8" customFormat="true" ht="13.5" hidden="false" customHeight="false" outlineLevel="0" collapsed="false">
      <c r="A386" s="16" t="s">
        <v>173</v>
      </c>
      <c r="B386" s="16" t="s">
        <v>95</v>
      </c>
      <c r="C386" s="17"/>
      <c r="D386" s="17"/>
      <c r="E386" s="16" t="s">
        <v>24</v>
      </c>
      <c r="F386" s="16" t="n">
        <v>4956</v>
      </c>
      <c r="G386" s="18" t="n">
        <v>46169</v>
      </c>
      <c r="H386" s="18" t="n">
        <f aca="false">+G386+30</f>
        <v>46199</v>
      </c>
      <c r="I386" s="18"/>
      <c r="J386" s="19" t="n">
        <v>3010700</v>
      </c>
      <c r="K386" s="19"/>
      <c r="L386" s="19" t="n">
        <f aca="false">+J386/1.19</f>
        <v>2530000</v>
      </c>
      <c r="M386" s="19" t="n">
        <f aca="false">+L386*19%</f>
        <v>480700</v>
      </c>
      <c r="N386" s="16" t="s">
        <v>159</v>
      </c>
      <c r="O386" s="20" t="n">
        <v>2026</v>
      </c>
      <c r="P386" s="21" t="n">
        <f aca="false">+J386</f>
        <v>3010700</v>
      </c>
      <c r="Q386" s="19" t="n">
        <f aca="false">+J386-P386</f>
        <v>0</v>
      </c>
      <c r="R386" s="22" t="str">
        <f aca="false">IF(J386-P386=0,"PAGADA","PENDIENTE")</f>
        <v>PAGADA</v>
      </c>
      <c r="S386" s="18" t="n">
        <v>46154</v>
      </c>
      <c r="T386" s="16"/>
      <c r="U386" s="16"/>
      <c r="V386" s="16"/>
      <c r="W386" s="16"/>
      <c r="X386" s="16"/>
    </row>
    <row r="387" s="8" customFormat="true" ht="13.5" hidden="false" customHeight="false" outlineLevel="0" collapsed="false">
      <c r="A387" s="16" t="s">
        <v>173</v>
      </c>
      <c r="B387" s="16" t="s">
        <v>95</v>
      </c>
      <c r="C387" s="17"/>
      <c r="D387" s="17"/>
      <c r="E387" s="16" t="s">
        <v>24</v>
      </c>
      <c r="F387" s="16" t="n">
        <v>4957</v>
      </c>
      <c r="G387" s="18" t="n">
        <v>46169</v>
      </c>
      <c r="H387" s="18" t="n">
        <f aca="false">+G387+30</f>
        <v>46199</v>
      </c>
      <c r="I387" s="18"/>
      <c r="J387" s="19" t="n">
        <v>1454786</v>
      </c>
      <c r="K387" s="19"/>
      <c r="L387" s="19" t="n">
        <f aca="false">+J387/1.19</f>
        <v>1222509.24369748</v>
      </c>
      <c r="M387" s="19" t="n">
        <f aca="false">+L387*19%</f>
        <v>232276.756302521</v>
      </c>
      <c r="N387" s="16" t="s">
        <v>159</v>
      </c>
      <c r="O387" s="20" t="n">
        <v>2026</v>
      </c>
      <c r="P387" s="21" t="n">
        <f aca="false">+J387</f>
        <v>1454786</v>
      </c>
      <c r="Q387" s="19" t="n">
        <f aca="false">+J387-P387</f>
        <v>0</v>
      </c>
      <c r="R387" s="22" t="str">
        <f aca="false">IF(J387-P387=0,"PAGADA","PENDIENTE")</f>
        <v>PAGADA</v>
      </c>
      <c r="S387" s="18" t="n">
        <v>46195</v>
      </c>
      <c r="T387" s="16"/>
      <c r="U387" s="16"/>
      <c r="V387" s="16"/>
      <c r="W387" s="16"/>
      <c r="X387" s="16"/>
    </row>
    <row r="388" s="8" customFormat="true" ht="13.5" hidden="false" customHeight="false" outlineLevel="0" collapsed="false">
      <c r="A388" s="16" t="s">
        <v>64</v>
      </c>
      <c r="B388" s="16" t="s">
        <v>65</v>
      </c>
      <c r="C388" s="17"/>
      <c r="D388" s="17"/>
      <c r="E388" s="16" t="s">
        <v>24</v>
      </c>
      <c r="F388" s="16" t="n">
        <v>4958</v>
      </c>
      <c r="G388" s="18" t="n">
        <v>46171</v>
      </c>
      <c r="H388" s="18" t="n">
        <f aca="false">+G388+30</f>
        <v>46201</v>
      </c>
      <c r="I388" s="18"/>
      <c r="J388" s="19" t="n">
        <v>15708000</v>
      </c>
      <c r="K388" s="19"/>
      <c r="L388" s="19" t="n">
        <f aca="false">+J388/1.19</f>
        <v>13200000</v>
      </c>
      <c r="M388" s="19" t="n">
        <f aca="false">+L388*19%</f>
        <v>2508000</v>
      </c>
      <c r="N388" s="16" t="s">
        <v>159</v>
      </c>
      <c r="O388" s="20" t="n">
        <v>2026</v>
      </c>
      <c r="P388" s="21"/>
      <c r="Q388" s="19" t="n">
        <f aca="false">+J388-P388</f>
        <v>15708000</v>
      </c>
      <c r="R388" s="22" t="str">
        <f aca="false">IF(J388-P388=0,"PAGADA","PENDIENTE")</f>
        <v>PENDIENTE</v>
      </c>
      <c r="S388" s="16"/>
      <c r="T388" s="16"/>
      <c r="U388" s="16"/>
      <c r="V388" s="16"/>
      <c r="W388" s="16"/>
      <c r="X388" s="16"/>
    </row>
    <row r="389" s="8" customFormat="true" ht="13.5" hidden="false" customHeight="false" outlineLevel="0" collapsed="false">
      <c r="A389" s="16" t="s">
        <v>59</v>
      </c>
      <c r="B389" s="16" t="s">
        <v>60</v>
      </c>
      <c r="C389" s="17"/>
      <c r="D389" s="17"/>
      <c r="E389" s="16" t="s">
        <v>24</v>
      </c>
      <c r="F389" s="16" t="n">
        <v>4959</v>
      </c>
      <c r="G389" s="18" t="n">
        <v>46174</v>
      </c>
      <c r="H389" s="18" t="n">
        <f aca="false">+G389+30</f>
        <v>46204</v>
      </c>
      <c r="I389" s="18"/>
      <c r="J389" s="19" t="n">
        <v>20209394</v>
      </c>
      <c r="K389" s="19"/>
      <c r="L389" s="19" t="n">
        <f aca="false">+J389/1.19</f>
        <v>16982684.0336134</v>
      </c>
      <c r="M389" s="19" t="n">
        <f aca="false">+L389*19%</f>
        <v>3226709.96638655</v>
      </c>
      <c r="N389" s="16" t="s">
        <v>174</v>
      </c>
      <c r="O389" s="20" t="n">
        <v>2026</v>
      </c>
      <c r="P389" s="21"/>
      <c r="Q389" s="19" t="n">
        <f aca="false">+J389-P389</f>
        <v>20209394</v>
      </c>
      <c r="R389" s="22" t="str">
        <f aca="false">IF(J389-P389=0,"PAGADA","PENDIENTE")</f>
        <v>PENDIENTE</v>
      </c>
      <c r="S389" s="16"/>
      <c r="T389" s="16"/>
      <c r="U389" s="16"/>
      <c r="V389" s="16"/>
      <c r="W389" s="16"/>
      <c r="X389" s="16"/>
    </row>
    <row r="390" s="8" customFormat="true" ht="13.5" hidden="false" customHeight="false" outlineLevel="0" collapsed="false">
      <c r="A390" s="16" t="s">
        <v>59</v>
      </c>
      <c r="B390" s="16" t="s">
        <v>60</v>
      </c>
      <c r="C390" s="17"/>
      <c r="D390" s="17"/>
      <c r="E390" s="16" t="s">
        <v>24</v>
      </c>
      <c r="F390" s="16" t="n">
        <v>4960</v>
      </c>
      <c r="G390" s="18" t="n">
        <v>46174</v>
      </c>
      <c r="H390" s="18" t="n">
        <f aca="false">+G390+30</f>
        <v>46204</v>
      </c>
      <c r="I390" s="18"/>
      <c r="J390" s="19" t="n">
        <v>2142000</v>
      </c>
      <c r="K390" s="19"/>
      <c r="L390" s="19" t="n">
        <f aca="false">+J390/1.19</f>
        <v>1800000</v>
      </c>
      <c r="M390" s="19" t="n">
        <f aca="false">+L390*19%</f>
        <v>342000</v>
      </c>
      <c r="N390" s="16" t="s">
        <v>174</v>
      </c>
      <c r="O390" s="20" t="n">
        <v>2026</v>
      </c>
      <c r="P390" s="21"/>
      <c r="Q390" s="19" t="n">
        <f aca="false">+J390-P390</f>
        <v>2142000</v>
      </c>
      <c r="R390" s="22" t="str">
        <f aca="false">IF(J390-P390=0,"PAGADA","PENDIENTE")</f>
        <v>PENDIENTE</v>
      </c>
      <c r="S390" s="16"/>
      <c r="T390" s="16"/>
      <c r="U390" s="16"/>
      <c r="V390" s="16"/>
      <c r="W390" s="16"/>
      <c r="X390" s="16"/>
    </row>
    <row r="391" s="8" customFormat="true" ht="13.5" hidden="false" customHeight="false" outlineLevel="0" collapsed="false">
      <c r="A391" s="16" t="s">
        <v>59</v>
      </c>
      <c r="B391" s="16" t="s">
        <v>60</v>
      </c>
      <c r="C391" s="17"/>
      <c r="D391" s="17"/>
      <c r="E391" s="16" t="s">
        <v>24</v>
      </c>
      <c r="F391" s="16" t="n">
        <v>4961</v>
      </c>
      <c r="G391" s="18" t="n">
        <v>46174</v>
      </c>
      <c r="H391" s="18" t="n">
        <f aca="false">+G391+30</f>
        <v>46204</v>
      </c>
      <c r="I391" s="18"/>
      <c r="J391" s="19" t="n">
        <v>16818475</v>
      </c>
      <c r="K391" s="19"/>
      <c r="L391" s="19" t="n">
        <f aca="false">+J391/1.19</f>
        <v>14133172.2689076</v>
      </c>
      <c r="M391" s="19" t="n">
        <f aca="false">+L391*19%</f>
        <v>2685302.73109244</v>
      </c>
      <c r="N391" s="16" t="s">
        <v>174</v>
      </c>
      <c r="O391" s="20" t="n">
        <v>2026</v>
      </c>
      <c r="P391" s="21"/>
      <c r="Q391" s="19" t="n">
        <f aca="false">+J391-P391</f>
        <v>16818475</v>
      </c>
      <c r="R391" s="22" t="str">
        <f aca="false">IF(J391-P391=0,"PAGADA","PENDIENTE")</f>
        <v>PENDIENTE</v>
      </c>
      <c r="S391" s="16"/>
      <c r="T391" s="16"/>
      <c r="U391" s="16"/>
      <c r="V391" s="16"/>
      <c r="W391" s="16"/>
      <c r="X391" s="16"/>
    </row>
    <row r="392" s="8" customFormat="true" ht="13.5" hidden="false" customHeight="false" outlineLevel="0" collapsed="false">
      <c r="A392" s="16" t="s">
        <v>59</v>
      </c>
      <c r="B392" s="16" t="s">
        <v>60</v>
      </c>
      <c r="C392" s="17"/>
      <c r="D392" s="17"/>
      <c r="E392" s="16" t="s">
        <v>24</v>
      </c>
      <c r="F392" s="16" t="n">
        <v>4962</v>
      </c>
      <c r="G392" s="18" t="n">
        <v>46174</v>
      </c>
      <c r="H392" s="18" t="n">
        <f aca="false">+G392+30</f>
        <v>46204</v>
      </c>
      <c r="I392" s="18"/>
      <c r="J392" s="19" t="n">
        <v>10379180</v>
      </c>
      <c r="K392" s="19"/>
      <c r="L392" s="19" t="n">
        <f aca="false">+J392/1.19</f>
        <v>8722000</v>
      </c>
      <c r="M392" s="19" t="n">
        <f aca="false">+L392*19%</f>
        <v>1657180</v>
      </c>
      <c r="N392" s="16" t="s">
        <v>174</v>
      </c>
      <c r="O392" s="20" t="n">
        <v>2026</v>
      </c>
      <c r="P392" s="21"/>
      <c r="Q392" s="19" t="n">
        <f aca="false">+J392-P392</f>
        <v>10379180</v>
      </c>
      <c r="R392" s="22" t="str">
        <f aca="false">IF(J392-P392=0,"PAGADA","PENDIENTE")</f>
        <v>PENDIENTE</v>
      </c>
      <c r="S392" s="16"/>
      <c r="T392" s="16"/>
      <c r="U392" s="16"/>
      <c r="V392" s="16"/>
      <c r="W392" s="16"/>
      <c r="X392" s="16"/>
    </row>
    <row r="393" s="8" customFormat="true" ht="13.5" hidden="false" customHeight="false" outlineLevel="0" collapsed="false">
      <c r="A393" s="16" t="s">
        <v>166</v>
      </c>
      <c r="B393" s="16" t="s">
        <v>167</v>
      </c>
      <c r="C393" s="17"/>
      <c r="D393" s="17"/>
      <c r="E393" s="16" t="s">
        <v>24</v>
      </c>
      <c r="F393" s="16" t="n">
        <v>4963</v>
      </c>
      <c r="G393" s="18" t="n">
        <v>46174</v>
      </c>
      <c r="H393" s="18" t="n">
        <f aca="false">+G393+30</f>
        <v>46204</v>
      </c>
      <c r="I393" s="18"/>
      <c r="J393" s="19" t="n">
        <v>1135678</v>
      </c>
      <c r="K393" s="19"/>
      <c r="L393" s="19" t="n">
        <f aca="false">+J393/1.19</f>
        <v>954351.260504202</v>
      </c>
      <c r="M393" s="19" t="n">
        <f aca="false">+L393*19%</f>
        <v>181326.739495798</v>
      </c>
      <c r="N393" s="16" t="s">
        <v>174</v>
      </c>
      <c r="O393" s="20" t="n">
        <v>2026</v>
      </c>
      <c r="P393" s="21"/>
      <c r="Q393" s="19" t="n">
        <f aca="false">+J393-P393</f>
        <v>1135678</v>
      </c>
      <c r="R393" s="22" t="str">
        <f aca="false">IF(J393-P393=0,"PAGADA","PENDIENTE")</f>
        <v>PENDIENTE</v>
      </c>
      <c r="S393" s="16"/>
      <c r="T393" s="16"/>
      <c r="U393" s="16"/>
      <c r="V393" s="16"/>
      <c r="W393" s="16"/>
      <c r="X393" s="16"/>
    </row>
    <row r="394" s="8" customFormat="true" ht="13.5" hidden="false" customHeight="false" outlineLevel="0" collapsed="false">
      <c r="A394" s="16" t="s">
        <v>175</v>
      </c>
      <c r="B394" s="16" t="s">
        <v>176</v>
      </c>
      <c r="C394" s="17"/>
      <c r="D394" s="17"/>
      <c r="E394" s="16" t="s">
        <v>24</v>
      </c>
      <c r="F394" s="16" t="n">
        <v>4964</v>
      </c>
      <c r="G394" s="18" t="n">
        <v>46175</v>
      </c>
      <c r="H394" s="18" t="n">
        <f aca="false">+G394+30</f>
        <v>46205</v>
      </c>
      <c r="I394" s="18"/>
      <c r="J394" s="19" t="n">
        <v>1619433</v>
      </c>
      <c r="K394" s="19"/>
      <c r="L394" s="19" t="n">
        <f aca="false">+J394/1.19</f>
        <v>1360868.06722689</v>
      </c>
      <c r="M394" s="19" t="n">
        <f aca="false">+L394*19%</f>
        <v>258564.932773109</v>
      </c>
      <c r="N394" s="16" t="s">
        <v>174</v>
      </c>
      <c r="O394" s="20" t="n">
        <v>2026</v>
      </c>
      <c r="P394" s="21"/>
      <c r="Q394" s="19" t="n">
        <f aca="false">+J394-P394</f>
        <v>1619433</v>
      </c>
      <c r="R394" s="22" t="str">
        <f aca="false">IF(J394-P394=0,"PAGADA","PENDIENTE")</f>
        <v>PENDIENTE</v>
      </c>
      <c r="S394" s="16"/>
      <c r="T394" s="16"/>
      <c r="U394" s="16"/>
      <c r="V394" s="16"/>
      <c r="W394" s="16"/>
      <c r="X394" s="16"/>
    </row>
    <row r="395" s="8" customFormat="true" ht="13.5" hidden="false" customHeight="false" outlineLevel="0" collapsed="false">
      <c r="A395" s="16" t="s">
        <v>64</v>
      </c>
      <c r="B395" s="16" t="s">
        <v>65</v>
      </c>
      <c r="C395" s="17"/>
      <c r="D395" s="17"/>
      <c r="E395" s="16" t="s">
        <v>24</v>
      </c>
      <c r="F395" s="16" t="n">
        <v>4965</v>
      </c>
      <c r="G395" s="18" t="n">
        <v>46176</v>
      </c>
      <c r="H395" s="18" t="n">
        <f aca="false">+G395+30</f>
        <v>46206</v>
      </c>
      <c r="I395" s="18"/>
      <c r="J395" s="19" t="n">
        <v>48323401</v>
      </c>
      <c r="K395" s="19"/>
      <c r="L395" s="19" t="n">
        <f aca="false">+J395/1.19</f>
        <v>40607900</v>
      </c>
      <c r="M395" s="19" t="n">
        <f aca="false">+L395*19%</f>
        <v>7715501</v>
      </c>
      <c r="N395" s="16" t="s">
        <v>174</v>
      </c>
      <c r="O395" s="20" t="n">
        <v>2026</v>
      </c>
      <c r="P395" s="21"/>
      <c r="Q395" s="19" t="n">
        <f aca="false">+J395-P395</f>
        <v>48323401</v>
      </c>
      <c r="R395" s="22" t="str">
        <f aca="false">IF(J395-P395=0,"PAGADA","PENDIENTE")</f>
        <v>PENDIENTE</v>
      </c>
      <c r="S395" s="16"/>
      <c r="T395" s="16"/>
      <c r="U395" s="16"/>
      <c r="V395" s="16"/>
      <c r="W395" s="16"/>
      <c r="X395" s="16"/>
    </row>
    <row r="396" s="8" customFormat="true" ht="13.5" hidden="false" customHeight="false" outlineLevel="0" collapsed="false">
      <c r="A396" s="16" t="s">
        <v>30</v>
      </c>
      <c r="B396" s="16" t="s">
        <v>31</v>
      </c>
      <c r="C396" s="17"/>
      <c r="D396" s="17"/>
      <c r="E396" s="16" t="s">
        <v>24</v>
      </c>
      <c r="F396" s="16" t="n">
        <v>4966</v>
      </c>
      <c r="G396" s="18" t="n">
        <v>46177</v>
      </c>
      <c r="H396" s="18" t="n">
        <f aca="false">+G396+30</f>
        <v>46207</v>
      </c>
      <c r="I396" s="18"/>
      <c r="J396" s="19" t="n">
        <v>952000</v>
      </c>
      <c r="K396" s="19"/>
      <c r="L396" s="19" t="n">
        <f aca="false">+J396/1.19</f>
        <v>800000</v>
      </c>
      <c r="M396" s="19" t="n">
        <f aca="false">+L396*19%</f>
        <v>152000</v>
      </c>
      <c r="N396" s="16" t="s">
        <v>174</v>
      </c>
      <c r="O396" s="20" t="n">
        <v>2026</v>
      </c>
      <c r="P396" s="21"/>
      <c r="Q396" s="19" t="n">
        <f aca="false">+J396-P396</f>
        <v>952000</v>
      </c>
      <c r="R396" s="22" t="str">
        <f aca="false">IF(J396-P396=0,"PAGADA","PENDIENTE")</f>
        <v>PENDIENTE</v>
      </c>
      <c r="S396" s="16"/>
      <c r="T396" s="16"/>
      <c r="U396" s="16"/>
      <c r="V396" s="16"/>
      <c r="W396" s="16"/>
      <c r="X396" s="16"/>
    </row>
    <row r="397" s="8" customFormat="true" ht="13.5" hidden="false" customHeight="false" outlineLevel="0" collapsed="false">
      <c r="A397" s="16" t="s">
        <v>26</v>
      </c>
      <c r="B397" s="16" t="s">
        <v>27</v>
      </c>
      <c r="C397" s="17"/>
      <c r="D397" s="17"/>
      <c r="E397" s="16" t="s">
        <v>24</v>
      </c>
      <c r="F397" s="16" t="n">
        <v>4967</v>
      </c>
      <c r="G397" s="18" t="n">
        <v>46183</v>
      </c>
      <c r="H397" s="18" t="n">
        <f aca="false">+G397+30</f>
        <v>46213</v>
      </c>
      <c r="I397" s="18"/>
      <c r="J397" s="19" t="n">
        <v>21040057</v>
      </c>
      <c r="K397" s="19"/>
      <c r="L397" s="19" t="n">
        <f aca="false">+J397/1.19</f>
        <v>17680720.1680672</v>
      </c>
      <c r="M397" s="19" t="n">
        <f aca="false">+L397*19%</f>
        <v>3359336.83193277</v>
      </c>
      <c r="N397" s="16" t="s">
        <v>174</v>
      </c>
      <c r="O397" s="20" t="n">
        <v>2026</v>
      </c>
      <c r="P397" s="21"/>
      <c r="Q397" s="19" t="n">
        <f aca="false">+J397-P397</f>
        <v>21040057</v>
      </c>
      <c r="R397" s="22" t="str">
        <f aca="false">IF(J397-P397=0,"PAGADA","PENDIENTE")</f>
        <v>PENDIENTE</v>
      </c>
      <c r="S397" s="16"/>
      <c r="T397" s="16"/>
      <c r="U397" s="16"/>
      <c r="V397" s="16"/>
      <c r="W397" s="16"/>
      <c r="X397" s="16"/>
    </row>
    <row r="398" s="8" customFormat="true" ht="13.5" hidden="false" customHeight="false" outlineLevel="0" collapsed="false">
      <c r="A398" s="16" t="s">
        <v>26</v>
      </c>
      <c r="B398" s="16" t="s">
        <v>27</v>
      </c>
      <c r="C398" s="17"/>
      <c r="D398" s="17"/>
      <c r="E398" s="16" t="s">
        <v>24</v>
      </c>
      <c r="F398" s="16" t="n">
        <v>4968</v>
      </c>
      <c r="G398" s="18" t="n">
        <v>46183</v>
      </c>
      <c r="H398" s="18" t="n">
        <f aca="false">+G398+30</f>
        <v>46213</v>
      </c>
      <c r="I398" s="18"/>
      <c r="J398" s="19" t="n">
        <v>4224500</v>
      </c>
      <c r="K398" s="19"/>
      <c r="L398" s="19" t="n">
        <f aca="false">+J398/1.19</f>
        <v>3550000</v>
      </c>
      <c r="M398" s="19" t="n">
        <f aca="false">+L398*19%</f>
        <v>674500</v>
      </c>
      <c r="N398" s="16" t="s">
        <v>174</v>
      </c>
      <c r="O398" s="20" t="n">
        <v>2026</v>
      </c>
      <c r="P398" s="21"/>
      <c r="Q398" s="19" t="n">
        <f aca="false">+J398-P398</f>
        <v>4224500</v>
      </c>
      <c r="R398" s="22" t="str">
        <f aca="false">IF(J398-P398=0,"PAGADA","PENDIENTE")</f>
        <v>PENDIENTE</v>
      </c>
      <c r="S398" s="16"/>
      <c r="T398" s="16"/>
      <c r="U398" s="16"/>
      <c r="V398" s="16"/>
      <c r="W398" s="16"/>
      <c r="X398" s="16"/>
    </row>
    <row r="399" s="8" customFormat="true" ht="13.5" hidden="false" customHeight="false" outlineLevel="0" collapsed="false">
      <c r="A399" s="16" t="s">
        <v>26</v>
      </c>
      <c r="B399" s="16" t="s">
        <v>27</v>
      </c>
      <c r="C399" s="17"/>
      <c r="D399" s="17"/>
      <c r="E399" s="16" t="s">
        <v>24</v>
      </c>
      <c r="F399" s="16" t="n">
        <v>4969</v>
      </c>
      <c r="G399" s="18" t="n">
        <v>46183</v>
      </c>
      <c r="H399" s="18" t="n">
        <f aca="false">+G399+30</f>
        <v>46213</v>
      </c>
      <c r="I399" s="18"/>
      <c r="J399" s="19" t="n">
        <v>729903</v>
      </c>
      <c r="K399" s="19"/>
      <c r="L399" s="19" t="n">
        <f aca="false">+J399/1.19</f>
        <v>613363.865546219</v>
      </c>
      <c r="M399" s="19" t="n">
        <f aca="false">+L399*19%</f>
        <v>116539.134453782</v>
      </c>
      <c r="N399" s="16" t="s">
        <v>174</v>
      </c>
      <c r="O399" s="20" t="n">
        <v>2026</v>
      </c>
      <c r="P399" s="21"/>
      <c r="Q399" s="19" t="n">
        <f aca="false">+J399-P399</f>
        <v>729903</v>
      </c>
      <c r="R399" s="22" t="str">
        <f aca="false">IF(J399-P399=0,"PAGADA","PENDIENTE")</f>
        <v>PENDIENTE</v>
      </c>
      <c r="S399" s="16"/>
      <c r="T399" s="16"/>
      <c r="U399" s="16"/>
      <c r="V399" s="16"/>
      <c r="W399" s="16"/>
      <c r="X399" s="16"/>
    </row>
    <row r="400" s="8" customFormat="true" ht="13.5" hidden="false" customHeight="false" outlineLevel="0" collapsed="false">
      <c r="A400" s="16" t="s">
        <v>177</v>
      </c>
      <c r="B400" s="16" t="s">
        <v>178</v>
      </c>
      <c r="C400" s="17"/>
      <c r="D400" s="17"/>
      <c r="E400" s="16" t="s">
        <v>24</v>
      </c>
      <c r="F400" s="16" t="n">
        <v>4970</v>
      </c>
      <c r="G400" s="18" t="n">
        <v>46183</v>
      </c>
      <c r="H400" s="18" t="n">
        <f aca="false">+G400+30</f>
        <v>46213</v>
      </c>
      <c r="I400" s="18"/>
      <c r="J400" s="19" t="n">
        <v>5217912</v>
      </c>
      <c r="K400" s="19"/>
      <c r="L400" s="19" t="n">
        <f aca="false">+J400/1.19</f>
        <v>4384800</v>
      </c>
      <c r="M400" s="19" t="n">
        <f aca="false">+L400*19%</f>
        <v>833112</v>
      </c>
      <c r="N400" s="16" t="s">
        <v>174</v>
      </c>
      <c r="O400" s="20" t="n">
        <v>2026</v>
      </c>
      <c r="P400" s="21" t="n">
        <f aca="false">+J400</f>
        <v>5217912</v>
      </c>
      <c r="Q400" s="19" t="n">
        <f aca="false">+J400-P400</f>
        <v>0</v>
      </c>
      <c r="R400" s="22" t="str">
        <f aca="false">IF(J400-P400=0,"PAGADA","PENDIENTE")</f>
        <v>PAGADA</v>
      </c>
      <c r="S400" s="16" t="s">
        <v>129</v>
      </c>
      <c r="T400" s="16"/>
      <c r="U400" s="16"/>
      <c r="V400" s="16"/>
      <c r="W400" s="16"/>
      <c r="X400" s="16"/>
    </row>
    <row r="401" s="8" customFormat="true" ht="13.5" hidden="false" customHeight="false" outlineLevel="0" collapsed="false">
      <c r="A401" s="16" t="s">
        <v>32</v>
      </c>
      <c r="B401" s="16" t="s">
        <v>33</v>
      </c>
      <c r="C401" s="17"/>
      <c r="D401" s="17"/>
      <c r="E401" s="16" t="s">
        <v>24</v>
      </c>
      <c r="F401" s="16" t="n">
        <v>4971</v>
      </c>
      <c r="G401" s="18" t="n">
        <v>46184</v>
      </c>
      <c r="H401" s="18" t="n">
        <f aca="false">+G401+30</f>
        <v>46214</v>
      </c>
      <c r="I401" s="18"/>
      <c r="J401" s="19" t="n">
        <v>46380</v>
      </c>
      <c r="K401" s="19"/>
      <c r="L401" s="19" t="n">
        <f aca="false">+J401/1.19</f>
        <v>38974.7899159664</v>
      </c>
      <c r="M401" s="19" t="n">
        <f aca="false">+L401*19%</f>
        <v>7405.21008403361</v>
      </c>
      <c r="N401" s="16" t="s">
        <v>174</v>
      </c>
      <c r="O401" s="20" t="n">
        <v>2026</v>
      </c>
      <c r="P401" s="21" t="n">
        <f aca="false">+J401</f>
        <v>46380</v>
      </c>
      <c r="Q401" s="19" t="n">
        <f aca="false">+J401-P401</f>
        <v>0</v>
      </c>
      <c r="R401" s="22" t="str">
        <f aca="false">IF(J401-P401=0,"PAGADA","PENDIENTE")</f>
        <v>PAGADA</v>
      </c>
      <c r="S401" s="16" t="s">
        <v>179</v>
      </c>
      <c r="T401" s="16"/>
      <c r="U401" s="16"/>
      <c r="V401" s="16"/>
      <c r="W401" s="16"/>
      <c r="X401" s="16"/>
    </row>
    <row r="402" s="8" customFormat="true" ht="13.5" hidden="false" customHeight="false" outlineLevel="0" collapsed="false">
      <c r="A402" s="16" t="s">
        <v>32</v>
      </c>
      <c r="B402" s="16" t="s">
        <v>33</v>
      </c>
      <c r="C402" s="17"/>
      <c r="D402" s="17"/>
      <c r="E402" s="16" t="s">
        <v>24</v>
      </c>
      <c r="F402" s="16" t="n">
        <v>4972</v>
      </c>
      <c r="G402" s="18" t="n">
        <v>46184</v>
      </c>
      <c r="H402" s="18" t="n">
        <f aca="false">+G402+30</f>
        <v>46214</v>
      </c>
      <c r="I402" s="18"/>
      <c r="J402" s="19" t="n">
        <v>50091</v>
      </c>
      <c r="K402" s="19"/>
      <c r="L402" s="19" t="n">
        <f aca="false">+J402/1.19</f>
        <v>42093.2773109244</v>
      </c>
      <c r="M402" s="19" t="n">
        <f aca="false">+L402*19%</f>
        <v>7997.72268907563</v>
      </c>
      <c r="N402" s="16" t="s">
        <v>174</v>
      </c>
      <c r="O402" s="20" t="n">
        <v>2026</v>
      </c>
      <c r="P402" s="21"/>
      <c r="Q402" s="19" t="n">
        <f aca="false">+J402-P402</f>
        <v>50091</v>
      </c>
      <c r="R402" s="22" t="str">
        <f aca="false">IF(J402-P402=0,"PAGADA","PENDIENTE")</f>
        <v>PENDIENTE</v>
      </c>
      <c r="S402" s="16"/>
      <c r="T402" s="16"/>
      <c r="U402" s="16"/>
      <c r="V402" s="16"/>
      <c r="W402" s="16"/>
      <c r="X402" s="16"/>
    </row>
    <row r="403" s="8" customFormat="true" ht="13.5" hidden="false" customHeight="false" outlineLevel="0" collapsed="false">
      <c r="A403" s="24" t="s">
        <v>32</v>
      </c>
      <c r="B403" s="24" t="s">
        <v>33</v>
      </c>
      <c r="C403" s="25"/>
      <c r="D403" s="25"/>
      <c r="E403" s="24" t="s">
        <v>35</v>
      </c>
      <c r="F403" s="24" t="n">
        <v>486</v>
      </c>
      <c r="G403" s="26" t="n">
        <v>46184</v>
      </c>
      <c r="H403" s="26" t="n">
        <f aca="false">+G403+30</f>
        <v>46214</v>
      </c>
      <c r="I403" s="26"/>
      <c r="J403" s="21" t="n">
        <v>-46380</v>
      </c>
      <c r="K403" s="21"/>
      <c r="L403" s="21" t="n">
        <f aca="false">+J403/1.19</f>
        <v>-38974.7899159664</v>
      </c>
      <c r="M403" s="21" t="n">
        <f aca="false">+L403*19%</f>
        <v>-7405.21008403361</v>
      </c>
      <c r="N403" s="24" t="s">
        <v>174</v>
      </c>
      <c r="O403" s="27" t="n">
        <v>2026</v>
      </c>
      <c r="P403" s="21" t="n">
        <f aca="false">+J403</f>
        <v>-46380</v>
      </c>
      <c r="Q403" s="21" t="n">
        <f aca="false">+J403-P403</f>
        <v>0</v>
      </c>
      <c r="R403" s="28" t="str">
        <f aca="false">IF(J403-P403=0,"PAGADA","PENDIENTE")</f>
        <v>PAGADA</v>
      </c>
      <c r="S403" s="24" t="s">
        <v>36</v>
      </c>
      <c r="T403" s="24"/>
      <c r="U403" s="24"/>
      <c r="V403" s="24"/>
      <c r="W403" s="24"/>
      <c r="X403" s="24"/>
    </row>
    <row r="404" s="8" customFormat="true" ht="13.5" hidden="false" customHeight="false" outlineLevel="0" collapsed="false">
      <c r="A404" s="16" t="s">
        <v>180</v>
      </c>
      <c r="B404" s="16" t="s">
        <v>181</v>
      </c>
      <c r="C404" s="17"/>
      <c r="D404" s="17" t="s">
        <v>61</v>
      </c>
      <c r="E404" s="16" t="s">
        <v>24</v>
      </c>
      <c r="F404" s="16" t="n">
        <v>4973</v>
      </c>
      <c r="G404" s="18" t="n">
        <v>46189</v>
      </c>
      <c r="H404" s="18" t="n">
        <f aca="false">+G404+30</f>
        <v>46219</v>
      </c>
      <c r="I404" s="18"/>
      <c r="J404" s="19" t="n">
        <v>21866720</v>
      </c>
      <c r="K404" s="19"/>
      <c r="L404" s="19" t="n">
        <f aca="false">+J404/1.19</f>
        <v>18375394.9579832</v>
      </c>
      <c r="M404" s="19" t="n">
        <f aca="false">+L404*19%</f>
        <v>3491325.04201681</v>
      </c>
      <c r="N404" s="16" t="s">
        <v>174</v>
      </c>
      <c r="O404" s="20" t="n">
        <v>2026</v>
      </c>
      <c r="P404" s="21"/>
      <c r="Q404" s="19" t="n">
        <f aca="false">+J404-P404</f>
        <v>21866720</v>
      </c>
      <c r="R404" s="22" t="str">
        <f aca="false">IF(J404-P404=0,"PAGADA","PENDIENTE")</f>
        <v>PENDIENTE</v>
      </c>
      <c r="S404" s="16"/>
      <c r="T404" s="16"/>
      <c r="U404" s="16"/>
      <c r="V404" s="16"/>
      <c r="W404" s="16"/>
      <c r="X404" s="16"/>
    </row>
    <row r="405" s="8" customFormat="true" ht="13.5" hidden="false" customHeight="false" outlineLevel="0" collapsed="false">
      <c r="A405" s="30" t="s">
        <v>39</v>
      </c>
      <c r="B405" s="30" t="s">
        <v>40</v>
      </c>
      <c r="C405" s="31" t="s">
        <v>61</v>
      </c>
      <c r="D405" s="31"/>
      <c r="E405" s="30" t="s">
        <v>24</v>
      </c>
      <c r="F405" s="30" t="n">
        <v>4974</v>
      </c>
      <c r="G405" s="32" t="n">
        <v>46189</v>
      </c>
      <c r="H405" s="32" t="n">
        <f aca="false">+G405+30</f>
        <v>46219</v>
      </c>
      <c r="I405" s="32"/>
      <c r="J405" s="33" t="n">
        <v>8973659</v>
      </c>
      <c r="K405" s="33"/>
      <c r="L405" s="33" t="n">
        <f aca="false">+J405/1.19</f>
        <v>7540889.91596639</v>
      </c>
      <c r="M405" s="33" t="n">
        <f aca="false">+L405*19%</f>
        <v>1432769.08403361</v>
      </c>
      <c r="N405" s="30" t="s">
        <v>174</v>
      </c>
      <c r="O405" s="34" t="n">
        <v>2026</v>
      </c>
      <c r="P405" s="35" t="n">
        <f aca="false">+J405</f>
        <v>8973659</v>
      </c>
      <c r="Q405" s="33" t="n">
        <f aca="false">+J405-P405</f>
        <v>0</v>
      </c>
      <c r="R405" s="36" t="str">
        <f aca="false">IF(J405-P405=0,"PAGADA","PENDIENTE")</f>
        <v>PAGADA</v>
      </c>
      <c r="S405" s="30" t="s">
        <v>182</v>
      </c>
      <c r="T405" s="30"/>
      <c r="U405" s="30"/>
      <c r="V405" s="30"/>
      <c r="W405" s="30"/>
      <c r="X405" s="30"/>
    </row>
    <row r="406" s="8" customFormat="true" ht="13.5" hidden="false" customHeight="false" outlineLevel="0" collapsed="false">
      <c r="A406" s="16" t="s">
        <v>39</v>
      </c>
      <c r="B406" s="16" t="s">
        <v>40</v>
      </c>
      <c r="C406" s="17"/>
      <c r="D406" s="17"/>
      <c r="E406" s="16" t="s">
        <v>24</v>
      </c>
      <c r="F406" s="16" t="n">
        <v>4975</v>
      </c>
      <c r="G406" s="18" t="n">
        <v>46189</v>
      </c>
      <c r="H406" s="18" t="n">
        <f aca="false">+G406+30</f>
        <v>46219</v>
      </c>
      <c r="I406" s="18"/>
      <c r="J406" s="19" t="n">
        <v>8973659</v>
      </c>
      <c r="K406" s="19"/>
      <c r="L406" s="19" t="n">
        <f aca="false">+J406/1.19</f>
        <v>7540889.91596639</v>
      </c>
      <c r="M406" s="19" t="n">
        <f aca="false">+L406*19%</f>
        <v>1432769.08403361</v>
      </c>
      <c r="N406" s="16" t="s">
        <v>174</v>
      </c>
      <c r="O406" s="20" t="n">
        <v>2026</v>
      </c>
      <c r="P406" s="21" t="n">
        <f aca="false">+J406</f>
        <v>8973659</v>
      </c>
      <c r="Q406" s="19" t="n">
        <f aca="false">+J406-P406</f>
        <v>0</v>
      </c>
      <c r="R406" s="22" t="str">
        <f aca="false">IF(J406-P406=0,"PAGADA","PENDIENTE")</f>
        <v>PAGADA</v>
      </c>
      <c r="S406" s="16" t="s">
        <v>183</v>
      </c>
      <c r="T406" s="16"/>
      <c r="U406" s="16"/>
      <c r="V406" s="16"/>
      <c r="W406" s="16"/>
      <c r="X406" s="16"/>
    </row>
    <row r="407" s="8" customFormat="true" ht="13.5" hidden="false" customHeight="false" outlineLevel="0" collapsed="false">
      <c r="A407" s="16" t="s">
        <v>86</v>
      </c>
      <c r="B407" s="16" t="s">
        <v>87</v>
      </c>
      <c r="C407" s="17"/>
      <c r="D407" s="17"/>
      <c r="E407" s="16" t="s">
        <v>24</v>
      </c>
      <c r="F407" s="16" t="n">
        <v>4976</v>
      </c>
      <c r="G407" s="18" t="n">
        <v>46189</v>
      </c>
      <c r="H407" s="18" t="n">
        <f aca="false">+G407+30</f>
        <v>46219</v>
      </c>
      <c r="I407" s="18"/>
      <c r="J407" s="19" t="n">
        <v>587265</v>
      </c>
      <c r="K407" s="19"/>
      <c r="L407" s="19" t="n">
        <f aca="false">+J407/1.19</f>
        <v>493500</v>
      </c>
      <c r="M407" s="19" t="n">
        <f aca="false">+L407*19%</f>
        <v>93765</v>
      </c>
      <c r="N407" s="16" t="s">
        <v>174</v>
      </c>
      <c r="O407" s="20" t="n">
        <v>2026</v>
      </c>
      <c r="P407" s="21"/>
      <c r="Q407" s="19" t="n">
        <f aca="false">+J407-P407</f>
        <v>587265</v>
      </c>
      <c r="R407" s="22" t="str">
        <f aca="false">IF(J407-P407=0,"PAGADA","PENDIENTE")</f>
        <v>PENDIENTE</v>
      </c>
      <c r="S407" s="16"/>
      <c r="T407" s="16"/>
      <c r="U407" s="16"/>
      <c r="V407" s="16"/>
      <c r="W407" s="16"/>
      <c r="X407" s="16"/>
    </row>
    <row r="408" s="8" customFormat="true" ht="13.5" hidden="false" customHeight="false" outlineLevel="0" collapsed="false">
      <c r="A408" s="16" t="s">
        <v>86</v>
      </c>
      <c r="B408" s="16" t="s">
        <v>87</v>
      </c>
      <c r="C408" s="17"/>
      <c r="D408" s="17"/>
      <c r="E408" s="16" t="s">
        <v>24</v>
      </c>
      <c r="F408" s="16" t="n">
        <v>4977</v>
      </c>
      <c r="G408" s="18" t="n">
        <v>46189</v>
      </c>
      <c r="H408" s="18" t="n">
        <f aca="false">+G408+30</f>
        <v>46219</v>
      </c>
      <c r="I408" s="18"/>
      <c r="J408" s="19" t="n">
        <v>43534330</v>
      </c>
      <c r="K408" s="19"/>
      <c r="L408" s="19" t="n">
        <f aca="false">+J408/1.19</f>
        <v>36583470.5882353</v>
      </c>
      <c r="M408" s="19" t="n">
        <f aca="false">+L408*19%</f>
        <v>6950859.41176471</v>
      </c>
      <c r="N408" s="16" t="s">
        <v>174</v>
      </c>
      <c r="O408" s="20" t="n">
        <v>2026</v>
      </c>
      <c r="P408" s="21"/>
      <c r="Q408" s="19" t="n">
        <f aca="false">+J408-P408</f>
        <v>43534330</v>
      </c>
      <c r="R408" s="22" t="str">
        <f aca="false">IF(J408-P408=0,"PAGADA","PENDIENTE")</f>
        <v>PENDIENTE</v>
      </c>
      <c r="S408" s="16"/>
      <c r="T408" s="16"/>
      <c r="U408" s="16"/>
      <c r="V408" s="16"/>
      <c r="W408" s="16"/>
      <c r="X408" s="16"/>
    </row>
    <row r="409" s="8" customFormat="true" ht="13.5" hidden="false" customHeight="false" outlineLevel="0" collapsed="false">
      <c r="A409" s="16" t="s">
        <v>64</v>
      </c>
      <c r="B409" s="16" t="s">
        <v>65</v>
      </c>
      <c r="C409" s="17"/>
      <c r="D409" s="17"/>
      <c r="E409" s="16" t="s">
        <v>24</v>
      </c>
      <c r="F409" s="16" t="n">
        <v>4978</v>
      </c>
      <c r="G409" s="18" t="n">
        <v>46191</v>
      </c>
      <c r="H409" s="18" t="n">
        <f aca="false">+G409+30</f>
        <v>46221</v>
      </c>
      <c r="I409" s="18"/>
      <c r="J409" s="19" t="n">
        <v>34034000</v>
      </c>
      <c r="K409" s="19"/>
      <c r="L409" s="19" t="n">
        <f aca="false">+J409/1.19</f>
        <v>28600000</v>
      </c>
      <c r="M409" s="19" t="n">
        <f aca="false">+L409*19%</f>
        <v>5434000</v>
      </c>
      <c r="N409" s="16" t="s">
        <v>174</v>
      </c>
      <c r="O409" s="20" t="n">
        <v>2026</v>
      </c>
      <c r="P409" s="21"/>
      <c r="Q409" s="19" t="n">
        <f aca="false">+J409-P409</f>
        <v>34034000</v>
      </c>
      <c r="R409" s="22" t="str">
        <f aca="false">IF(J409-P409=0,"PAGADA","PENDIENTE")</f>
        <v>PENDIENTE</v>
      </c>
      <c r="S409" s="16"/>
      <c r="T409" s="16"/>
      <c r="U409" s="16"/>
      <c r="V409" s="16"/>
      <c r="W409" s="16"/>
      <c r="X409" s="16"/>
    </row>
    <row r="410" s="8" customFormat="true" ht="13.5" hidden="false" customHeight="false" outlineLevel="0" collapsed="false">
      <c r="A410" s="16" t="s">
        <v>64</v>
      </c>
      <c r="B410" s="16" t="s">
        <v>65</v>
      </c>
      <c r="C410" s="17"/>
      <c r="D410" s="17"/>
      <c r="E410" s="16" t="s">
        <v>24</v>
      </c>
      <c r="F410" s="16" t="n">
        <v>4979</v>
      </c>
      <c r="G410" s="18" t="n">
        <v>46191</v>
      </c>
      <c r="H410" s="18" t="n">
        <f aca="false">+G410+30</f>
        <v>46221</v>
      </c>
      <c r="I410" s="18"/>
      <c r="J410" s="19" t="n">
        <v>13090000</v>
      </c>
      <c r="K410" s="19"/>
      <c r="L410" s="19" t="n">
        <f aca="false">+J410/1.19</f>
        <v>11000000</v>
      </c>
      <c r="M410" s="19" t="n">
        <f aca="false">+L410*19%</f>
        <v>2090000</v>
      </c>
      <c r="N410" s="16" t="s">
        <v>174</v>
      </c>
      <c r="O410" s="20" t="n">
        <v>2026</v>
      </c>
      <c r="P410" s="21"/>
      <c r="Q410" s="19" t="n">
        <f aca="false">+J410-P410</f>
        <v>13090000</v>
      </c>
      <c r="R410" s="22" t="str">
        <f aca="false">IF(J410-P410=0,"PAGADA","PENDIENTE")</f>
        <v>PENDIENTE</v>
      </c>
      <c r="S410" s="16"/>
      <c r="T410" s="16"/>
      <c r="U410" s="16"/>
      <c r="V410" s="16"/>
      <c r="W410" s="16"/>
      <c r="X410" s="16"/>
    </row>
    <row r="411" s="8" customFormat="true" ht="13.5" hidden="false" customHeight="false" outlineLevel="0" collapsed="false">
      <c r="A411" s="16" t="s">
        <v>64</v>
      </c>
      <c r="B411" s="16" t="s">
        <v>65</v>
      </c>
      <c r="C411" s="17"/>
      <c r="D411" s="17"/>
      <c r="E411" s="16" t="s">
        <v>24</v>
      </c>
      <c r="F411" s="16" t="n">
        <v>4980</v>
      </c>
      <c r="G411" s="18" t="n">
        <v>46191</v>
      </c>
      <c r="H411" s="18" t="n">
        <f aca="false">+G411+30</f>
        <v>46221</v>
      </c>
      <c r="I411" s="18"/>
      <c r="J411" s="19" t="n">
        <v>3758832</v>
      </c>
      <c r="K411" s="19"/>
      <c r="L411" s="19" t="n">
        <f aca="false">+J411/1.19</f>
        <v>3158682.35294118</v>
      </c>
      <c r="M411" s="19" t="n">
        <f aca="false">+L411*19%</f>
        <v>600149.647058824</v>
      </c>
      <c r="N411" s="16" t="s">
        <v>174</v>
      </c>
      <c r="O411" s="20" t="n">
        <v>2026</v>
      </c>
      <c r="P411" s="21"/>
      <c r="Q411" s="19" t="n">
        <f aca="false">+J411-P411</f>
        <v>3758832</v>
      </c>
      <c r="R411" s="22" t="str">
        <f aca="false">IF(J411-P411=0,"PAGADA","PENDIENTE")</f>
        <v>PENDIENTE</v>
      </c>
      <c r="S411" s="16"/>
      <c r="T411" s="16"/>
      <c r="U411" s="16"/>
      <c r="V411" s="16"/>
      <c r="W411" s="16"/>
      <c r="X411" s="16"/>
    </row>
    <row r="412" s="8" customFormat="true" ht="13.5" hidden="false" customHeight="false" outlineLevel="0" collapsed="false">
      <c r="A412" s="16" t="s">
        <v>22</v>
      </c>
      <c r="B412" s="16" t="s">
        <v>23</v>
      </c>
      <c r="C412" s="17"/>
      <c r="D412" s="17"/>
      <c r="E412" s="16" t="s">
        <v>24</v>
      </c>
      <c r="F412" s="16" t="n">
        <v>4981</v>
      </c>
      <c r="G412" s="18" t="n">
        <v>46191</v>
      </c>
      <c r="H412" s="18" t="n">
        <f aca="false">+G412+30</f>
        <v>46221</v>
      </c>
      <c r="I412" s="18"/>
      <c r="J412" s="19" t="n">
        <v>334152</v>
      </c>
      <c r="K412" s="19"/>
      <c r="L412" s="19" t="n">
        <f aca="false">+J412/1.19</f>
        <v>280800</v>
      </c>
      <c r="M412" s="19" t="n">
        <f aca="false">+L412*19%</f>
        <v>53352</v>
      </c>
      <c r="N412" s="16" t="s">
        <v>174</v>
      </c>
      <c r="O412" s="20" t="n">
        <v>2026</v>
      </c>
      <c r="P412" s="21"/>
      <c r="Q412" s="19" t="n">
        <f aca="false">+J412-P412</f>
        <v>334152</v>
      </c>
      <c r="R412" s="22" t="str">
        <f aca="false">IF(J412-P412=0,"PAGADA","PENDIENTE")</f>
        <v>PENDIENTE</v>
      </c>
      <c r="S412" s="16"/>
      <c r="T412" s="16"/>
      <c r="U412" s="16"/>
      <c r="V412" s="16"/>
      <c r="W412" s="16"/>
      <c r="X412" s="16"/>
    </row>
    <row r="413" s="8" customFormat="true" ht="13.5" hidden="false" customHeight="false" outlineLevel="0" collapsed="false">
      <c r="A413" s="16" t="s">
        <v>184</v>
      </c>
      <c r="B413" s="16" t="s">
        <v>185</v>
      </c>
      <c r="C413" s="17"/>
      <c r="D413" s="17"/>
      <c r="E413" s="16" t="s">
        <v>24</v>
      </c>
      <c r="F413" s="16" t="n">
        <v>4982</v>
      </c>
      <c r="G413" s="18" t="n">
        <v>46192</v>
      </c>
      <c r="H413" s="18" t="n">
        <f aca="false">+G413+30</f>
        <v>46222</v>
      </c>
      <c r="I413" s="18"/>
      <c r="J413" s="19" t="n">
        <v>101155676</v>
      </c>
      <c r="K413" s="19"/>
      <c r="L413" s="19" t="n">
        <f aca="false">+J413/1.19</f>
        <v>85004769.7478992</v>
      </c>
      <c r="M413" s="19" t="n">
        <f aca="false">+L413*19%</f>
        <v>16150906.2521008</v>
      </c>
      <c r="N413" s="16" t="s">
        <v>174</v>
      </c>
      <c r="O413" s="20" t="n">
        <v>2026</v>
      </c>
      <c r="P413" s="21"/>
      <c r="Q413" s="19" t="n">
        <f aca="false">+J413-P413</f>
        <v>101155676</v>
      </c>
      <c r="R413" s="22" t="str">
        <f aca="false">IF(J413-P413=0,"PAGADA","PENDIENTE")</f>
        <v>PENDIENTE</v>
      </c>
      <c r="S413" s="16"/>
      <c r="T413" s="16"/>
      <c r="U413" s="16"/>
      <c r="V413" s="16"/>
      <c r="W413" s="16"/>
      <c r="X413" s="16"/>
    </row>
    <row r="414" s="8" customFormat="true" ht="13.5" hidden="false" customHeight="false" outlineLevel="0" collapsed="false">
      <c r="A414" s="16" t="s">
        <v>186</v>
      </c>
      <c r="B414" s="16" t="s">
        <v>187</v>
      </c>
      <c r="C414" s="17"/>
      <c r="D414" s="17" t="s">
        <v>61</v>
      </c>
      <c r="E414" s="16" t="s">
        <v>24</v>
      </c>
      <c r="F414" s="16" t="n">
        <v>4983</v>
      </c>
      <c r="G414" s="18" t="n">
        <v>46196</v>
      </c>
      <c r="H414" s="18" t="n">
        <f aca="false">+G414+30</f>
        <v>46226</v>
      </c>
      <c r="I414" s="18"/>
      <c r="J414" s="19" t="n">
        <v>48455289</v>
      </c>
      <c r="K414" s="19"/>
      <c r="L414" s="19" t="n">
        <f aca="false">+J414/1.19</f>
        <v>40718730.2521008</v>
      </c>
      <c r="M414" s="19" t="n">
        <f aca="false">+L414*19%</f>
        <v>7736558.74789916</v>
      </c>
      <c r="N414" s="16" t="s">
        <v>174</v>
      </c>
      <c r="O414" s="20" t="n">
        <v>2026</v>
      </c>
      <c r="P414" s="21"/>
      <c r="Q414" s="19" t="n">
        <f aca="false">+J414-P414</f>
        <v>48455289</v>
      </c>
      <c r="R414" s="22" t="str">
        <f aca="false">IF(J414-P414=0,"PAGADA","PENDIENTE")</f>
        <v>PENDIENTE</v>
      </c>
      <c r="S414" s="16"/>
      <c r="T414" s="16"/>
      <c r="U414" s="16"/>
      <c r="V414" s="16"/>
      <c r="W414" s="16"/>
      <c r="X414" s="16"/>
    </row>
    <row r="415" s="8" customFormat="true" ht="13.5" hidden="false" customHeight="false" outlineLevel="0" collapsed="false">
      <c r="A415" s="16" t="s">
        <v>78</v>
      </c>
      <c r="B415" s="16" t="s">
        <v>79</v>
      </c>
      <c r="C415" s="17"/>
      <c r="D415" s="17"/>
      <c r="E415" s="16" t="s">
        <v>24</v>
      </c>
      <c r="F415" s="16" t="n">
        <v>4984</v>
      </c>
      <c r="G415" s="18" t="n">
        <v>46196</v>
      </c>
      <c r="H415" s="18" t="n">
        <f aca="false">+G415+30</f>
        <v>46226</v>
      </c>
      <c r="I415" s="18"/>
      <c r="J415" s="19" t="n">
        <v>44364776</v>
      </c>
      <c r="K415" s="19"/>
      <c r="L415" s="19" t="n">
        <f aca="false">+J415/1.19</f>
        <v>37281324.3697479</v>
      </c>
      <c r="M415" s="19" t="n">
        <f aca="false">+L415*19%</f>
        <v>7083451.6302521</v>
      </c>
      <c r="N415" s="16" t="s">
        <v>174</v>
      </c>
      <c r="O415" s="20" t="n">
        <v>2026</v>
      </c>
      <c r="P415" s="21" t="n">
        <f aca="false">+J415</f>
        <v>44364776</v>
      </c>
      <c r="Q415" s="19" t="n">
        <f aca="false">+J415-P415</f>
        <v>0</v>
      </c>
      <c r="R415" s="22" t="str">
        <f aca="false">IF(J415-P415=0,"PAGADA","PENDIENTE")</f>
        <v>PAGADA</v>
      </c>
      <c r="S415" s="16" t="s">
        <v>188</v>
      </c>
      <c r="T415" s="16"/>
      <c r="U415" s="16"/>
      <c r="V415" s="16"/>
      <c r="W415" s="16"/>
      <c r="X415" s="16"/>
    </row>
    <row r="416" s="8" customFormat="true" ht="13.5" hidden="false" customHeight="false" outlineLevel="0" collapsed="false">
      <c r="A416" s="16" t="n">
        <v>0</v>
      </c>
      <c r="B416" s="16" t="s">
        <v>63</v>
      </c>
      <c r="C416" s="17"/>
      <c r="D416" s="17"/>
      <c r="E416" s="16" t="s">
        <v>24</v>
      </c>
      <c r="F416" s="16" t="n">
        <v>4985</v>
      </c>
      <c r="G416" s="18" t="n">
        <v>46196</v>
      </c>
      <c r="H416" s="18" t="n">
        <f aca="false">+G416+30</f>
        <v>46226</v>
      </c>
      <c r="I416" s="18"/>
      <c r="J416" s="19" t="n">
        <v>0</v>
      </c>
      <c r="K416" s="19"/>
      <c r="L416" s="19" t="n">
        <f aca="false">+J416/1.19</f>
        <v>0</v>
      </c>
      <c r="M416" s="19" t="n">
        <f aca="false">+L416*19%</f>
        <v>0</v>
      </c>
      <c r="N416" s="16" t="s">
        <v>174</v>
      </c>
      <c r="O416" s="20" t="n">
        <v>2026</v>
      </c>
      <c r="P416" s="21"/>
      <c r="Q416" s="19" t="n">
        <f aca="false">+J416-P416</f>
        <v>0</v>
      </c>
      <c r="R416" s="22" t="str">
        <f aca="false">IF(J416-P416=0,"PAGADA","PENDIENTE")</f>
        <v>PAGADA</v>
      </c>
      <c r="S416" s="16"/>
      <c r="T416" s="16"/>
      <c r="U416" s="16"/>
      <c r="V416" s="16"/>
      <c r="W416" s="16"/>
      <c r="X416" s="16"/>
    </row>
    <row r="417" s="8" customFormat="true" ht="13.5" hidden="false" customHeight="false" outlineLevel="0" collapsed="false">
      <c r="A417" s="16" t="s">
        <v>78</v>
      </c>
      <c r="B417" s="16" t="s">
        <v>79</v>
      </c>
      <c r="C417" s="17"/>
      <c r="D417" s="17"/>
      <c r="E417" s="16" t="s">
        <v>24</v>
      </c>
      <c r="F417" s="16" t="n">
        <v>4986</v>
      </c>
      <c r="G417" s="18" t="n">
        <v>46196</v>
      </c>
      <c r="H417" s="18" t="n">
        <f aca="false">+G417+30</f>
        <v>46226</v>
      </c>
      <c r="I417" s="18"/>
      <c r="J417" s="19" t="n">
        <v>1487500</v>
      </c>
      <c r="K417" s="19"/>
      <c r="L417" s="19" t="n">
        <f aca="false">+J417/1.19</f>
        <v>1250000</v>
      </c>
      <c r="M417" s="19" t="n">
        <f aca="false">+L417*19%</f>
        <v>237500</v>
      </c>
      <c r="N417" s="16" t="s">
        <v>174</v>
      </c>
      <c r="O417" s="20" t="n">
        <v>2026</v>
      </c>
      <c r="P417" s="21"/>
      <c r="Q417" s="19" t="n">
        <f aca="false">+J417-P417</f>
        <v>1487500</v>
      </c>
      <c r="R417" s="22" t="str">
        <f aca="false">IF(J417-P417=0,"PAGADA","PENDIENTE")</f>
        <v>PENDIENTE</v>
      </c>
      <c r="S417" s="16"/>
      <c r="T417" s="16"/>
      <c r="U417" s="16"/>
      <c r="V417" s="16"/>
      <c r="W417" s="16"/>
      <c r="X417" s="16"/>
    </row>
    <row r="418" s="8" customFormat="true" ht="13.5" hidden="false" customHeight="false" outlineLevel="0" collapsed="false">
      <c r="A418" s="30" t="s">
        <v>78</v>
      </c>
      <c r="B418" s="30" t="s">
        <v>79</v>
      </c>
      <c r="C418" s="31" t="s">
        <v>61</v>
      </c>
      <c r="D418" s="31"/>
      <c r="E418" s="30" t="s">
        <v>24</v>
      </c>
      <c r="F418" s="30" t="n">
        <v>4987</v>
      </c>
      <c r="G418" s="32" t="n">
        <v>46196</v>
      </c>
      <c r="H418" s="32" t="n">
        <f aca="false">+G418+30</f>
        <v>46226</v>
      </c>
      <c r="I418" s="32"/>
      <c r="J418" s="33" t="n">
        <v>44364776</v>
      </c>
      <c r="K418" s="33"/>
      <c r="L418" s="33" t="n">
        <f aca="false">+J418/1.19</f>
        <v>37281324.3697479</v>
      </c>
      <c r="M418" s="33" t="n">
        <f aca="false">+L418*19%</f>
        <v>7083451.6302521</v>
      </c>
      <c r="N418" s="30" t="s">
        <v>174</v>
      </c>
      <c r="O418" s="34" t="n">
        <v>2026</v>
      </c>
      <c r="P418" s="35" t="n">
        <f aca="false">+J418</f>
        <v>44364776</v>
      </c>
      <c r="Q418" s="33" t="n">
        <f aca="false">+J418-P418</f>
        <v>0</v>
      </c>
      <c r="R418" s="36" t="str">
        <f aca="false">IF(J418-P418=0,"PAGADA","PENDIENTE")</f>
        <v>PAGADA</v>
      </c>
      <c r="S418" s="30" t="s">
        <v>189</v>
      </c>
      <c r="T418" s="30"/>
      <c r="U418" s="30"/>
      <c r="V418" s="30"/>
      <c r="W418" s="30"/>
      <c r="X418" s="30"/>
    </row>
    <row r="419" s="8" customFormat="true" ht="13.5" hidden="false" customHeight="false" outlineLevel="0" collapsed="false">
      <c r="A419" s="16" t="s">
        <v>39</v>
      </c>
      <c r="B419" s="16" t="s">
        <v>40</v>
      </c>
      <c r="C419" s="17"/>
      <c r="D419" s="17"/>
      <c r="E419" s="16" t="s">
        <v>24</v>
      </c>
      <c r="F419" s="16" t="n">
        <v>4988</v>
      </c>
      <c r="G419" s="18" t="n">
        <v>46196</v>
      </c>
      <c r="H419" s="18" t="n">
        <f aca="false">+G419+30</f>
        <v>46226</v>
      </c>
      <c r="I419" s="18"/>
      <c r="J419" s="19" t="n">
        <v>8674529</v>
      </c>
      <c r="K419" s="19"/>
      <c r="L419" s="19" t="n">
        <f aca="false">+J419/1.19</f>
        <v>7289520.16806723</v>
      </c>
      <c r="M419" s="19" t="n">
        <f aca="false">+L419*19%</f>
        <v>1385008.83193277</v>
      </c>
      <c r="N419" s="16" t="s">
        <v>174</v>
      </c>
      <c r="O419" s="20" t="n">
        <v>2026</v>
      </c>
      <c r="P419" s="21"/>
      <c r="Q419" s="19" t="n">
        <f aca="false">+J419-P419</f>
        <v>8674529</v>
      </c>
      <c r="R419" s="22" t="str">
        <f aca="false">IF(J419-P419=0,"PAGADA","PENDIENTE")</f>
        <v>PENDIENTE</v>
      </c>
      <c r="S419" s="16"/>
      <c r="T419" s="16"/>
      <c r="U419" s="16"/>
      <c r="V419" s="16"/>
      <c r="W419" s="16"/>
      <c r="X419" s="16"/>
    </row>
    <row r="420" s="8" customFormat="true" ht="13.5" hidden="false" customHeight="false" outlineLevel="0" collapsed="false">
      <c r="A420" s="24" t="s">
        <v>78</v>
      </c>
      <c r="B420" s="24" t="s">
        <v>79</v>
      </c>
      <c r="C420" s="25"/>
      <c r="D420" s="25"/>
      <c r="E420" s="24" t="s">
        <v>35</v>
      </c>
      <c r="F420" s="24" t="n">
        <v>487</v>
      </c>
      <c r="G420" s="26" t="n">
        <v>46196</v>
      </c>
      <c r="H420" s="26" t="n">
        <f aca="false">+G420+30</f>
        <v>46226</v>
      </c>
      <c r="I420" s="24"/>
      <c r="J420" s="21" t="n">
        <v>-44364776</v>
      </c>
      <c r="K420" s="21"/>
      <c r="L420" s="21" t="n">
        <f aca="false">+J420/1.19</f>
        <v>-37281324.3697479</v>
      </c>
      <c r="M420" s="21" t="n">
        <f aca="false">+L420*19%</f>
        <v>-7083451.6302521</v>
      </c>
      <c r="N420" s="24" t="s">
        <v>174</v>
      </c>
      <c r="O420" s="27" t="n">
        <v>2026</v>
      </c>
      <c r="P420" s="21" t="n">
        <f aca="false">+J420</f>
        <v>-44364776</v>
      </c>
      <c r="Q420" s="24" t="n">
        <f aca="false">+J420-P420</f>
        <v>0</v>
      </c>
      <c r="R420" s="24" t="str">
        <f aca="false">IF(J420-P420=0,"PAGADA","PENDIENTE")</f>
        <v>PAGADA</v>
      </c>
      <c r="S420" s="24" t="s">
        <v>36</v>
      </c>
      <c r="T420" s="24"/>
      <c r="U420" s="24"/>
      <c r="V420" s="24"/>
      <c r="W420" s="24"/>
      <c r="X420" s="24"/>
    </row>
    <row r="421" s="8" customFormat="true" ht="13.5" hidden="false" customHeight="false" outlineLevel="0" collapsed="false">
      <c r="A421" s="24" t="s">
        <v>39</v>
      </c>
      <c r="B421" s="24" t="s">
        <v>40</v>
      </c>
      <c r="C421" s="25"/>
      <c r="D421" s="25"/>
      <c r="E421" s="24" t="s">
        <v>35</v>
      </c>
      <c r="F421" s="24" t="n">
        <v>488</v>
      </c>
      <c r="G421" s="26" t="n">
        <v>46196</v>
      </c>
      <c r="H421" s="26" t="n">
        <f aca="false">+G421+30</f>
        <v>46226</v>
      </c>
      <c r="I421" s="24"/>
      <c r="J421" s="21" t="n">
        <v>-8973659</v>
      </c>
      <c r="K421" s="21"/>
      <c r="L421" s="21" t="n">
        <f aca="false">+J421/1.19</f>
        <v>-7540889.91596639</v>
      </c>
      <c r="M421" s="21" t="n">
        <f aca="false">+L421*19%</f>
        <v>-1432769.08403361</v>
      </c>
      <c r="N421" s="24" t="s">
        <v>174</v>
      </c>
      <c r="O421" s="27" t="n">
        <v>2026</v>
      </c>
      <c r="P421" s="21" t="n">
        <f aca="false">+J421</f>
        <v>-8973659</v>
      </c>
      <c r="Q421" s="24" t="n">
        <f aca="false">+J421-P421</f>
        <v>0</v>
      </c>
      <c r="R421" s="24" t="str">
        <f aca="false">IF(J421-P421=0,"PAGADA","PENDIENTE")</f>
        <v>PAGADA</v>
      </c>
      <c r="S421" s="24" t="s">
        <v>36</v>
      </c>
      <c r="T421" s="24"/>
      <c r="U421" s="24"/>
      <c r="V421" s="24"/>
      <c r="W421" s="24"/>
      <c r="X421" s="24"/>
    </row>
    <row r="422" s="8" customFormat="true" ht="13.5" hidden="false" customHeight="false" outlineLevel="0" collapsed="false">
      <c r="A422" s="16" t="s">
        <v>190</v>
      </c>
      <c r="B422" s="16" t="s">
        <v>191</v>
      </c>
      <c r="C422" s="17"/>
      <c r="D422" s="17" t="s">
        <v>61</v>
      </c>
      <c r="E422" s="16" t="s">
        <v>24</v>
      </c>
      <c r="F422" s="16" t="n">
        <v>4989</v>
      </c>
      <c r="G422" s="18" t="n">
        <v>46196</v>
      </c>
      <c r="H422" s="18" t="n">
        <f aca="false">+G422+30</f>
        <v>46226</v>
      </c>
      <c r="I422" s="18"/>
      <c r="J422" s="19" t="n">
        <v>807402</v>
      </c>
      <c r="K422" s="19"/>
      <c r="L422" s="19" t="n">
        <f aca="false">+J422/1.19</f>
        <v>678489.075630252</v>
      </c>
      <c r="M422" s="19" t="n">
        <f aca="false">+L422*19%</f>
        <v>128912.924369748</v>
      </c>
      <c r="N422" s="16" t="s">
        <v>174</v>
      </c>
      <c r="O422" s="20" t="n">
        <v>2026</v>
      </c>
      <c r="P422" s="21"/>
      <c r="Q422" s="19" t="n">
        <f aca="false">+J422-P422</f>
        <v>807402</v>
      </c>
      <c r="R422" s="22" t="str">
        <f aca="false">IF(J422-P422=0,"PAGADA","PENDIENTE")</f>
        <v>PENDIENTE</v>
      </c>
      <c r="S422" s="16"/>
      <c r="T422" s="16"/>
      <c r="U422" s="16"/>
      <c r="V422" s="16"/>
      <c r="W422" s="16"/>
      <c r="X422" s="16"/>
    </row>
    <row r="423" s="8" customFormat="true" ht="13.5" hidden="false" customHeight="false" outlineLevel="0" collapsed="false">
      <c r="A423" s="16" t="s">
        <v>192</v>
      </c>
      <c r="B423" s="16" t="s">
        <v>193</v>
      </c>
      <c r="C423" s="17"/>
      <c r="D423" s="17" t="s">
        <v>61</v>
      </c>
      <c r="E423" s="16" t="s">
        <v>24</v>
      </c>
      <c r="F423" s="16" t="n">
        <v>4990</v>
      </c>
      <c r="G423" s="18" t="n">
        <v>46196</v>
      </c>
      <c r="H423" s="18" t="n">
        <f aca="false">+G423+30</f>
        <v>46226</v>
      </c>
      <c r="I423" s="18"/>
      <c r="J423" s="19" t="n">
        <v>1377956</v>
      </c>
      <c r="K423" s="19"/>
      <c r="L423" s="19" t="n">
        <f aca="false">+J423/1.19</f>
        <v>1157946.2184874</v>
      </c>
      <c r="M423" s="19" t="n">
        <f aca="false">+L423*19%</f>
        <v>220009.781512605</v>
      </c>
      <c r="N423" s="16" t="s">
        <v>174</v>
      </c>
      <c r="O423" s="20" t="n">
        <v>2026</v>
      </c>
      <c r="P423" s="21"/>
      <c r="Q423" s="19" t="n">
        <f aca="false">+J423-P423</f>
        <v>1377956</v>
      </c>
      <c r="R423" s="22" t="str">
        <f aca="false">IF(J423-P423=0,"PAGADA","PENDIENTE")</f>
        <v>PENDIENTE</v>
      </c>
      <c r="S423" s="16"/>
      <c r="T423" s="16"/>
      <c r="U423" s="16"/>
      <c r="V423" s="16"/>
      <c r="W423" s="16"/>
      <c r="X423" s="16"/>
    </row>
    <row r="424" s="8" customFormat="true" ht="13.5" hidden="false" customHeight="false" outlineLevel="0" collapsed="false">
      <c r="A424" s="16" t="s">
        <v>192</v>
      </c>
      <c r="B424" s="16" t="s">
        <v>193</v>
      </c>
      <c r="C424" s="17"/>
      <c r="D424" s="17" t="s">
        <v>61</v>
      </c>
      <c r="E424" s="16" t="s">
        <v>24</v>
      </c>
      <c r="F424" s="16" t="n">
        <v>4991</v>
      </c>
      <c r="G424" s="18" t="n">
        <v>46196</v>
      </c>
      <c r="H424" s="18" t="n">
        <f aca="false">+G424+30</f>
        <v>46226</v>
      </c>
      <c r="I424" s="18"/>
      <c r="J424" s="19" t="n">
        <v>25126680</v>
      </c>
      <c r="K424" s="19"/>
      <c r="L424" s="19" t="n">
        <f aca="false">+J424/1.19</f>
        <v>21114857.1428571</v>
      </c>
      <c r="M424" s="19" t="n">
        <f aca="false">+L424*19%</f>
        <v>4011822.85714286</v>
      </c>
      <c r="N424" s="16" t="s">
        <v>174</v>
      </c>
      <c r="O424" s="20" t="n">
        <v>2026</v>
      </c>
      <c r="P424" s="21"/>
      <c r="Q424" s="19" t="n">
        <f aca="false">+J424-P424</f>
        <v>25126680</v>
      </c>
      <c r="R424" s="22" t="str">
        <f aca="false">IF(J424-P424=0,"PAGADA","PENDIENTE")</f>
        <v>PENDIENTE</v>
      </c>
      <c r="S424" s="16"/>
      <c r="T424" s="16"/>
      <c r="U424" s="16"/>
      <c r="V424" s="16"/>
      <c r="W424" s="16"/>
      <c r="X424" s="16"/>
    </row>
    <row r="425" s="8" customFormat="true" ht="13.5" hidden="false" customHeight="false" outlineLevel="0" collapsed="false">
      <c r="A425" s="16" t="s">
        <v>122</v>
      </c>
      <c r="B425" s="16" t="s">
        <v>123</v>
      </c>
      <c r="C425" s="17"/>
      <c r="D425" s="17"/>
      <c r="E425" s="16" t="s">
        <v>24</v>
      </c>
      <c r="F425" s="16" t="n">
        <v>4992</v>
      </c>
      <c r="G425" s="18" t="n">
        <v>46196</v>
      </c>
      <c r="H425" s="18" t="n">
        <f aca="false">+G425+30</f>
        <v>46226</v>
      </c>
      <c r="I425" s="18"/>
      <c r="J425" s="19" t="n">
        <v>2295661</v>
      </c>
      <c r="K425" s="19"/>
      <c r="L425" s="19" t="n">
        <f aca="false">+J425/1.19</f>
        <v>1929126.8907563</v>
      </c>
      <c r="M425" s="19" t="n">
        <f aca="false">+L425*19%</f>
        <v>366534.109243698</v>
      </c>
      <c r="N425" s="16" t="s">
        <v>174</v>
      </c>
      <c r="O425" s="20" t="n">
        <v>2026</v>
      </c>
      <c r="P425" s="21"/>
      <c r="Q425" s="19" t="n">
        <f aca="false">+J425-P425</f>
        <v>2295661</v>
      </c>
      <c r="R425" s="22" t="str">
        <f aca="false">IF(J425-P425=0,"PAGADA","PENDIENTE")</f>
        <v>PENDIENTE</v>
      </c>
      <c r="S425" s="16"/>
      <c r="T425" s="16"/>
      <c r="U425" s="16"/>
      <c r="V425" s="16"/>
      <c r="W425" s="16"/>
      <c r="X425" s="16"/>
    </row>
    <row r="426" s="8" customFormat="true" ht="13.5" hidden="false" customHeight="false" outlineLevel="0" collapsed="false">
      <c r="A426" s="16" t="s">
        <v>194</v>
      </c>
      <c r="B426" s="16" t="s">
        <v>195</v>
      </c>
      <c r="C426" s="17"/>
      <c r="D426" s="17"/>
      <c r="E426" s="16" t="s">
        <v>24</v>
      </c>
      <c r="F426" s="16" t="n">
        <v>4993</v>
      </c>
      <c r="G426" s="18" t="n">
        <v>46197</v>
      </c>
      <c r="H426" s="18" t="n">
        <f aca="false">+G426+30</f>
        <v>46227</v>
      </c>
      <c r="I426" s="18"/>
      <c r="J426" s="19" t="n">
        <v>5033700</v>
      </c>
      <c r="K426" s="19"/>
      <c r="L426" s="19" t="n">
        <f aca="false">+J426/1.19</f>
        <v>4230000</v>
      </c>
      <c r="M426" s="19" t="n">
        <f aca="false">+L426*19%</f>
        <v>803700</v>
      </c>
      <c r="N426" s="16" t="s">
        <v>174</v>
      </c>
      <c r="O426" s="20" t="n">
        <v>2026</v>
      </c>
      <c r="P426" s="21"/>
      <c r="Q426" s="19" t="n">
        <f aca="false">+J426-P426</f>
        <v>5033700</v>
      </c>
      <c r="R426" s="22" t="str">
        <f aca="false">IF(J426-P426=0,"PAGADA","PENDIENTE")</f>
        <v>PENDIENTE</v>
      </c>
      <c r="S426" s="16"/>
      <c r="T426" s="16"/>
      <c r="U426" s="16"/>
      <c r="V426" s="16"/>
      <c r="W426" s="16"/>
      <c r="X426" s="16"/>
    </row>
    <row r="427" customFormat="false" ht="13.5" hidden="false" customHeight="false" outlineLevel="0" collapsed="false">
      <c r="A427" s="40"/>
      <c r="B427" s="40"/>
      <c r="C427" s="41"/>
      <c r="D427" s="41"/>
      <c r="E427" s="40"/>
      <c r="F427" s="40"/>
      <c r="G427" s="42"/>
      <c r="H427" s="43"/>
      <c r="I427" s="42"/>
      <c r="J427" s="44" t="e">
        <f aca="false">SUBTOTAL(9,#REF!)</f>
        <v>#REF!</v>
      </c>
      <c r="K427" s="45"/>
      <c r="L427" s="44"/>
      <c r="M427" s="44"/>
      <c r="N427" s="40"/>
      <c r="O427" s="46"/>
      <c r="P427" s="47"/>
      <c r="Q427" s="40"/>
      <c r="R427" s="40"/>
      <c r="S427" s="48"/>
      <c r="T427" s="40"/>
      <c r="U427" s="40"/>
      <c r="V427" s="40"/>
      <c r="W427" s="40"/>
      <c r="X427" s="40"/>
    </row>
    <row r="428" customFormat="false" ht="13.5" hidden="false" customHeight="false" outlineLevel="0" collapsed="false">
      <c r="A428" s="40"/>
      <c r="B428" s="40"/>
      <c r="C428" s="41"/>
      <c r="D428" s="41"/>
      <c r="E428" s="40"/>
      <c r="F428" s="40"/>
      <c r="G428" s="42"/>
      <c r="H428" s="43"/>
      <c r="I428" s="42"/>
      <c r="K428" s="45"/>
      <c r="L428" s="44"/>
      <c r="M428" s="44"/>
      <c r="N428" s="40"/>
      <c r="O428" s="46"/>
      <c r="P428" s="47"/>
      <c r="Q428" s="49"/>
      <c r="R428" s="40"/>
      <c r="S428" s="48"/>
      <c r="T428" s="40"/>
      <c r="U428" s="40"/>
      <c r="V428" s="40"/>
      <c r="W428" s="40"/>
      <c r="X428" s="40"/>
    </row>
    <row r="429" customFormat="false" ht="13.5" hidden="false" customHeight="false" outlineLevel="0" collapsed="false">
      <c r="A429" s="40"/>
      <c r="B429" s="40"/>
      <c r="C429" s="41"/>
      <c r="D429" s="41"/>
      <c r="E429" s="40"/>
      <c r="F429" s="40"/>
      <c r="G429" s="42"/>
      <c r="H429" s="43"/>
      <c r="I429" s="42" t="s">
        <v>196</v>
      </c>
      <c r="J429" s="50" t="n">
        <f aca="false">SUBTOTAL(9,J2:J428)</f>
        <v>3095435773</v>
      </c>
      <c r="K429" s="50"/>
      <c r="L429" s="50"/>
      <c r="M429" s="50"/>
      <c r="N429" s="50"/>
      <c r="O429" s="50"/>
      <c r="P429" s="51" t="n">
        <f aca="false">SUBTOTAL(9,P2:P428)</f>
        <v>2575685737</v>
      </c>
      <c r="Q429" s="52" t="n">
        <f aca="false">SUBTOTAL(9,Q2:Q428)</f>
        <v>519750036</v>
      </c>
      <c r="R429" s="40"/>
      <c r="S429" s="48"/>
      <c r="T429" s="40"/>
      <c r="U429" s="40"/>
      <c r="V429" s="40"/>
      <c r="W429" s="40"/>
      <c r="X429" s="40"/>
    </row>
    <row r="430" customFormat="false" ht="13.5" hidden="false" customHeight="false" outlineLevel="0" collapsed="false">
      <c r="H430" s="53"/>
      <c r="I430" s="3" t="s">
        <v>197</v>
      </c>
      <c r="J430" s="4" t="n">
        <f aca="false">+J429/960</f>
        <v>3224412.26354167</v>
      </c>
      <c r="K430" s="4"/>
      <c r="P430" s="54" t="n">
        <f aca="false">+Q429-P429</f>
        <v>-2055935701</v>
      </c>
      <c r="R430" s="55" t="n">
        <f aca="false">+P240+P241+P242+P243+P245+P246</f>
        <v>15498856</v>
      </c>
    </row>
    <row r="431" customFormat="false" ht="13.5" hidden="false" customHeight="false" outlineLevel="0" collapsed="false">
      <c r="H431" s="53"/>
      <c r="I431" s="3" t="s">
        <v>21</v>
      </c>
      <c r="J431" s="4" t="n">
        <f aca="false">+J429/39125</f>
        <v>79116.5692779553</v>
      </c>
      <c r="P431" s="54"/>
      <c r="Q431" s="55"/>
    </row>
    <row r="432" customFormat="false" ht="13.5" hidden="false" customHeight="false" outlineLevel="0" collapsed="false">
      <c r="H432" s="53"/>
      <c r="P432" s="51" t="n">
        <v>406793469</v>
      </c>
      <c r="Q432" s="55"/>
    </row>
    <row r="433" customFormat="false" ht="13.5" hidden="false" customHeight="false" outlineLevel="0" collapsed="false">
      <c r="H433" s="53"/>
      <c r="P433" s="56" t="n">
        <f aca="false">+P429-P432</f>
        <v>2168892268</v>
      </c>
      <c r="R433" s="55"/>
    </row>
    <row r="434" customFormat="false" ht="13.5" hidden="false" customHeight="false" outlineLevel="0" collapsed="false">
      <c r="P434" s="56"/>
      <c r="R434" s="55" t="e">
        <f aca="false">+#REF!+#REF!+#REF!+#REF!</f>
        <v>#REF!</v>
      </c>
    </row>
    <row r="436" customFormat="false" ht="13.5" hidden="false" customHeight="false" outlineLevel="0" collapsed="false">
      <c r="Q436" s="55"/>
    </row>
    <row r="437" customFormat="false" ht="13.5" hidden="false" customHeight="false" outlineLevel="0" collapsed="false">
      <c r="J437" s="19"/>
    </row>
    <row r="438" customFormat="false" ht="13.5" hidden="false" customHeight="false" outlineLevel="0" collapsed="false">
      <c r="K438" s="4"/>
    </row>
    <row r="439" customFormat="false" ht="13.5" hidden="false" customHeight="false" outlineLevel="0" collapsed="false">
      <c r="Q439" s="55"/>
    </row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X426"/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5:O44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H10" activeCellId="0" sqref="H10"/>
    </sheetView>
  </sheetViews>
  <sheetFormatPr defaultColWidth="11.19921875" defaultRowHeight="15" customHeight="false" zeroHeight="false" outlineLevelRow="0" outlineLevelCol="0"/>
  <cols>
    <col collapsed="false" customWidth="true" hidden="false" outlineLevel="0" max="6" min="6" style="0" width="11.5"/>
    <col collapsed="false" customWidth="true" hidden="false" outlineLevel="0" max="7" min="7" style="0" width="24.9"/>
    <col collapsed="false" customWidth="true" hidden="false" outlineLevel="0" max="8" min="8" style="0" width="14"/>
    <col collapsed="false" customWidth="true" hidden="false" outlineLevel="0" max="9" min="9" style="0" width="12.4"/>
  </cols>
  <sheetData>
    <row r="5" customFormat="false" ht="15" hidden="false" customHeight="false" outlineLevel="0" collapsed="false">
      <c r="A5" s="0" t="n">
        <v>20000</v>
      </c>
      <c r="B5" s="0" t="s">
        <v>198</v>
      </c>
      <c r="C5" s="57" t="n">
        <v>301</v>
      </c>
      <c r="D5" s="58" t="n">
        <v>42814</v>
      </c>
      <c r="E5" s="58"/>
      <c r="F5" s="59" t="n">
        <v>17120149</v>
      </c>
      <c r="G5" s="0" t="n">
        <v>2</v>
      </c>
    </row>
    <row r="6" customFormat="false" ht="15" hidden="false" customHeight="false" outlineLevel="0" collapsed="false">
      <c r="A6" s="0" t="n">
        <v>20000</v>
      </c>
      <c r="B6" s="0" t="s">
        <v>198</v>
      </c>
      <c r="C6" s="57" t="n">
        <v>302</v>
      </c>
      <c r="D6" s="58" t="n">
        <v>42814</v>
      </c>
      <c r="E6" s="58"/>
      <c r="F6" s="59" t="n">
        <v>49980</v>
      </c>
      <c r="G6" s="0" t="n">
        <v>2</v>
      </c>
    </row>
    <row r="7" customFormat="false" ht="15" hidden="false" customHeight="false" outlineLevel="0" collapsed="false">
      <c r="A7" s="0" t="n">
        <v>20000</v>
      </c>
      <c r="B7" s="0" t="s">
        <v>198</v>
      </c>
      <c r="C7" s="57" t="n">
        <v>37</v>
      </c>
      <c r="D7" s="58" t="n">
        <v>42814</v>
      </c>
      <c r="E7" s="58"/>
      <c r="F7" s="59" t="n">
        <v>-49980</v>
      </c>
      <c r="G7" s="0" t="n">
        <v>2</v>
      </c>
    </row>
    <row r="8" customFormat="false" ht="15" hidden="false" customHeight="false" outlineLevel="0" collapsed="false">
      <c r="A8" s="0" t="n">
        <v>20000</v>
      </c>
      <c r="B8" s="0" t="s">
        <v>198</v>
      </c>
      <c r="C8" s="57" t="n">
        <v>36</v>
      </c>
      <c r="D8" s="58" t="n">
        <v>42814</v>
      </c>
      <c r="E8" s="58"/>
      <c r="F8" s="59" t="n">
        <v>-17120149</v>
      </c>
      <c r="G8" s="0" t="n">
        <v>2</v>
      </c>
    </row>
    <row r="9" customFormat="false" ht="15" hidden="false" customHeight="false" outlineLevel="0" collapsed="false">
      <c r="A9" s="0" t="n">
        <v>2018</v>
      </c>
      <c r="B9" s="0" t="s">
        <v>198</v>
      </c>
      <c r="C9" s="60" t="n">
        <v>292</v>
      </c>
      <c r="D9" s="58" t="n">
        <v>42776</v>
      </c>
      <c r="E9" s="58"/>
      <c r="F9" s="59" t="n">
        <v>1879851</v>
      </c>
      <c r="G9" s="0" t="n">
        <v>5</v>
      </c>
    </row>
    <row r="10" customFormat="false" ht="15" hidden="false" customHeight="false" outlineLevel="0" collapsed="false">
      <c r="A10" s="0" t="n">
        <v>2018</v>
      </c>
      <c r="B10" s="0" t="s">
        <v>198</v>
      </c>
      <c r="C10" s="60" t="n">
        <v>301</v>
      </c>
      <c r="D10" s="58" t="n">
        <v>42814</v>
      </c>
      <c r="E10" s="58"/>
      <c r="F10" s="59" t="n">
        <v>3120149</v>
      </c>
      <c r="G10" s="0" t="n">
        <v>5</v>
      </c>
      <c r="M10" s="0" t="s">
        <v>199</v>
      </c>
      <c r="N10" s="0" t="s">
        <v>200</v>
      </c>
    </row>
    <row r="11" customFormat="false" ht="15" hidden="false" customHeight="false" outlineLevel="0" collapsed="false">
      <c r="A11" s="0" t="n">
        <v>2017</v>
      </c>
      <c r="B11" s="0" t="s">
        <v>198</v>
      </c>
      <c r="C11" s="61" t="n">
        <v>292</v>
      </c>
      <c r="D11" s="58" t="n">
        <v>42776</v>
      </c>
      <c r="E11" s="58"/>
      <c r="F11" s="59" t="n">
        <v>10241140</v>
      </c>
      <c r="G11" s="0" t="s">
        <v>201</v>
      </c>
      <c r="H11" s="58" t="n">
        <v>42825</v>
      </c>
      <c r="I11" s="62" t="s">
        <v>202</v>
      </c>
      <c r="J11" s="62" t="n">
        <v>2017</v>
      </c>
      <c r="K11" s="63" t="n">
        <v>5000000</v>
      </c>
      <c r="L11" s="0" t="n">
        <v>233</v>
      </c>
      <c r="M11" s="0" t="n">
        <v>2016</v>
      </c>
      <c r="N11" s="0" t="n">
        <v>0</v>
      </c>
    </row>
    <row r="12" customFormat="false" ht="15" hidden="false" customHeight="false" outlineLevel="0" collapsed="false">
      <c r="A12" s="0" t="n">
        <v>2017</v>
      </c>
      <c r="B12" s="0" t="s">
        <v>198</v>
      </c>
      <c r="C12" s="64" t="n">
        <v>290</v>
      </c>
      <c r="D12" s="58" t="n">
        <v>42776</v>
      </c>
      <c r="E12" s="58"/>
      <c r="F12" s="59" t="n">
        <v>1134964</v>
      </c>
      <c r="G12" s="0" t="n">
        <v>1</v>
      </c>
      <c r="H12" s="58" t="n">
        <v>42825</v>
      </c>
      <c r="I12" s="62" t="s">
        <v>202</v>
      </c>
      <c r="J12" s="62" t="n">
        <v>2017</v>
      </c>
      <c r="K12" s="63" t="n">
        <v>624047</v>
      </c>
      <c r="L12" s="0" t="n">
        <v>233</v>
      </c>
      <c r="M12" s="0" t="n">
        <v>2016</v>
      </c>
      <c r="N12" s="0" t="n">
        <v>0</v>
      </c>
    </row>
    <row r="13" customFormat="false" ht="15" hidden="false" customHeight="false" outlineLevel="0" collapsed="false">
      <c r="A13" s="0" t="n">
        <v>2017</v>
      </c>
      <c r="B13" s="0" t="s">
        <v>198</v>
      </c>
      <c r="C13" s="64" t="n">
        <v>291</v>
      </c>
      <c r="D13" s="58" t="n">
        <v>42776</v>
      </c>
      <c r="E13" s="58"/>
      <c r="F13" s="59" t="n">
        <v>49980</v>
      </c>
      <c r="G13" s="0" t="n">
        <v>1</v>
      </c>
      <c r="H13" s="58" t="n">
        <v>42940</v>
      </c>
      <c r="I13" s="62" t="s">
        <v>203</v>
      </c>
      <c r="J13" s="62" t="n">
        <v>2017</v>
      </c>
      <c r="K13" s="63" t="n">
        <v>2000000</v>
      </c>
      <c r="L13" s="0" t="n">
        <v>236</v>
      </c>
      <c r="M13" s="0" t="n">
        <v>2016</v>
      </c>
      <c r="N13" s="63" t="n">
        <f aca="false">--(-5800358+K13)</f>
        <v>-3800358</v>
      </c>
    </row>
    <row r="14" customFormat="false" ht="15" hidden="false" customHeight="false" outlineLevel="0" collapsed="false">
      <c r="A14" s="0" t="n">
        <v>2017</v>
      </c>
      <c r="B14" s="0" t="s">
        <v>198</v>
      </c>
      <c r="C14" s="62" t="n">
        <v>420</v>
      </c>
      <c r="D14" s="58" t="n">
        <v>43039</v>
      </c>
      <c r="E14" s="58"/>
      <c r="F14" s="59" t="n">
        <v>4573332</v>
      </c>
      <c r="G14" s="0" t="n">
        <v>0</v>
      </c>
      <c r="H14" s="58" t="n">
        <v>42940</v>
      </c>
      <c r="I14" s="62" t="s">
        <v>203</v>
      </c>
      <c r="J14" s="62" t="n">
        <v>2017</v>
      </c>
      <c r="K14" s="63" t="n">
        <v>49980</v>
      </c>
      <c r="L14" s="0" t="n">
        <v>238</v>
      </c>
      <c r="M14" s="0" t="n">
        <v>2016</v>
      </c>
      <c r="N14" s="0" t="n">
        <v>0</v>
      </c>
    </row>
    <row r="15" customFormat="false" ht="15" hidden="false" customHeight="false" outlineLevel="0" collapsed="false">
      <c r="A15" s="0" t="n">
        <v>2017</v>
      </c>
      <c r="B15" s="0" t="s">
        <v>198</v>
      </c>
      <c r="C15" s="62" t="n">
        <v>456</v>
      </c>
      <c r="D15" s="58" t="n">
        <v>43067</v>
      </c>
      <c r="E15" s="58"/>
      <c r="F15" s="59" t="n">
        <v>1733859</v>
      </c>
      <c r="G15" s="0" t="n">
        <v>0</v>
      </c>
      <c r="H15" s="65" t="n">
        <v>42954</v>
      </c>
      <c r="I15" s="66" t="s">
        <v>204</v>
      </c>
      <c r="J15" s="66" t="n">
        <v>2017</v>
      </c>
      <c r="K15" s="67" t="n">
        <v>2000000</v>
      </c>
      <c r="L15" s="0" t="n">
        <v>236</v>
      </c>
      <c r="M15" s="0" t="n">
        <v>2016</v>
      </c>
      <c r="N15" s="63" t="n">
        <f aca="false">+N13+K15</f>
        <v>-1800358</v>
      </c>
    </row>
    <row r="16" customFormat="false" ht="15" hidden="false" customHeight="false" outlineLevel="0" collapsed="false">
      <c r="A16" s="0" t="n">
        <v>2017</v>
      </c>
      <c r="B16" s="0" t="s">
        <v>198</v>
      </c>
      <c r="C16" s="62" t="n">
        <v>455</v>
      </c>
      <c r="D16" s="58" t="n">
        <v>43067</v>
      </c>
      <c r="E16" s="58"/>
      <c r="F16" s="59" t="n">
        <v>890037</v>
      </c>
      <c r="G16" s="0" t="n">
        <v>0</v>
      </c>
      <c r="H16" s="68" t="n">
        <v>43049</v>
      </c>
      <c r="I16" s="62" t="s">
        <v>205</v>
      </c>
      <c r="J16" s="62" t="n">
        <v>2017</v>
      </c>
      <c r="K16" s="69" t="n">
        <v>5000000</v>
      </c>
      <c r="L16" s="0" t="n">
        <v>236</v>
      </c>
      <c r="M16" s="0" t="n">
        <v>2016</v>
      </c>
      <c r="N16" s="63" t="n">
        <f aca="false">+K16+N15</f>
        <v>3199642</v>
      </c>
      <c r="O16" s="0" t="s">
        <v>206</v>
      </c>
    </row>
    <row r="17" customFormat="false" ht="15" hidden="false" customHeight="false" outlineLevel="0" collapsed="false">
      <c r="A17" s="0" t="n">
        <v>2017</v>
      </c>
      <c r="B17" s="0" t="s">
        <v>198</v>
      </c>
      <c r="C17" s="62" t="n">
        <v>484</v>
      </c>
      <c r="D17" s="58" t="n">
        <v>43087</v>
      </c>
      <c r="E17" s="58"/>
      <c r="F17" s="59" t="n">
        <v>9996002</v>
      </c>
      <c r="G17" s="0" t="n">
        <v>0</v>
      </c>
      <c r="H17" s="68" t="n">
        <v>43089</v>
      </c>
      <c r="I17" s="62" t="s">
        <v>207</v>
      </c>
      <c r="J17" s="62" t="n">
        <v>2017</v>
      </c>
      <c r="K17" s="69" t="n">
        <v>5000000</v>
      </c>
      <c r="L17" s="0" t="n">
        <v>290</v>
      </c>
      <c r="M17" s="0" t="n">
        <v>2017</v>
      </c>
      <c r="N17" s="70" t="n">
        <f aca="false">+K17+N16-F12</f>
        <v>7064678</v>
      </c>
    </row>
    <row r="18" customFormat="false" ht="15" hidden="false" customHeight="false" outlineLevel="0" collapsed="false">
      <c r="A18" s="0" t="n">
        <v>2017</v>
      </c>
      <c r="B18" s="0" t="s">
        <v>198</v>
      </c>
      <c r="C18" s="62" t="n">
        <v>498</v>
      </c>
      <c r="D18" s="58" t="n">
        <v>43091</v>
      </c>
      <c r="E18" s="58"/>
      <c r="F18" s="59" t="n">
        <v>31012483</v>
      </c>
      <c r="G18" s="0" t="n">
        <v>0</v>
      </c>
      <c r="L18" s="0" t="n">
        <v>291</v>
      </c>
      <c r="M18" s="0" t="n">
        <v>2017</v>
      </c>
      <c r="N18" s="70" t="n">
        <f aca="false">+N17-F13</f>
        <v>7014698</v>
      </c>
    </row>
    <row r="19" customFormat="false" ht="15" hidden="false" customHeight="false" outlineLevel="0" collapsed="false">
      <c r="A19" s="0" t="n">
        <v>2017</v>
      </c>
      <c r="B19" s="0" t="s">
        <v>198</v>
      </c>
      <c r="C19" s="71" t="n">
        <v>292</v>
      </c>
      <c r="D19" s="58" t="n">
        <v>42776</v>
      </c>
      <c r="E19" s="58"/>
      <c r="F19" s="59" t="n">
        <f aca="false">+F11-N18</f>
        <v>3226442</v>
      </c>
      <c r="G19" s="0" t="s">
        <v>208</v>
      </c>
    </row>
    <row r="26" customFormat="false" ht="15" hidden="false" customHeight="false" outlineLevel="0" collapsed="false">
      <c r="B26" s="0" t="s">
        <v>209</v>
      </c>
      <c r="C26" s="57" t="n">
        <v>36</v>
      </c>
      <c r="D26" s="58" t="n">
        <v>42814</v>
      </c>
      <c r="E26" s="58"/>
      <c r="F26" s="59" t="n">
        <v>-17120149</v>
      </c>
      <c r="G26" s="0" t="s">
        <v>210</v>
      </c>
      <c r="H26" s="72" t="n">
        <v>-14386679.8319328</v>
      </c>
      <c r="I26" s="72" t="n">
        <v>-2733469.16806723</v>
      </c>
      <c r="J26" s="0" t="s">
        <v>130</v>
      </c>
      <c r="K26" s="62" t="n">
        <v>2017</v>
      </c>
    </row>
    <row r="27" customFormat="false" ht="15" hidden="false" customHeight="false" outlineLevel="0" collapsed="false">
      <c r="B27" s="0" t="s">
        <v>209</v>
      </c>
      <c r="C27" s="57" t="n">
        <v>37</v>
      </c>
      <c r="D27" s="58" t="n">
        <v>42814</v>
      </c>
      <c r="E27" s="58"/>
      <c r="F27" s="59" t="n">
        <v>-49980</v>
      </c>
      <c r="G27" s="0" t="s">
        <v>210</v>
      </c>
      <c r="H27" s="72" t="n">
        <v>-42000</v>
      </c>
      <c r="I27" s="72" t="n">
        <v>-7980</v>
      </c>
      <c r="J27" s="0" t="s">
        <v>130</v>
      </c>
      <c r="K27" s="62" t="n">
        <v>2017</v>
      </c>
    </row>
    <row r="28" customFormat="false" ht="15" hidden="false" customHeight="false" outlineLevel="0" collapsed="false">
      <c r="B28" s="0" t="s">
        <v>211</v>
      </c>
      <c r="C28" s="62" t="n">
        <v>233</v>
      </c>
      <c r="D28" s="58" t="n">
        <v>42705</v>
      </c>
      <c r="E28" s="58"/>
      <c r="F28" s="59" t="n">
        <v>5624047</v>
      </c>
      <c r="G28" s="0" t="s">
        <v>210</v>
      </c>
      <c r="H28" s="72" t="n">
        <v>4726089.91596639</v>
      </c>
      <c r="I28" s="72" t="n">
        <v>897957.084033613</v>
      </c>
      <c r="J28" s="58" t="s">
        <v>25</v>
      </c>
      <c r="K28" s="62" t="n">
        <v>2016</v>
      </c>
    </row>
    <row r="29" customFormat="false" ht="15" hidden="false" customHeight="false" outlineLevel="0" collapsed="false">
      <c r="B29" s="0" t="s">
        <v>211</v>
      </c>
      <c r="C29" s="62" t="n">
        <v>236</v>
      </c>
      <c r="D29" s="58" t="n">
        <v>42706</v>
      </c>
      <c r="E29" s="58"/>
      <c r="F29" s="59" t="n">
        <v>5800358</v>
      </c>
      <c r="G29" s="0" t="s">
        <v>210</v>
      </c>
      <c r="H29" s="72" t="n">
        <v>4874250.42016807</v>
      </c>
      <c r="I29" s="72" t="n">
        <v>926107.579831933</v>
      </c>
      <c r="J29" s="58" t="s">
        <v>25</v>
      </c>
      <c r="K29" s="62" t="n">
        <v>2016</v>
      </c>
    </row>
    <row r="30" customFormat="false" ht="15" hidden="false" customHeight="false" outlineLevel="0" collapsed="false">
      <c r="B30" s="0" t="s">
        <v>211</v>
      </c>
      <c r="C30" s="62" t="n">
        <v>237</v>
      </c>
      <c r="D30" s="58" t="n">
        <v>42702</v>
      </c>
      <c r="E30" s="58"/>
      <c r="F30" s="59" t="n">
        <v>17120149</v>
      </c>
      <c r="G30" s="0" t="s">
        <v>210</v>
      </c>
      <c r="H30" s="72" t="n">
        <v>14386679.8319328</v>
      </c>
      <c r="I30" s="72" t="n">
        <v>2733469.16806723</v>
      </c>
      <c r="J30" s="58" t="s">
        <v>212</v>
      </c>
      <c r="K30" s="62" t="n">
        <v>2016</v>
      </c>
    </row>
    <row r="31" customFormat="false" ht="15" hidden="false" customHeight="false" outlineLevel="0" collapsed="false">
      <c r="B31" s="0" t="s">
        <v>211</v>
      </c>
      <c r="C31" s="62" t="n">
        <v>238</v>
      </c>
      <c r="D31" s="58" t="n">
        <v>42702</v>
      </c>
      <c r="E31" s="58"/>
      <c r="F31" s="59" t="n">
        <v>49980</v>
      </c>
      <c r="G31" s="0" t="s">
        <v>210</v>
      </c>
      <c r="H31" s="72" t="n">
        <v>42000</v>
      </c>
      <c r="I31" s="72" t="n">
        <v>7980</v>
      </c>
      <c r="J31" s="58" t="s">
        <v>212</v>
      </c>
      <c r="K31" s="62" t="n">
        <v>2016</v>
      </c>
    </row>
    <row r="32" customFormat="false" ht="15" hidden="false" customHeight="false" outlineLevel="0" collapsed="false">
      <c r="B32" s="0" t="s">
        <v>211</v>
      </c>
      <c r="C32" s="62" t="n">
        <v>290</v>
      </c>
      <c r="D32" s="58" t="n">
        <v>42776</v>
      </c>
      <c r="E32" s="58"/>
      <c r="F32" s="59" t="n">
        <v>1134964</v>
      </c>
      <c r="G32" s="0" t="s">
        <v>210</v>
      </c>
      <c r="H32" s="72" t="n">
        <v>953751.260504202</v>
      </c>
      <c r="I32" s="72" t="n">
        <v>181212.739495798</v>
      </c>
      <c r="J32" s="0" t="s">
        <v>121</v>
      </c>
      <c r="K32" s="62" t="n">
        <v>2017</v>
      </c>
    </row>
    <row r="33" customFormat="false" ht="15" hidden="false" customHeight="false" outlineLevel="0" collapsed="false">
      <c r="B33" s="0" t="s">
        <v>211</v>
      </c>
      <c r="C33" s="62" t="n">
        <v>291</v>
      </c>
      <c r="D33" s="58" t="n">
        <v>42776</v>
      </c>
      <c r="E33" s="58"/>
      <c r="F33" s="59" t="n">
        <v>49980</v>
      </c>
      <c r="G33" s="0" t="s">
        <v>210</v>
      </c>
      <c r="H33" s="72" t="n">
        <v>42000</v>
      </c>
      <c r="I33" s="72" t="n">
        <v>7980</v>
      </c>
      <c r="J33" s="0" t="s">
        <v>121</v>
      </c>
      <c r="K33" s="62" t="n">
        <v>2017</v>
      </c>
    </row>
    <row r="34" customFormat="false" ht="15" hidden="false" customHeight="false" outlineLevel="0" collapsed="false">
      <c r="B34" s="0" t="s">
        <v>211</v>
      </c>
      <c r="C34" s="62" t="n">
        <v>292</v>
      </c>
      <c r="D34" s="58" t="n">
        <v>42776</v>
      </c>
      <c r="E34" s="58"/>
      <c r="F34" s="59" t="n">
        <v>7014698</v>
      </c>
      <c r="G34" s="0" t="s">
        <v>210</v>
      </c>
      <c r="H34" s="72" t="n">
        <v>5894704.20168067</v>
      </c>
      <c r="I34" s="72" t="n">
        <v>1119993.79831933</v>
      </c>
      <c r="J34" s="0" t="s">
        <v>121</v>
      </c>
      <c r="K34" s="62" t="n">
        <v>2017</v>
      </c>
    </row>
    <row r="35" customFormat="false" ht="15" hidden="false" customHeight="false" outlineLevel="0" collapsed="false">
      <c r="B35" s="0" t="s">
        <v>211</v>
      </c>
      <c r="C35" s="62" t="n">
        <v>292</v>
      </c>
      <c r="D35" s="58" t="n">
        <v>42776</v>
      </c>
      <c r="E35" s="58"/>
      <c r="F35" s="73" t="n">
        <v>3226442</v>
      </c>
      <c r="G35" s="0" t="s">
        <v>210</v>
      </c>
      <c r="H35" s="72" t="n">
        <v>8606000</v>
      </c>
      <c r="I35" s="72" t="n">
        <v>1635140</v>
      </c>
      <c r="J35" s="0" t="s">
        <v>121</v>
      </c>
      <c r="K35" s="62" t="n">
        <v>2017</v>
      </c>
    </row>
    <row r="36" customFormat="false" ht="15" hidden="false" customHeight="false" outlineLevel="0" collapsed="false">
      <c r="B36" s="0" t="s">
        <v>211</v>
      </c>
      <c r="C36" s="62" t="n">
        <v>292</v>
      </c>
      <c r="D36" s="58" t="n">
        <v>42776</v>
      </c>
      <c r="E36" s="58"/>
      <c r="F36" s="74" t="n">
        <v>-1879851</v>
      </c>
      <c r="G36" s="0" t="s">
        <v>210</v>
      </c>
      <c r="H36" s="72" t="n">
        <v>-1579706.72268908</v>
      </c>
      <c r="I36" s="72" t="n">
        <v>-300144.277310924</v>
      </c>
      <c r="J36" s="0" t="s">
        <v>121</v>
      </c>
      <c r="K36" s="62" t="n">
        <v>2017</v>
      </c>
    </row>
    <row r="37" customFormat="false" ht="15" hidden="false" customHeight="false" outlineLevel="0" collapsed="false">
      <c r="B37" s="0" t="s">
        <v>211</v>
      </c>
      <c r="C37" s="62" t="n">
        <v>301</v>
      </c>
      <c r="D37" s="58" t="n">
        <v>42814</v>
      </c>
      <c r="E37" s="58"/>
      <c r="F37" s="59" t="n">
        <v>17120149</v>
      </c>
      <c r="G37" s="0" t="s">
        <v>210</v>
      </c>
      <c r="H37" s="72" t="n">
        <v>14386679.8319328</v>
      </c>
      <c r="I37" s="72" t="n">
        <v>2733469.16806723</v>
      </c>
      <c r="J37" s="0" t="s">
        <v>130</v>
      </c>
      <c r="K37" s="62" t="n">
        <v>2017</v>
      </c>
    </row>
    <row r="38" customFormat="false" ht="15" hidden="false" customHeight="false" outlineLevel="0" collapsed="false">
      <c r="B38" s="0" t="s">
        <v>211</v>
      </c>
      <c r="C38" s="62" t="n">
        <v>301</v>
      </c>
      <c r="D38" s="58" t="n">
        <v>42814</v>
      </c>
      <c r="E38" s="58"/>
      <c r="F38" s="74" t="n">
        <v>3120149</v>
      </c>
      <c r="G38" s="0" t="s">
        <v>210</v>
      </c>
      <c r="H38" s="72" t="n">
        <v>2621973.94957983</v>
      </c>
      <c r="I38" s="72" t="n">
        <v>498175.050420168</v>
      </c>
      <c r="J38" s="0" t="s">
        <v>130</v>
      </c>
      <c r="K38" s="62" t="n">
        <v>2017</v>
      </c>
    </row>
    <row r="39" customFormat="false" ht="15" hidden="false" customHeight="false" outlineLevel="0" collapsed="false">
      <c r="B39" s="0" t="s">
        <v>211</v>
      </c>
      <c r="C39" s="62" t="n">
        <v>302</v>
      </c>
      <c r="D39" s="58" t="n">
        <v>42814</v>
      </c>
      <c r="E39" s="58"/>
      <c r="F39" s="59" t="n">
        <v>49980</v>
      </c>
      <c r="G39" s="0" t="s">
        <v>210</v>
      </c>
      <c r="H39" s="72" t="n">
        <v>42000</v>
      </c>
      <c r="I39" s="72" t="n">
        <v>7980</v>
      </c>
      <c r="J39" s="0" t="s">
        <v>130</v>
      </c>
      <c r="K39" s="62" t="n">
        <v>2017</v>
      </c>
    </row>
    <row r="40" customFormat="false" ht="15" hidden="false" customHeight="false" outlineLevel="0" collapsed="false">
      <c r="B40" s="0" t="s">
        <v>211</v>
      </c>
      <c r="C40" s="62" t="n">
        <v>420</v>
      </c>
      <c r="D40" s="58" t="n">
        <v>43039</v>
      </c>
      <c r="E40" s="58"/>
      <c r="F40" s="59" t="n">
        <v>4573332</v>
      </c>
      <c r="G40" s="0" t="s">
        <v>210</v>
      </c>
      <c r="H40" s="72" t="n">
        <v>3843136.13445378</v>
      </c>
      <c r="I40" s="72" t="n">
        <v>730195.865546219</v>
      </c>
      <c r="J40" s="0" t="s">
        <v>213</v>
      </c>
      <c r="K40" s="62" t="n">
        <v>2017</v>
      </c>
    </row>
    <row r="41" customFormat="false" ht="15" hidden="false" customHeight="false" outlineLevel="0" collapsed="false">
      <c r="B41" s="0" t="s">
        <v>211</v>
      </c>
      <c r="C41" s="62" t="n">
        <v>455</v>
      </c>
      <c r="D41" s="58" t="n">
        <v>43067</v>
      </c>
      <c r="E41" s="58"/>
      <c r="F41" s="59" t="n">
        <v>890037</v>
      </c>
      <c r="G41" s="75" t="s">
        <v>210</v>
      </c>
      <c r="H41" s="72" t="n">
        <v>747930.25210084</v>
      </c>
      <c r="I41" s="72" t="n">
        <v>142106.74789916</v>
      </c>
      <c r="J41" s="0" t="s">
        <v>25</v>
      </c>
      <c r="K41" s="62" t="n">
        <v>2017</v>
      </c>
    </row>
    <row r="42" customFormat="false" ht="15" hidden="false" customHeight="false" outlineLevel="0" collapsed="false">
      <c r="B42" s="0" t="s">
        <v>211</v>
      </c>
      <c r="C42" s="62" t="n">
        <v>456</v>
      </c>
      <c r="D42" s="58" t="n">
        <v>43067</v>
      </c>
      <c r="E42" s="58"/>
      <c r="F42" s="59" t="n">
        <v>1733859</v>
      </c>
      <c r="G42" s="75" t="s">
        <v>210</v>
      </c>
      <c r="H42" s="72" t="n">
        <v>1457024.3697479</v>
      </c>
      <c r="I42" s="72" t="n">
        <v>276834.630252101</v>
      </c>
      <c r="J42" s="0" t="s">
        <v>25</v>
      </c>
      <c r="K42" s="62" t="n">
        <v>2017</v>
      </c>
    </row>
    <row r="43" customFormat="false" ht="15" hidden="false" customHeight="false" outlineLevel="0" collapsed="false">
      <c r="B43" s="0" t="s">
        <v>211</v>
      </c>
      <c r="C43" s="62" t="n">
        <v>484</v>
      </c>
      <c r="D43" s="58" t="n">
        <v>43087</v>
      </c>
      <c r="E43" s="58"/>
      <c r="F43" s="59" t="n">
        <v>9996002</v>
      </c>
      <c r="G43" s="0" t="s">
        <v>210</v>
      </c>
      <c r="H43" s="72" t="n">
        <v>8400001.68067227</v>
      </c>
      <c r="I43" s="72" t="n">
        <v>1596000.31932773</v>
      </c>
      <c r="J43" s="0" t="s">
        <v>25</v>
      </c>
      <c r="K43" s="62" t="n">
        <v>2017</v>
      </c>
    </row>
    <row r="44" customFormat="false" ht="15" hidden="false" customHeight="false" outlineLevel="0" collapsed="false">
      <c r="B44" s="0" t="s">
        <v>211</v>
      </c>
      <c r="C44" s="62" t="n">
        <v>498</v>
      </c>
      <c r="D44" s="58" t="n">
        <v>43091</v>
      </c>
      <c r="E44" s="58"/>
      <c r="F44" s="59" t="n">
        <v>31012483</v>
      </c>
      <c r="G44" s="0" t="s">
        <v>210</v>
      </c>
      <c r="H44" s="72" t="n">
        <v>26060910.0840336</v>
      </c>
      <c r="I44" s="72" t="n">
        <v>4951572.91596639</v>
      </c>
      <c r="J44" s="0" t="s">
        <v>25</v>
      </c>
      <c r="K44" s="62" t="n">
        <v>2017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2017-11-14T19:21:13Z</dcterms:created>
  <dc:creator>Usuario de Microsoft Office</dc:creator>
  <dc:description/>
  <dc:language>es-CL</dc:language>
  <cp:lastModifiedBy/>
  <cp:lastPrinted>2021-08-03T23:30:46Z</cp:lastPrinted>
  <dcterms:modified xsi:type="dcterms:W3CDTF">2026-07-06T12:53:13Z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